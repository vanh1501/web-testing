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D:\Tai lieu Excel\Dao tao Public\HR Report - HRC\DAY CÁC LỚP\REPORT K18\2. Tai lieu\Bao cao nhan su sau 2 buoi\"/>
    </mc:Choice>
  </mc:AlternateContent>
  <xr:revisionPtr revIDLastSave="0" documentId="13_ncr:1_{7F7A73D7-2287-4688-A8D4-A7A8600E2D13}" xr6:coauthVersionLast="47" xr6:coauthVersionMax="47" xr10:uidLastSave="{00000000-0000-0000-0000-000000000000}"/>
  <bookViews>
    <workbookView showHorizontalScroll="0" showVerticalScroll="0" xWindow="-120" yWindow="-120" windowWidth="20730" windowHeight="11160" xr2:uid="{D71B2DC3-848B-4E98-804A-B90EFCA91FCE}"/>
  </bookViews>
  <sheets>
    <sheet name="Data " sheetId="2" r:id="rId1"/>
    <sheet name="Phân tích" sheetId="4" r:id="rId2"/>
    <sheet name="Dashboard" sheetId="6" r:id="rId3"/>
    <sheet name="Dashboard02" sheetId="7" r:id="rId4"/>
  </sheets>
  <definedNames>
    <definedName name="_xlcn.WorksheetConnection_Databaocaodaotao.xlsxDaotao1" hidden="1">Daotao[]</definedName>
    <definedName name="Slicer_Chi_nhánh">#N/A</definedName>
    <definedName name="Slicer_Phòng_ban">#N/A</definedName>
    <definedName name="Slicer_Thời_gian_đào_tạo__Month">#N/A</definedName>
  </definedNames>
  <calcPr calcId="191029"/>
  <pivotCaches>
    <pivotCache cacheId="671" r:id="rId5"/>
    <pivotCache cacheId="672" r:id="rId6"/>
    <pivotCache cacheId="673" r:id="rId7"/>
    <pivotCache cacheId="674" r:id="rId8"/>
    <pivotCache cacheId="675" r:id="rId9"/>
    <pivotCache cacheId="676" r:id="rId10"/>
    <pivotCache cacheId="677" r:id="rId11"/>
    <pivotCache cacheId="678" r:id="rId12"/>
    <pivotCache cacheId="679" r:id="rId13"/>
  </pivotCaches>
  <extLst>
    <ext xmlns:x14="http://schemas.microsoft.com/office/spreadsheetml/2009/9/main" uri="{876F7934-8845-4945-9796-88D515C7AA90}">
      <x14:pivotCaches>
        <pivotCache cacheId="68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otao" name="Daotao" connection="WorksheetConnection_Data bao cao dao tao.xlsx!Daotao"/>
        </x15:modelTables>
        <x15:extLst>
          <ext xmlns:x16="http://schemas.microsoft.com/office/spreadsheetml/2014/11/main" uri="{9835A34E-60A6-4A7C-AAB8-D5F71C897F49}">
            <x16:modelTimeGroupings>
              <x16:modelTimeGrouping tableName="Daotao" columnName="Thời gian đào tạo" columnId="Thời gian đào tạo">
                <x16:calculatedTimeColumn columnName="Thời gian đào tạo (Month Index)" columnId="Thời gian đào tạo (Month Index)" contentType="monthsindex" isSelected="1"/>
                <x16:calculatedTimeColumn columnName="Thời gian đào tạo (Month)" columnId="Thời gian đào tạo (Month)" contentType="months" isSelected="1"/>
                <x16:calculatedTimeColumn columnName="Thời gian đào tạo (Day Index)" columnId="Thời gian đào tạo (Day Index)" contentType="daysindex" isSelected="0"/>
                <x16:calculatedTimeColumn columnName="Thời gian đào tạo (Day)" columnId="Thời gian đào tạo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425" i="2" l="1"/>
  <c r="Q424" i="2"/>
  <c r="Q423" i="2"/>
  <c r="Q422" i="2"/>
  <c r="Q421" i="2"/>
  <c r="Q420" i="2"/>
  <c r="Q419" i="2"/>
  <c r="Q418" i="2"/>
  <c r="Q417" i="2"/>
  <c r="Q416" i="2"/>
  <c r="Q415" i="2"/>
  <c r="Q414" i="2"/>
  <c r="Q413" i="2" l="1"/>
  <c r="Q412" i="2"/>
  <c r="Q411" i="2"/>
  <c r="Q410" i="2"/>
  <c r="Q409" i="2"/>
  <c r="Q408" i="2"/>
  <c r="Q407" i="2"/>
  <c r="Q406" i="2"/>
  <c r="Q405" i="2"/>
  <c r="Q404" i="2"/>
  <c r="Q403" i="2"/>
  <c r="Q40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2" i="2"/>
  <c r="C10" i="4"/>
  <c r="C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BFE32-AFAE-44CA-9182-6485359497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62FD450-2213-43FD-BCD0-EA3A6F2F4D5E}" name="WorksheetConnection_Data bao cao dao tao.xlsx!Daotao" type="102" refreshedVersion="8" minRefreshableVersion="5">
    <extLst>
      <ext xmlns:x15="http://schemas.microsoft.com/office/spreadsheetml/2010/11/main" uri="{DE250136-89BD-433C-8126-D09CA5730AF9}">
        <x15:connection id="Daotao" autoDelete="1">
          <x15:rangePr sourceName="_xlcn.WorksheetConnection_Databaocaodaotao.xlsxDaotao1"/>
        </x15:connection>
      </ext>
    </extLst>
  </connection>
</connections>
</file>

<file path=xl/sharedStrings.xml><?xml version="1.0" encoding="utf-8"?>
<sst xmlns="http://schemas.openxmlformats.org/spreadsheetml/2006/main" count="3043" uniqueCount="202">
  <si>
    <t>STT</t>
  </si>
  <si>
    <t>Mã NV</t>
  </si>
  <si>
    <t>Họ tên</t>
  </si>
  <si>
    <t>Chi nhánh</t>
  </si>
  <si>
    <t>Phòng ban</t>
  </si>
  <si>
    <t>Vị trí</t>
  </si>
  <si>
    <t>Nội dung đào tạo</t>
  </si>
  <si>
    <t>Thời lượng (Số giờ)</t>
  </si>
  <si>
    <t>Nơi đào tạo</t>
  </si>
  <si>
    <t>Hình thức đào tạo</t>
  </si>
  <si>
    <t>Giảng viên</t>
  </si>
  <si>
    <t>Chi phí đào tạo</t>
  </si>
  <si>
    <t>Thang điểm</t>
  </si>
  <si>
    <t>Điểm đánh giá</t>
  </si>
  <si>
    <t>Điểm tiêu chuẩn</t>
  </si>
  <si>
    <t>Số lượng pass</t>
  </si>
  <si>
    <t>Nguyễn Phương Anh</t>
  </si>
  <si>
    <t>Trụ sở chính</t>
  </si>
  <si>
    <t>Phòng Kế toán</t>
  </si>
  <si>
    <t>NV Kế toán</t>
  </si>
  <si>
    <t>Kĩ năng excel cơ bản</t>
  </si>
  <si>
    <t>Văn phòng công ty</t>
  </si>
  <si>
    <t>Nội bộ</t>
  </si>
  <si>
    <t>Nguyễn Xuân Trường</t>
  </si>
  <si>
    <t>Nguyễn Ngọc Anh</t>
  </si>
  <si>
    <t>Nguyễn Thị Thanh Thúy</t>
  </si>
  <si>
    <t>Phòng Hành chính Nhân sự</t>
  </si>
  <si>
    <t>Nhân viên Nhân sự</t>
  </si>
  <si>
    <t>Nguyễn Thị Hòa</t>
  </si>
  <si>
    <t>Nguyễn Thế Thân</t>
  </si>
  <si>
    <t>Phạm Huy Thịnh</t>
  </si>
  <si>
    <t>Chi nhánh TP.HCM</t>
  </si>
  <si>
    <t>Phòng Kinh doanh</t>
  </si>
  <si>
    <t>Nhân viên kinh doanh</t>
  </si>
  <si>
    <t>Kĩ năng tiếp cận khách hàng</t>
  </si>
  <si>
    <t>Nguyễn Thị Châm</t>
  </si>
  <si>
    <t>Đặng Quốc Toàn</t>
  </si>
  <si>
    <t>Tạ Văn Đông</t>
  </si>
  <si>
    <t>Hoàng Duy Đông</t>
  </si>
  <si>
    <t>Chi nhánh Đà Nẵng</t>
  </si>
  <si>
    <t>Nguyễn Đức Hòa</t>
  </si>
  <si>
    <t>Lê Thị Lan</t>
  </si>
  <si>
    <t>Lương Văn Thuấn</t>
  </si>
  <si>
    <t>Chi nhánh Hải Phòng</t>
  </si>
  <si>
    <t>Ngọc Văn Thể</t>
  </si>
  <si>
    <t>Nguyễn Xuân Dưỡng</t>
  </si>
  <si>
    <t>Chi nhánh Thái Nguyên</t>
  </si>
  <si>
    <t>Nguyễn Văn Thảo</t>
  </si>
  <si>
    <t>Hoàng Thượng Bảo</t>
  </si>
  <si>
    <t>Lê Xuân Hào</t>
  </si>
  <si>
    <t>Đồng Văn Hiện</t>
  </si>
  <si>
    <t>Bộ phận Admin</t>
  </si>
  <si>
    <t>Nhân viên hành chính kĩ thuật</t>
  </si>
  <si>
    <t>Giao tiếp ứng xử</t>
  </si>
  <si>
    <t>Văn phòng</t>
  </si>
  <si>
    <t>Thuê ngoài</t>
  </si>
  <si>
    <t>Hoàng Hữu Minh</t>
  </si>
  <si>
    <t>Bảo vệ</t>
  </si>
  <si>
    <t>Nguyễn Tiến Dũng</t>
  </si>
  <si>
    <t>Lê Thị Thắm</t>
  </si>
  <si>
    <t>Tạp vụ</t>
  </si>
  <si>
    <t>Nguyễn Thị Mai</t>
  </si>
  <si>
    <t>Phan Việt Cường</t>
  </si>
  <si>
    <t>La Thị Tín</t>
  </si>
  <si>
    <t>Nguyễn Thị Thúy</t>
  </si>
  <si>
    <t>Vì Văn Phúc</t>
  </si>
  <si>
    <t>Nguyễn Xuân Anh</t>
  </si>
  <si>
    <t>Trần Văn Tuấn</t>
  </si>
  <si>
    <t>Lê Văn Khuyến</t>
  </si>
  <si>
    <t>Phòng Marketing</t>
  </si>
  <si>
    <t>Nhân viên Call center</t>
  </si>
  <si>
    <t>Dịch vụ khách hàng</t>
  </si>
  <si>
    <t>Lê Thị Tuyết</t>
  </si>
  <si>
    <t>Đoàn Đức Thảo</t>
  </si>
  <si>
    <t>Nhân viên Marketing</t>
  </si>
  <si>
    <t>Trần Văn Thắng</t>
  </si>
  <si>
    <t>Nguyễn Văn Thương</t>
  </si>
  <si>
    <t>Bùi Văn Sơn</t>
  </si>
  <si>
    <t>Nhân viên thiết kế</t>
  </si>
  <si>
    <t>Lê Thị Hồng Hoa</t>
  </si>
  <si>
    <t>Ngọ Thanh Lịch</t>
  </si>
  <si>
    <t>Nhân viên quay dựng phim</t>
  </si>
  <si>
    <t>Ngô Viết Trang</t>
  </si>
  <si>
    <t>Nguyễn Thị Loan</t>
  </si>
  <si>
    <t>Lưu Thị Lan</t>
  </si>
  <si>
    <t>Nguyễn Mạnh Hùng</t>
  </si>
  <si>
    <t>Hoàng Văn Bàng</t>
  </si>
  <si>
    <t>Nguyễn Văn Đức</t>
  </si>
  <si>
    <t>Vy Văn Nở</t>
  </si>
  <si>
    <t>Hoàng Văn Công</t>
  </si>
  <si>
    <t>Nguyễn Duy Lộc</t>
  </si>
  <si>
    <t>Phạm Ngọc Long</t>
  </si>
  <si>
    <t>Phan Thị Hiền</t>
  </si>
  <si>
    <t>Đỗ Hồng Quyên</t>
  </si>
  <si>
    <t>Phòng Đào tạo</t>
  </si>
  <si>
    <t>Kĩ năng Power Point</t>
  </si>
  <si>
    <t>Hoàng Thị Hậu</t>
  </si>
  <si>
    <t>Lê Như Trung</t>
  </si>
  <si>
    <t>Lê Hữu Tuyền</t>
  </si>
  <si>
    <t>Nguyễn Thị Thuyết</t>
  </si>
  <si>
    <t>Lê Văn Tuân</t>
  </si>
  <si>
    <t>Nguyễn Như Vương</t>
  </si>
  <si>
    <t>Trần Thị Hoa</t>
  </si>
  <si>
    <t>Bùi Thanh Tùng</t>
  </si>
  <si>
    <t>Dương Thị Quyên</t>
  </si>
  <si>
    <t>Chu Minh Chiến</t>
  </si>
  <si>
    <t>Xa Văn Kim</t>
  </si>
  <si>
    <t>Vi Văn Tú</t>
  </si>
  <si>
    <t>Nguyễn Thị Nga</t>
  </si>
  <si>
    <t>Đoàn Thị Chinh</t>
  </si>
  <si>
    <t>Vi Hồng Sơn</t>
  </si>
  <si>
    <t>Nguyễn Tiến Lợi</t>
  </si>
  <si>
    <t>Nguyễn Văn Luân</t>
  </si>
  <si>
    <t>Lục Văn Tuấn</t>
  </si>
  <si>
    <t>Hoàng Đình Niên</t>
  </si>
  <si>
    <t>Nguyễn Thị Thanh</t>
  </si>
  <si>
    <t>Trần Văn Nam</t>
  </si>
  <si>
    <t>Trần Thu Trang</t>
  </si>
  <si>
    <t>Ban Giám đốc</t>
  </si>
  <si>
    <t xml:space="preserve">Tổng Giám đốc </t>
  </si>
  <si>
    <t>Đào tạo chéo</t>
  </si>
  <si>
    <t>Lê Thị Dang</t>
  </si>
  <si>
    <t>Kế toán trưởng</t>
  </si>
  <si>
    <t>Mã Thị Hoài</t>
  </si>
  <si>
    <t>Giám đốc Nhân sự</t>
  </si>
  <si>
    <t>Hoàng Văn Khiêm</t>
  </si>
  <si>
    <t>Trưởng phòng Nhân sự</t>
  </si>
  <si>
    <t>Tô Văn Lưu</t>
  </si>
  <si>
    <t>Trưởng phòng Marketing</t>
  </si>
  <si>
    <t>Lê Thị Dung</t>
  </si>
  <si>
    <t>Giám đốc chức năng</t>
  </si>
  <si>
    <t>Giám đốc chi nhánh</t>
  </si>
  <si>
    <t>Nguyễn Minh Dũng</t>
  </si>
  <si>
    <t>Trưởng phòng Kinh doanh</t>
  </si>
  <si>
    <t>Phạm Văn Thắng</t>
  </si>
  <si>
    <t>Trưởng nhóm kinh doanh</t>
  </si>
  <si>
    <t>Giám đốc trung tâm</t>
  </si>
  <si>
    <t>Nguyễn Thị Yến</t>
  </si>
  <si>
    <t>Hoàng Hồng Hải</t>
  </si>
  <si>
    <t>Vũ Trọng Nhân</t>
  </si>
  <si>
    <t>Đỗ Thị Minh Hoa</t>
  </si>
  <si>
    <t>Hoàng Văn Dũng</t>
  </si>
  <si>
    <t>Nguyễn Xuân Duyên</t>
  </si>
  <si>
    <t>Nguyễn Trọng Hòa</t>
  </si>
  <si>
    <t>Xây dựng đội nhóm</t>
  </si>
  <si>
    <t>Vai trò quản lí</t>
  </si>
  <si>
    <t>Xây dựng đội nhóm vững mạnh</t>
  </si>
  <si>
    <t>Hoàng Văn Tài</t>
  </si>
  <si>
    <t>Nguyễn Tấn Cường</t>
  </si>
  <si>
    <t>Nhân viên đào tạo</t>
  </si>
  <si>
    <t>Nguyễn Đức Kiên</t>
  </si>
  <si>
    <t>Nông Văn Tình</t>
  </si>
  <si>
    <t>Nguyễn Sĩ Trường</t>
  </si>
  <si>
    <t>KD-P</t>
  </si>
  <si>
    <t>Kĩ năng quản lí thời gian</t>
  </si>
  <si>
    <t>Nguyễn Thị Cúc</t>
  </si>
  <si>
    <t>R&amp;D-P</t>
  </si>
  <si>
    <t>Vũ Trí Hoàng</t>
  </si>
  <si>
    <t>Phòng Quản lý Chất lượng</t>
  </si>
  <si>
    <t>Inspector</t>
  </si>
  <si>
    <t>Dương Thị Hằng Nga</t>
  </si>
  <si>
    <t>Inspector cum help desk</t>
  </si>
  <si>
    <t>Bùi Thanh Minh</t>
  </si>
  <si>
    <t>Phòng Dự án</t>
  </si>
  <si>
    <t>Dự án</t>
  </si>
  <si>
    <t>Nguyễn Thị Quỳnh</t>
  </si>
  <si>
    <t>Kĩ năng giải quyết vấn đề</t>
  </si>
  <si>
    <t>Đào tạo tiếng Anh</t>
  </si>
  <si>
    <t>Kĩ năng tin học Word</t>
  </si>
  <si>
    <t>Tạo động lực cho nhân viên</t>
  </si>
  <si>
    <t>Giao tiếp qua điện thoại</t>
  </si>
  <si>
    <t>Thời gian đào tạo</t>
  </si>
  <si>
    <t>Row Labels</t>
  </si>
  <si>
    <t>Grand Total</t>
  </si>
  <si>
    <t>1. Tổng chi phí đào tạo</t>
  </si>
  <si>
    <t xml:space="preserve">2. Số học viên </t>
  </si>
  <si>
    <t>6. Chi phí ĐT/NV</t>
  </si>
  <si>
    <t>1. Số lượng HV theo chi nhánh</t>
  </si>
  <si>
    <t>2. Chi phí đào tạo theo tháng</t>
  </si>
  <si>
    <t>3. Top 5 nội dung có chi phí đào tạo lớn nhất và số lớp hv các lớp</t>
  </si>
  <si>
    <t>4. Tỉ trong chi phí đào tạo theo chi nhánh</t>
  </si>
  <si>
    <t>Bảng điều khiển</t>
  </si>
  <si>
    <t>Phòng ban/bộ phận</t>
  </si>
  <si>
    <t>Tháng</t>
  </si>
  <si>
    <t>Tổng chi phí đào tạo</t>
  </si>
  <si>
    <t>Số nhân viên</t>
  </si>
  <si>
    <t>Số học viên</t>
  </si>
  <si>
    <t>Tỉ lệ pass</t>
  </si>
  <si>
    <t>Chi phí/nhân viên</t>
  </si>
  <si>
    <t>Thg1</t>
  </si>
  <si>
    <t>Thg2</t>
  </si>
  <si>
    <t>Thg3</t>
  </si>
  <si>
    <t>Thg4</t>
  </si>
  <si>
    <t>Thg5</t>
  </si>
  <si>
    <t>Thg6</t>
  </si>
  <si>
    <t>Thg7</t>
  </si>
  <si>
    <t>Thg8</t>
  </si>
  <si>
    <t>Thg9</t>
  </si>
  <si>
    <t>Thg10</t>
  </si>
  <si>
    <t>Thg11</t>
  </si>
  <si>
    <t>Thg12</t>
  </si>
  <si>
    <t>Số khóa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</si>
</sst>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quot;M&quot;"/>
    <numFmt numFmtId="165" formatCode="0.0%"/>
    <numFmt numFmtId="166" formatCode="_-* #,##0_-;\-* #,##0_-;_-* &quot;-&quot;??_-;_-@_-"/>
  </numFmts>
  <fonts count="3" x14ac:knownFonts="1">
    <font>
      <sz val="11"/>
      <color theme="1"/>
      <name val="Times New Roman"/>
      <family val="2"/>
      <charset val="163"/>
    </font>
    <font>
      <sz val="11"/>
      <color theme="1"/>
      <name val="Times New Roman"/>
      <family val="2"/>
      <charset val="163"/>
    </font>
    <font>
      <b/>
      <sz val="11"/>
      <color theme="1"/>
      <name val="Times New Roman"/>
      <family val="2"/>
      <charset val="163"/>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0" fillId="0" borderId="0" xfId="0" applyAlignment="1">
      <alignment horizontal="center"/>
    </xf>
    <xf numFmtId="0" fontId="0" fillId="0" borderId="0" xfId="0" applyAlignment="1">
      <alignment horizontal="center" vertical="center" wrapText="1"/>
    </xf>
    <xf numFmtId="14" fontId="0" fillId="0" borderId="0" xfId="0" applyNumberFormat="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165" fontId="0" fillId="0" borderId="0" xfId="2" applyNumberFormat="1" applyFont="1"/>
    <xf numFmtId="166" fontId="0" fillId="0" borderId="0" xfId="1" applyNumberFormat="1" applyFont="1"/>
    <xf numFmtId="10" fontId="0" fillId="0" borderId="0" xfId="0" applyNumberFormat="1"/>
  </cellXfs>
  <cellStyles count="3">
    <cellStyle name="Comma" xfId="1" builtinId="3"/>
    <cellStyle name="Normal" xfId="0" builtinId="0"/>
    <cellStyle name="Percent" xfId="2" builtinId="5"/>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alignment horizontal="center" vertical="center" textRotation="0" wrapText="1" indent="0" justifyLastLine="0" shrinkToFit="0" readingOrder="0"/>
    </dxf>
    <dxf>
      <font>
        <b/>
        <i val="0"/>
        <color rgb="FF002060"/>
        <name val="Arial"/>
        <family val="2"/>
        <scheme val="none"/>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3" pivot="0" table="0" count="10" xr9:uid="{093E546B-AC54-425D-8FCE-5D0B9F0E1B87}">
      <tableStyleElement type="wholeTable" dxfId="6"/>
      <tableStyleElement type="headerRow" dxfId="5"/>
    </tableStyle>
  </tableStyles>
  <colors>
    <mruColors>
      <color rgb="FFA4C3B2"/>
      <color rgb="FFF8F7FF"/>
      <color rgb="FFA44A3F"/>
      <color rgb="FFF19C79"/>
      <color rgb="FFCBDFBD"/>
      <color rgb="FFF6F4D2"/>
      <color rgb="FFD4E09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rgb="FF000000"/>
            <name val="Arial"/>
            <family val="2"/>
            <scheme val="none"/>
          </font>
          <fill>
            <patternFill patternType="solid">
              <fgColor theme="4" tint="0.59999389629810485"/>
              <bgColor theme="0"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tích!Số HV theo CN</c:name>
    <c:fmtId val="0"/>
  </c:pivotSource>
  <c:chart>
    <c:title>
      <c:tx>
        <c:rich>
          <a:bodyPr rot="0" spcFirstLastPara="1" vertOverflow="ellipsis" vert="horz" wrap="square" anchor="ctr" anchorCtr="1"/>
          <a:lstStyle/>
          <a:p>
            <a:pPr>
              <a:defRPr sz="1200" b="1" i="0" u="none" strike="noStrike" kern="1200" spc="0" baseline="0">
                <a:solidFill>
                  <a:srgbClr val="FF0000"/>
                </a:solidFill>
                <a:latin typeface="+mn-lt"/>
                <a:ea typeface="+mn-ea"/>
                <a:cs typeface="+mn-cs"/>
              </a:defRPr>
            </a:pPr>
            <a:r>
              <a:rPr lang="en-US" sz="1200" b="1">
                <a:solidFill>
                  <a:srgbClr val="FF0000"/>
                </a:solidFill>
              </a:rPr>
              <a:t>Số</a:t>
            </a:r>
            <a:r>
              <a:rPr lang="en-US" sz="1200" b="1" baseline="0">
                <a:solidFill>
                  <a:srgbClr val="FF0000"/>
                </a:solidFill>
              </a:rPr>
              <a:t> học viên chi nhánh</a:t>
            </a:r>
            <a:endParaRPr lang="en-US" sz="1200" b="1">
              <a:solidFill>
                <a:srgbClr val="FF0000"/>
              </a:solidFill>
            </a:endParaRPr>
          </a:p>
        </c:rich>
      </c:tx>
      <c:layout>
        <c:manualLayout>
          <c:xMode val="edge"/>
          <c:yMode val="edge"/>
          <c:x val="0.63386789151356082"/>
          <c:y val="4.6713272986705148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F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11439703073450253"/>
          <c:w val="0.98611111111111116"/>
          <c:h val="0.68075913315264569"/>
        </c:manualLayout>
      </c:layout>
      <c:barChart>
        <c:barDir val="col"/>
        <c:grouping val="clustered"/>
        <c:varyColors val="0"/>
        <c:ser>
          <c:idx val="0"/>
          <c:order val="0"/>
          <c:tx>
            <c:strRef>
              <c:f>'Phân tích'!$B$14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tích'!$A$15:$A$20</c:f>
              <c:strCache>
                <c:ptCount val="5"/>
                <c:pt idx="0">
                  <c:v>Chi nhánh Đà Nẵng</c:v>
                </c:pt>
                <c:pt idx="1">
                  <c:v>Chi nhánh Hải Phòng</c:v>
                </c:pt>
                <c:pt idx="2">
                  <c:v>Chi nhánh TP.HCM</c:v>
                </c:pt>
                <c:pt idx="3">
                  <c:v>Chi nhánh Thái Nguyên</c:v>
                </c:pt>
                <c:pt idx="4">
                  <c:v>Trụ sở chính</c:v>
                </c:pt>
              </c:strCache>
            </c:strRef>
          </c:cat>
          <c:val>
            <c:numRef>
              <c:f>'Phân tích'!$B$15:$B$20</c:f>
              <c:numCache>
                <c:formatCode>General</c:formatCode>
                <c:ptCount val="5"/>
                <c:pt idx="0">
                  <c:v>61</c:v>
                </c:pt>
                <c:pt idx="1">
                  <c:v>89</c:v>
                </c:pt>
                <c:pt idx="2">
                  <c:v>86</c:v>
                </c:pt>
                <c:pt idx="3">
                  <c:v>110</c:v>
                </c:pt>
                <c:pt idx="4">
                  <c:v>78</c:v>
                </c:pt>
              </c:numCache>
            </c:numRef>
          </c:val>
          <c:extLst>
            <c:ext xmlns:c16="http://schemas.microsoft.com/office/drawing/2014/chart" uri="{C3380CC4-5D6E-409C-BE32-E72D297353CC}">
              <c16:uniqueId val="{00000000-E501-4932-943F-9D1D34EE03E7}"/>
            </c:ext>
          </c:extLst>
        </c:ser>
        <c:dLbls>
          <c:dLblPos val="outEnd"/>
          <c:showLegendKey val="0"/>
          <c:showVal val="1"/>
          <c:showCatName val="0"/>
          <c:showSerName val="0"/>
          <c:showPercent val="0"/>
          <c:showBubbleSize val="0"/>
        </c:dLbls>
        <c:gapWidth val="219"/>
        <c:overlap val="-27"/>
        <c:axId val="120797424"/>
        <c:axId val="120798256"/>
      </c:barChart>
      <c:catAx>
        <c:axId val="120797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8256"/>
        <c:crosses val="autoZero"/>
        <c:auto val="1"/>
        <c:lblAlgn val="ctr"/>
        <c:lblOffset val="100"/>
        <c:noMultiLvlLbl val="0"/>
      </c:catAx>
      <c:valAx>
        <c:axId val="120798256"/>
        <c:scaling>
          <c:orientation val="minMax"/>
        </c:scaling>
        <c:delete val="1"/>
        <c:axPos val="l"/>
        <c:numFmt formatCode="General" sourceLinked="1"/>
        <c:majorTickMark val="out"/>
        <c:minorTickMark val="none"/>
        <c:tickLblPos val="nextTo"/>
        <c:crossAx val="12079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tích!Chi phí theo tháng</c:name>
    <c:fmtId val="0"/>
  </c:pivotSource>
  <c:chart>
    <c:title>
      <c:tx>
        <c:rich>
          <a:bodyPr rot="0" spcFirstLastPara="1" vertOverflow="ellipsis" vert="horz" wrap="square" anchor="ctr" anchorCtr="1"/>
          <a:lstStyle/>
          <a:p>
            <a:pPr>
              <a:defRPr sz="1200" b="1" i="0" u="none" strike="noStrike" kern="1200" spc="0" baseline="0">
                <a:solidFill>
                  <a:srgbClr val="FF0000"/>
                </a:solidFill>
                <a:latin typeface="+mn-lt"/>
                <a:ea typeface="+mn-ea"/>
                <a:cs typeface="+mn-cs"/>
              </a:defRPr>
            </a:pPr>
            <a:r>
              <a:rPr lang="en-US" sz="1200" b="1">
                <a:solidFill>
                  <a:srgbClr val="FF0000"/>
                </a:solidFill>
              </a:rPr>
              <a:t>Chi phí</a:t>
            </a:r>
            <a:r>
              <a:rPr lang="en-US" sz="1200" b="1" baseline="0">
                <a:solidFill>
                  <a:srgbClr val="FF0000"/>
                </a:solidFill>
              </a:rPr>
              <a:t> đào tạo theo tháng</a:t>
            </a:r>
            <a:endParaRPr lang="en-US" sz="1200" b="1">
              <a:solidFill>
                <a:srgbClr val="FF0000"/>
              </a:solidFill>
            </a:endParaRPr>
          </a:p>
        </c:rich>
      </c:tx>
      <c:layout>
        <c:manualLayout>
          <c:xMode val="edge"/>
          <c:yMode val="edge"/>
          <c:x val="0.61156211562115614"/>
          <c:y val="2.110818526670829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F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60270602706028E-2"/>
          <c:y val="0.13431841891382046"/>
          <c:w val="0.9458794587945879"/>
          <c:h val="0.70245713681040367"/>
        </c:manualLayout>
      </c:layout>
      <c:lineChart>
        <c:grouping val="stacked"/>
        <c:varyColors val="0"/>
        <c:ser>
          <c:idx val="0"/>
          <c:order val="0"/>
          <c:tx>
            <c:strRef>
              <c:f>'Phân tích'!$B$23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tích'!$A$24:$A$36</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tích'!$B$24:$B$36</c:f>
              <c:numCache>
                <c:formatCode>#,##0.0,,"M"</c:formatCode>
                <c:ptCount val="12"/>
                <c:pt idx="0">
                  <c:v>2200000</c:v>
                </c:pt>
                <c:pt idx="1">
                  <c:v>3200000</c:v>
                </c:pt>
                <c:pt idx="2">
                  <c:v>3500000</c:v>
                </c:pt>
                <c:pt idx="3">
                  <c:v>47000000</c:v>
                </c:pt>
                <c:pt idx="4">
                  <c:v>5400000</c:v>
                </c:pt>
                <c:pt idx="5">
                  <c:v>17000000</c:v>
                </c:pt>
                <c:pt idx="6">
                  <c:v>1300000</c:v>
                </c:pt>
                <c:pt idx="7">
                  <c:v>9400000</c:v>
                </c:pt>
                <c:pt idx="8">
                  <c:v>1500000</c:v>
                </c:pt>
                <c:pt idx="9">
                  <c:v>1800000</c:v>
                </c:pt>
                <c:pt idx="10">
                  <c:v>1600000</c:v>
                </c:pt>
                <c:pt idx="11">
                  <c:v>3550000</c:v>
                </c:pt>
              </c:numCache>
            </c:numRef>
          </c:val>
          <c:smooth val="0"/>
          <c:extLst>
            <c:ext xmlns:c16="http://schemas.microsoft.com/office/drawing/2014/chart" uri="{C3380CC4-5D6E-409C-BE32-E72D297353CC}">
              <c16:uniqueId val="{00000000-F80A-428F-B71B-30FD1122A611}"/>
            </c:ext>
          </c:extLst>
        </c:ser>
        <c:dLbls>
          <c:dLblPos val="t"/>
          <c:showLegendKey val="0"/>
          <c:showVal val="1"/>
          <c:showCatName val="0"/>
          <c:showSerName val="0"/>
          <c:showPercent val="0"/>
          <c:showBubbleSize val="0"/>
        </c:dLbls>
        <c:marker val="1"/>
        <c:smooth val="0"/>
        <c:axId val="28499968"/>
        <c:axId val="28501216"/>
      </c:lineChart>
      <c:catAx>
        <c:axId val="284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216"/>
        <c:crosses val="autoZero"/>
        <c:auto val="1"/>
        <c:lblAlgn val="ctr"/>
        <c:lblOffset val="100"/>
        <c:noMultiLvlLbl val="0"/>
      </c:catAx>
      <c:valAx>
        <c:axId val="28501216"/>
        <c:scaling>
          <c:orientation val="minMax"/>
        </c:scaling>
        <c:delete val="1"/>
        <c:axPos val="l"/>
        <c:numFmt formatCode="#,##0.0,,&quot;M&quot;" sourceLinked="1"/>
        <c:majorTickMark val="none"/>
        <c:minorTickMark val="none"/>
        <c:tickLblPos val="nextTo"/>
        <c:crossAx val="284999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tích!Top 5 chi phí</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'Phân tích'!$B$39</c:f>
              <c:strCache>
                <c:ptCount val="1"/>
                <c:pt idx="0">
                  <c:v>Tổng chi phí đào tạo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tích'!$B$40:$B$45</c:f>
              <c:numCache>
                <c:formatCode>#,##0.0,,"M"</c:formatCode>
                <c:ptCount val="5"/>
                <c:pt idx="0">
                  <c:v>17000000</c:v>
                </c:pt>
                <c:pt idx="1">
                  <c:v>17000000</c:v>
                </c:pt>
                <c:pt idx="2">
                  <c:v>9400000</c:v>
                </c:pt>
                <c:pt idx="3">
                  <c:v>30000000</c:v>
                </c:pt>
                <c:pt idx="4">
                  <c:v>5400000</c:v>
                </c:pt>
              </c:numCache>
            </c:numRef>
          </c:val>
          <c:extLst>
            <c:ext xmlns:c16="http://schemas.microsoft.com/office/drawing/2014/chart" uri="{C3380CC4-5D6E-409C-BE32-E72D297353CC}">
              <c16:uniqueId val="{00000000-D538-48B4-A0C9-2E183CBF73A7}"/>
            </c:ext>
          </c:extLst>
        </c:ser>
        <c:dLbls>
          <c:showLegendKey val="0"/>
          <c:showVal val="1"/>
          <c:showCatName val="0"/>
          <c:showSerName val="0"/>
          <c:showPercent val="0"/>
          <c:showBubbleSize val="0"/>
        </c:dLbls>
        <c:gapWidth val="219"/>
        <c:overlap val="-27"/>
        <c:axId val="272851648"/>
        <c:axId val="272849984"/>
      </c:barChart>
      <c:lineChart>
        <c:grouping val="standard"/>
        <c:varyColors val="0"/>
        <c:ser>
          <c:idx val="1"/>
          <c:order val="1"/>
          <c:tx>
            <c:strRef>
              <c:f>'Phân tích'!$C$39</c:f>
              <c:strCache>
                <c:ptCount val="1"/>
                <c:pt idx="0">
                  <c:v>Số học viên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tích'!$C$40:$C$45</c:f>
              <c:numCache>
                <c:formatCode>General</c:formatCode>
                <c:ptCount val="5"/>
                <c:pt idx="0">
                  <c:v>17</c:v>
                </c:pt>
                <c:pt idx="1">
                  <c:v>17</c:v>
                </c:pt>
                <c:pt idx="2">
                  <c:v>94</c:v>
                </c:pt>
                <c:pt idx="3">
                  <c:v>30</c:v>
                </c:pt>
                <c:pt idx="4">
                  <c:v>27</c:v>
                </c:pt>
              </c:numCache>
            </c:numRef>
          </c:val>
          <c:smooth val="0"/>
          <c:extLst>
            <c:ext xmlns:c16="http://schemas.microsoft.com/office/drawing/2014/chart" uri="{C3380CC4-5D6E-409C-BE32-E72D297353CC}">
              <c16:uniqueId val="{00000001-D538-48B4-A0C9-2E183CBF73A7}"/>
            </c:ext>
          </c:extLst>
        </c:ser>
        <c:dLbls>
          <c:showLegendKey val="0"/>
          <c:showVal val="1"/>
          <c:showCatName val="0"/>
          <c:showSerName val="0"/>
          <c:showPercent val="0"/>
          <c:showBubbleSize val="0"/>
        </c:dLbls>
        <c:marker val="1"/>
        <c:smooth val="0"/>
        <c:axId val="2081380304"/>
        <c:axId val="2081386960"/>
      </c:lineChart>
      <c:catAx>
        <c:axId val="20813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86960"/>
        <c:crosses val="autoZero"/>
        <c:auto val="1"/>
        <c:lblAlgn val="ctr"/>
        <c:lblOffset val="100"/>
        <c:noMultiLvlLbl val="0"/>
      </c:catAx>
      <c:valAx>
        <c:axId val="20813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80304"/>
        <c:crosses val="autoZero"/>
        <c:crossBetween val="between"/>
      </c:valAx>
      <c:valAx>
        <c:axId val="272849984"/>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51648"/>
        <c:crosses val="max"/>
        <c:crossBetween val="between"/>
      </c:valAx>
      <c:catAx>
        <c:axId val="272851648"/>
        <c:scaling>
          <c:orientation val="minMax"/>
        </c:scaling>
        <c:delete val="1"/>
        <c:axPos val="b"/>
        <c:numFmt formatCode="General" sourceLinked="1"/>
        <c:majorTickMark val="out"/>
        <c:minorTickMark val="none"/>
        <c:tickLblPos val="nextTo"/>
        <c:crossAx val="27284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tích!Tỉ trong chi phí CN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Tỉ</a:t>
            </a:r>
            <a:r>
              <a:rPr lang="en-US" baseline="0"/>
              <a:t> trọng chi phí đào tạo theo chi nhánh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'Phân tích'!$B$48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3D-49CC-BEBF-9B50C72804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3D-49CC-BEBF-9B50C72804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3D-49CC-BEBF-9B50C72804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3D-49CC-BEBF-9B50C72804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3D-49CC-BEBF-9B50C72804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'Phân tích'!$A$49:$A$54</c:f>
              <c:strCache>
                <c:ptCount val="5"/>
                <c:pt idx="0">
                  <c:v>Chi nhánh Đà Nẵng</c:v>
                </c:pt>
                <c:pt idx="1">
                  <c:v>Chi nhánh Hải Phòng</c:v>
                </c:pt>
                <c:pt idx="2">
                  <c:v>Chi nhánh TP.HCM</c:v>
                </c:pt>
                <c:pt idx="3">
                  <c:v>Chi nhánh Thái Nguyên</c:v>
                </c:pt>
                <c:pt idx="4">
                  <c:v>Trụ sở chính</c:v>
                </c:pt>
              </c:strCache>
            </c:strRef>
          </c:cat>
          <c:val>
            <c:numRef>
              <c:f>'Phân tích'!$B$49:$B$54</c:f>
              <c:numCache>
                <c:formatCode>0.00%</c:formatCode>
                <c:ptCount val="5"/>
                <c:pt idx="0">
                  <c:v>0.18573627501282708</c:v>
                </c:pt>
                <c:pt idx="1">
                  <c:v>0.20523345305284763</c:v>
                </c:pt>
                <c:pt idx="2">
                  <c:v>0.24166239096972805</c:v>
                </c:pt>
                <c:pt idx="3">
                  <c:v>0.19497178040020524</c:v>
                </c:pt>
                <c:pt idx="4">
                  <c:v>0.172396100564392</c:v>
                </c:pt>
              </c:numCache>
            </c:numRef>
          </c:val>
          <c:extLst>
            <c:ext xmlns:c16="http://schemas.microsoft.com/office/drawing/2014/chart" uri="{C3380CC4-5D6E-409C-BE32-E72D297353CC}">
              <c16:uniqueId val="{00000000-3DA3-4672-91B0-61FD03E86A16}"/>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tích!Số HV theo CN</c:name>
    <c:fmtId val="3"/>
  </c:pivotSource>
  <c:chart>
    <c:title>
      <c:tx>
        <c:rich>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a:solidFill>
                  <a:srgbClr val="C00000"/>
                </a:solidFill>
                <a:latin typeface="Arial" panose="020B0604020202020204" pitchFamily="34" charset="0"/>
                <a:cs typeface="Arial" panose="020B0604020202020204" pitchFamily="34" charset="0"/>
              </a:rPr>
              <a:t>Số</a:t>
            </a:r>
            <a:r>
              <a:rPr lang="en-US" sz="1100" b="1" baseline="0">
                <a:solidFill>
                  <a:srgbClr val="C00000"/>
                </a:solidFill>
                <a:latin typeface="Arial" panose="020B0604020202020204" pitchFamily="34" charset="0"/>
                <a:cs typeface="Arial" panose="020B0604020202020204" pitchFamily="34" charset="0"/>
              </a:rPr>
              <a:t> học viên chi nhánh</a:t>
            </a:r>
            <a:endParaRPr lang="en-US" sz="1100" b="1">
              <a:solidFill>
                <a:srgbClr val="C00000"/>
              </a:solidFill>
              <a:latin typeface="Arial" panose="020B0604020202020204" pitchFamily="34" charset="0"/>
              <a:cs typeface="Arial" panose="020B0604020202020204" pitchFamily="34" charset="0"/>
            </a:endParaRPr>
          </a:p>
        </c:rich>
      </c:tx>
      <c:layout>
        <c:manualLayout>
          <c:xMode val="edge"/>
          <c:yMode val="edge"/>
          <c:x val="0.65049999727165086"/>
          <c:y val="4.6711969223025207E-3"/>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20437660016424328"/>
          <c:w val="0.98611111111111116"/>
          <c:h val="0.50092266074102709"/>
        </c:manualLayout>
      </c:layout>
      <c:barChart>
        <c:barDir val="col"/>
        <c:grouping val="clustered"/>
        <c:varyColors val="0"/>
        <c:ser>
          <c:idx val="0"/>
          <c:order val="0"/>
          <c:tx>
            <c:strRef>
              <c:f>'Phân tích'!$B$14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tích'!$A$15:$A$20</c:f>
              <c:strCache>
                <c:ptCount val="5"/>
                <c:pt idx="0">
                  <c:v>Chi nhánh Đà Nẵng</c:v>
                </c:pt>
                <c:pt idx="1">
                  <c:v>Chi nhánh Hải Phòng</c:v>
                </c:pt>
                <c:pt idx="2">
                  <c:v>Chi nhánh TP.HCM</c:v>
                </c:pt>
                <c:pt idx="3">
                  <c:v>Chi nhánh Thái Nguyên</c:v>
                </c:pt>
                <c:pt idx="4">
                  <c:v>Trụ sở chính</c:v>
                </c:pt>
              </c:strCache>
            </c:strRef>
          </c:cat>
          <c:val>
            <c:numRef>
              <c:f>'Phân tích'!$B$15:$B$20</c:f>
              <c:numCache>
                <c:formatCode>General</c:formatCode>
                <c:ptCount val="5"/>
                <c:pt idx="0">
                  <c:v>61</c:v>
                </c:pt>
                <c:pt idx="1">
                  <c:v>89</c:v>
                </c:pt>
                <c:pt idx="2">
                  <c:v>86</c:v>
                </c:pt>
                <c:pt idx="3">
                  <c:v>110</c:v>
                </c:pt>
                <c:pt idx="4">
                  <c:v>78</c:v>
                </c:pt>
              </c:numCache>
            </c:numRef>
          </c:val>
          <c:extLst>
            <c:ext xmlns:c16="http://schemas.microsoft.com/office/drawing/2014/chart" uri="{C3380CC4-5D6E-409C-BE32-E72D297353CC}">
              <c16:uniqueId val="{00000000-D1C5-4270-A896-124718C6B138}"/>
            </c:ext>
          </c:extLst>
        </c:ser>
        <c:dLbls>
          <c:dLblPos val="outEnd"/>
          <c:showLegendKey val="0"/>
          <c:showVal val="1"/>
          <c:showCatName val="0"/>
          <c:showSerName val="0"/>
          <c:showPercent val="0"/>
          <c:showBubbleSize val="0"/>
        </c:dLbls>
        <c:gapWidth val="219"/>
        <c:overlap val="-27"/>
        <c:axId val="120797424"/>
        <c:axId val="120798256"/>
      </c:barChart>
      <c:catAx>
        <c:axId val="120797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0798256"/>
        <c:crosses val="autoZero"/>
        <c:auto val="1"/>
        <c:lblAlgn val="ctr"/>
        <c:lblOffset val="100"/>
        <c:noMultiLvlLbl val="0"/>
      </c:catAx>
      <c:valAx>
        <c:axId val="120798256"/>
        <c:scaling>
          <c:orientation val="minMax"/>
        </c:scaling>
        <c:delete val="1"/>
        <c:axPos val="l"/>
        <c:numFmt formatCode="General" sourceLinked="1"/>
        <c:majorTickMark val="out"/>
        <c:minorTickMark val="none"/>
        <c:tickLblPos val="nextTo"/>
        <c:crossAx val="12079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tích!Chi phí theo tháng</c:name>
    <c:fmtId val="3"/>
  </c:pivotSource>
  <c:chart>
    <c:title>
      <c:tx>
        <c:rich>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a:solidFill>
                  <a:srgbClr val="C00000"/>
                </a:solidFill>
                <a:latin typeface="Arial" panose="020B0604020202020204" pitchFamily="34" charset="0"/>
                <a:cs typeface="Arial" panose="020B0604020202020204" pitchFamily="34" charset="0"/>
              </a:rPr>
              <a:t>Chi phí</a:t>
            </a:r>
            <a:r>
              <a:rPr lang="en-US" sz="1100" b="1" baseline="0">
                <a:solidFill>
                  <a:srgbClr val="C00000"/>
                </a:solidFill>
                <a:latin typeface="Arial" panose="020B0604020202020204" pitchFamily="34" charset="0"/>
                <a:cs typeface="Arial" panose="020B0604020202020204" pitchFamily="34" charset="0"/>
              </a:rPr>
              <a:t> đào tạo theo tháng</a:t>
            </a:r>
            <a:endParaRPr lang="en-US" sz="1100" b="1">
              <a:solidFill>
                <a:srgbClr val="C00000"/>
              </a:solidFill>
              <a:latin typeface="Arial" panose="020B0604020202020204" pitchFamily="34" charset="0"/>
              <a:cs typeface="Arial" panose="020B0604020202020204" pitchFamily="34" charset="0"/>
            </a:endParaRPr>
          </a:p>
        </c:rich>
      </c:tx>
      <c:layout>
        <c:manualLayout>
          <c:xMode val="edge"/>
          <c:yMode val="edge"/>
          <c:x val="0.61156211562115614"/>
          <c:y val="2.110818526670829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60270602706028E-2"/>
          <c:y val="0.13431841891382046"/>
          <c:w val="0.9458794587945879"/>
          <c:h val="0.70245713681040367"/>
        </c:manualLayout>
      </c:layout>
      <c:lineChart>
        <c:grouping val="stacked"/>
        <c:varyColors val="0"/>
        <c:ser>
          <c:idx val="0"/>
          <c:order val="0"/>
          <c:tx>
            <c:strRef>
              <c:f>'Phân tích'!$B$23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tích'!$A$24:$A$36</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tích'!$B$24:$B$36</c:f>
              <c:numCache>
                <c:formatCode>#,##0.0,,"M"</c:formatCode>
                <c:ptCount val="12"/>
                <c:pt idx="0">
                  <c:v>2200000</c:v>
                </c:pt>
                <c:pt idx="1">
                  <c:v>3200000</c:v>
                </c:pt>
                <c:pt idx="2">
                  <c:v>3500000</c:v>
                </c:pt>
                <c:pt idx="3">
                  <c:v>47000000</c:v>
                </c:pt>
                <c:pt idx="4">
                  <c:v>5400000</c:v>
                </c:pt>
                <c:pt idx="5">
                  <c:v>17000000</c:v>
                </c:pt>
                <c:pt idx="6">
                  <c:v>1300000</c:v>
                </c:pt>
                <c:pt idx="7">
                  <c:v>9400000</c:v>
                </c:pt>
                <c:pt idx="8">
                  <c:v>1500000</c:v>
                </c:pt>
                <c:pt idx="9">
                  <c:v>1800000</c:v>
                </c:pt>
                <c:pt idx="10">
                  <c:v>1600000</c:v>
                </c:pt>
                <c:pt idx="11">
                  <c:v>3550000</c:v>
                </c:pt>
              </c:numCache>
            </c:numRef>
          </c:val>
          <c:smooth val="0"/>
          <c:extLst>
            <c:ext xmlns:c16="http://schemas.microsoft.com/office/drawing/2014/chart" uri="{C3380CC4-5D6E-409C-BE32-E72D297353CC}">
              <c16:uniqueId val="{00000000-1780-45F9-B15A-DC46E27A5703}"/>
            </c:ext>
          </c:extLst>
        </c:ser>
        <c:dLbls>
          <c:dLblPos val="t"/>
          <c:showLegendKey val="0"/>
          <c:showVal val="1"/>
          <c:showCatName val="0"/>
          <c:showSerName val="0"/>
          <c:showPercent val="0"/>
          <c:showBubbleSize val="0"/>
        </c:dLbls>
        <c:marker val="1"/>
        <c:smooth val="0"/>
        <c:axId val="28499968"/>
        <c:axId val="28501216"/>
      </c:lineChart>
      <c:catAx>
        <c:axId val="284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8501216"/>
        <c:crosses val="autoZero"/>
        <c:auto val="1"/>
        <c:lblAlgn val="ctr"/>
        <c:lblOffset val="100"/>
        <c:noMultiLvlLbl val="0"/>
      </c:catAx>
      <c:valAx>
        <c:axId val="28501216"/>
        <c:scaling>
          <c:orientation val="minMax"/>
        </c:scaling>
        <c:delete val="1"/>
        <c:axPos val="l"/>
        <c:numFmt formatCode="#,##0.0,,&quot;M&quot;" sourceLinked="1"/>
        <c:majorTickMark val="none"/>
        <c:minorTickMark val="none"/>
        <c:tickLblPos val="nextTo"/>
        <c:crossAx val="284999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tích!Top 5 chi phí</c:name>
    <c:fmtId val="3"/>
  </c:pivotSource>
  <c:chart>
    <c:title>
      <c:tx>
        <c:rich>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a:solidFill>
                  <a:srgbClr val="C00000"/>
                </a:solidFill>
                <a:latin typeface="Arial" panose="020B0604020202020204" pitchFamily="34" charset="0"/>
                <a:cs typeface="Arial" panose="020B0604020202020204" pitchFamily="34" charset="0"/>
              </a:rPr>
              <a:t>Top 5 chi</a:t>
            </a:r>
            <a:r>
              <a:rPr lang="en-US" sz="1100" b="1" baseline="0">
                <a:solidFill>
                  <a:srgbClr val="C00000"/>
                </a:solidFill>
                <a:latin typeface="Arial" panose="020B0604020202020204" pitchFamily="34" charset="0"/>
                <a:cs typeface="Arial" panose="020B0604020202020204" pitchFamily="34" charset="0"/>
              </a:rPr>
              <a:t> phí KH lớn nhất</a:t>
            </a:r>
            <a:endParaRPr lang="en-US" sz="1100" b="1">
              <a:solidFill>
                <a:srgbClr val="C00000"/>
              </a:solidFill>
              <a:latin typeface="Arial" panose="020B0604020202020204" pitchFamily="34" charset="0"/>
              <a:cs typeface="Arial" panose="020B0604020202020204" pitchFamily="34" charset="0"/>
            </a:endParaRPr>
          </a:p>
        </c:rich>
      </c:tx>
      <c:layout>
        <c:manualLayout>
          <c:xMode val="edge"/>
          <c:yMode val="edge"/>
          <c:x val="0.80852881458818127"/>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55088385203896E-2"/>
          <c:y val="0.1062200956937799"/>
          <c:w val="0.84209539392205635"/>
          <c:h val="0.55826646071154984"/>
        </c:manualLayout>
      </c:layout>
      <c:barChart>
        <c:barDir val="col"/>
        <c:grouping val="clustered"/>
        <c:varyColors val="0"/>
        <c:ser>
          <c:idx val="0"/>
          <c:order val="0"/>
          <c:tx>
            <c:strRef>
              <c:f>'Phân tích'!$B$39</c:f>
              <c:strCache>
                <c:ptCount val="1"/>
                <c:pt idx="0">
                  <c:v>Tổng chi phí đào tạo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tích'!$B$40:$B$45</c:f>
              <c:numCache>
                <c:formatCode>#,##0.0,,"M"</c:formatCode>
                <c:ptCount val="5"/>
                <c:pt idx="0">
                  <c:v>17000000</c:v>
                </c:pt>
                <c:pt idx="1">
                  <c:v>17000000</c:v>
                </c:pt>
                <c:pt idx="2">
                  <c:v>9400000</c:v>
                </c:pt>
                <c:pt idx="3">
                  <c:v>30000000</c:v>
                </c:pt>
                <c:pt idx="4">
                  <c:v>5400000</c:v>
                </c:pt>
              </c:numCache>
            </c:numRef>
          </c:val>
          <c:extLst>
            <c:ext xmlns:c16="http://schemas.microsoft.com/office/drawing/2014/chart" uri="{C3380CC4-5D6E-409C-BE32-E72D297353CC}">
              <c16:uniqueId val="{00000000-7E5E-4DF1-BBF3-C58055353FF0}"/>
            </c:ext>
          </c:extLst>
        </c:ser>
        <c:dLbls>
          <c:showLegendKey val="0"/>
          <c:showVal val="1"/>
          <c:showCatName val="0"/>
          <c:showSerName val="0"/>
          <c:showPercent val="0"/>
          <c:showBubbleSize val="0"/>
        </c:dLbls>
        <c:gapWidth val="219"/>
        <c:overlap val="-27"/>
        <c:axId val="272851648"/>
        <c:axId val="272849984"/>
      </c:barChart>
      <c:lineChart>
        <c:grouping val="standard"/>
        <c:varyColors val="0"/>
        <c:ser>
          <c:idx val="1"/>
          <c:order val="1"/>
          <c:tx>
            <c:strRef>
              <c:f>'Phân tích'!$C$39</c:f>
              <c:strCache>
                <c:ptCount val="1"/>
                <c:pt idx="0">
                  <c:v>Số học viên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tích'!$C$40:$C$45</c:f>
              <c:numCache>
                <c:formatCode>General</c:formatCode>
                <c:ptCount val="5"/>
                <c:pt idx="0">
                  <c:v>17</c:v>
                </c:pt>
                <c:pt idx="1">
                  <c:v>17</c:v>
                </c:pt>
                <c:pt idx="2">
                  <c:v>94</c:v>
                </c:pt>
                <c:pt idx="3">
                  <c:v>30</c:v>
                </c:pt>
                <c:pt idx="4">
                  <c:v>27</c:v>
                </c:pt>
              </c:numCache>
            </c:numRef>
          </c:val>
          <c:smooth val="0"/>
          <c:extLst>
            <c:ext xmlns:c16="http://schemas.microsoft.com/office/drawing/2014/chart" uri="{C3380CC4-5D6E-409C-BE32-E72D297353CC}">
              <c16:uniqueId val="{00000001-7E5E-4DF1-BBF3-C58055353FF0}"/>
            </c:ext>
          </c:extLst>
        </c:ser>
        <c:dLbls>
          <c:showLegendKey val="0"/>
          <c:showVal val="1"/>
          <c:showCatName val="0"/>
          <c:showSerName val="0"/>
          <c:showPercent val="0"/>
          <c:showBubbleSize val="0"/>
        </c:dLbls>
        <c:marker val="1"/>
        <c:smooth val="0"/>
        <c:axId val="2081380304"/>
        <c:axId val="2081386960"/>
      </c:lineChart>
      <c:catAx>
        <c:axId val="20813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386960"/>
        <c:crosses val="autoZero"/>
        <c:auto val="1"/>
        <c:lblAlgn val="ctr"/>
        <c:lblOffset val="100"/>
        <c:noMultiLvlLbl val="0"/>
      </c:catAx>
      <c:valAx>
        <c:axId val="208138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80304"/>
        <c:crosses val="autoZero"/>
        <c:crossBetween val="between"/>
      </c:valAx>
      <c:valAx>
        <c:axId val="272849984"/>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51648"/>
        <c:crosses val="max"/>
        <c:crossBetween val="between"/>
      </c:valAx>
      <c:catAx>
        <c:axId val="272851648"/>
        <c:scaling>
          <c:orientation val="minMax"/>
        </c:scaling>
        <c:delete val="1"/>
        <c:axPos val="b"/>
        <c:numFmt formatCode="General" sourceLinked="1"/>
        <c:majorTickMark val="out"/>
        <c:minorTickMark val="none"/>
        <c:tickLblPos val="nextTo"/>
        <c:crossAx val="27284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tích!Tỉ trong chi phí CN</c:name>
    <c:fmtId val="5"/>
  </c:pivotSource>
  <c:chart>
    <c:title>
      <c:tx>
        <c:rich>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100" b="1">
                <a:solidFill>
                  <a:srgbClr val="C00000"/>
                </a:solidFill>
                <a:latin typeface="Arial" panose="020B0604020202020204" pitchFamily="34" charset="0"/>
                <a:cs typeface="Arial" panose="020B0604020202020204" pitchFamily="34" charset="0"/>
              </a:rPr>
              <a:t>Tỉ</a:t>
            </a:r>
            <a:r>
              <a:rPr lang="en-US" sz="1100" b="1" baseline="0">
                <a:solidFill>
                  <a:srgbClr val="C00000"/>
                </a:solidFill>
                <a:latin typeface="Arial" panose="020B0604020202020204" pitchFamily="34" charset="0"/>
                <a:cs typeface="Arial" panose="020B0604020202020204" pitchFamily="34" charset="0"/>
              </a:rPr>
              <a:t> trọng chi phí đào tạo theo CN</a:t>
            </a:r>
            <a:endParaRPr lang="en-US" sz="1100" b="1">
              <a:solidFill>
                <a:srgbClr val="C00000"/>
              </a:solidFill>
              <a:latin typeface="Arial" panose="020B0604020202020204" pitchFamily="34" charset="0"/>
              <a:cs typeface="Arial" panose="020B0604020202020204" pitchFamily="34" charset="0"/>
            </a:endParaRPr>
          </a:p>
        </c:rich>
      </c:tx>
      <c:layout>
        <c:manualLayout>
          <c:xMode val="edge"/>
          <c:yMode val="edge"/>
          <c:x val="0.47311686444873902"/>
          <c:y val="1.904762857024300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'Phân tích'!$B$48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B5-4EBF-8C40-4841700303B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B5-4EBF-8C40-4841700303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B5-4EBF-8C40-4841700303B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B5-4EBF-8C40-4841700303B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B5-4EBF-8C40-4841700303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'Phân tích'!$A$49:$A$54</c:f>
              <c:strCache>
                <c:ptCount val="5"/>
                <c:pt idx="0">
                  <c:v>Chi nhánh Đà Nẵng</c:v>
                </c:pt>
                <c:pt idx="1">
                  <c:v>Chi nhánh Hải Phòng</c:v>
                </c:pt>
                <c:pt idx="2">
                  <c:v>Chi nhánh TP.HCM</c:v>
                </c:pt>
                <c:pt idx="3">
                  <c:v>Chi nhánh Thái Nguyên</c:v>
                </c:pt>
                <c:pt idx="4">
                  <c:v>Trụ sở chính</c:v>
                </c:pt>
              </c:strCache>
            </c:strRef>
          </c:cat>
          <c:val>
            <c:numRef>
              <c:f>'Phân tích'!$B$49:$B$54</c:f>
              <c:numCache>
                <c:formatCode>0.00%</c:formatCode>
                <c:ptCount val="5"/>
                <c:pt idx="0">
                  <c:v>0.18573627501282708</c:v>
                </c:pt>
                <c:pt idx="1">
                  <c:v>0.20523345305284763</c:v>
                </c:pt>
                <c:pt idx="2">
                  <c:v>0.24166239096972805</c:v>
                </c:pt>
                <c:pt idx="3">
                  <c:v>0.19497178040020524</c:v>
                </c:pt>
                <c:pt idx="4">
                  <c:v>0.172396100564392</c:v>
                </c:pt>
              </c:numCache>
            </c:numRef>
          </c:val>
          <c:extLst>
            <c:ext xmlns:c16="http://schemas.microsoft.com/office/drawing/2014/chart" uri="{C3380CC4-5D6E-409C-BE32-E72D297353CC}">
              <c16:uniqueId val="{0000000A-ADB5-4EBF-8C40-4841700303B3}"/>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tích!Số HV theo CN</c:name>
    <c:fmtId val="5"/>
  </c:pivotSource>
  <c:chart>
    <c:title>
      <c:tx>
        <c:rich>
          <a:bodyPr rot="0" spcFirstLastPara="1" vertOverflow="ellipsis" vert="horz" wrap="square" anchor="ctr" anchorCtr="1"/>
          <a:lstStyle/>
          <a:p>
            <a:pPr>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r>
              <a:rPr lang="en-US" sz="1200">
                <a:solidFill>
                  <a:srgbClr val="002060"/>
                </a:solidFill>
                <a:latin typeface="Arial" panose="020B0604020202020204" pitchFamily="34" charset="0"/>
                <a:cs typeface="Arial" panose="020B0604020202020204" pitchFamily="34" charset="0"/>
              </a:rPr>
              <a:t>Số học viên chi nhánh</a:t>
            </a:r>
          </a:p>
        </c:rich>
      </c:tx>
      <c:layout>
        <c:manualLayout>
          <c:xMode val="edge"/>
          <c:yMode val="edge"/>
          <c:x val="0.33462931817129765"/>
          <c:y val="4.6715103519258724E-3"/>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spc="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11439703073450253"/>
          <c:w val="0.98611111111111116"/>
          <c:h val="0.68075913315264569"/>
        </c:manualLayout>
      </c:layout>
      <c:barChart>
        <c:barDir val="col"/>
        <c:grouping val="clustered"/>
        <c:varyColors val="0"/>
        <c:ser>
          <c:idx val="0"/>
          <c:order val="0"/>
          <c:tx>
            <c:strRef>
              <c:f>'Phân tích'!$B$14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spc="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tích'!$A$15:$A$20</c:f>
              <c:strCache>
                <c:ptCount val="5"/>
                <c:pt idx="0">
                  <c:v>Chi nhánh Đà Nẵng</c:v>
                </c:pt>
                <c:pt idx="1">
                  <c:v>Chi nhánh Hải Phòng</c:v>
                </c:pt>
                <c:pt idx="2">
                  <c:v>Chi nhánh TP.HCM</c:v>
                </c:pt>
                <c:pt idx="3">
                  <c:v>Chi nhánh Thái Nguyên</c:v>
                </c:pt>
                <c:pt idx="4">
                  <c:v>Trụ sở chính</c:v>
                </c:pt>
              </c:strCache>
            </c:strRef>
          </c:cat>
          <c:val>
            <c:numRef>
              <c:f>'Phân tích'!$B$15:$B$20</c:f>
              <c:numCache>
                <c:formatCode>General</c:formatCode>
                <c:ptCount val="5"/>
                <c:pt idx="0">
                  <c:v>61</c:v>
                </c:pt>
                <c:pt idx="1">
                  <c:v>89</c:v>
                </c:pt>
                <c:pt idx="2">
                  <c:v>86</c:v>
                </c:pt>
                <c:pt idx="3">
                  <c:v>110</c:v>
                </c:pt>
                <c:pt idx="4">
                  <c:v>78</c:v>
                </c:pt>
              </c:numCache>
            </c:numRef>
          </c:val>
          <c:extLst>
            <c:ext xmlns:c16="http://schemas.microsoft.com/office/drawing/2014/chart" uri="{C3380CC4-5D6E-409C-BE32-E72D297353CC}">
              <c16:uniqueId val="{00000000-BE3C-4396-9A74-EE93ADB77635}"/>
            </c:ext>
          </c:extLst>
        </c:ser>
        <c:dLbls>
          <c:dLblPos val="outEnd"/>
          <c:showLegendKey val="0"/>
          <c:showVal val="1"/>
          <c:showCatName val="0"/>
          <c:showSerName val="0"/>
          <c:showPercent val="0"/>
          <c:showBubbleSize val="0"/>
        </c:dLbls>
        <c:gapWidth val="219"/>
        <c:overlap val="-27"/>
        <c:axId val="120797424"/>
        <c:axId val="120798256"/>
      </c:barChart>
      <c:catAx>
        <c:axId val="120797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spc="0" baseline="0">
                <a:solidFill>
                  <a:srgbClr val="FF0000"/>
                </a:solidFill>
                <a:latin typeface="+mn-lt"/>
                <a:ea typeface="+mn-ea"/>
                <a:cs typeface="+mn-cs"/>
              </a:defRPr>
            </a:pPr>
            <a:endParaRPr lang="en-US"/>
          </a:p>
        </c:txPr>
        <c:crossAx val="120798256"/>
        <c:crosses val="autoZero"/>
        <c:auto val="1"/>
        <c:lblAlgn val="ctr"/>
        <c:lblOffset val="100"/>
        <c:noMultiLvlLbl val="0"/>
      </c:catAx>
      <c:valAx>
        <c:axId val="120798256"/>
        <c:scaling>
          <c:orientation val="minMax"/>
        </c:scaling>
        <c:delete val="1"/>
        <c:axPos val="l"/>
        <c:numFmt formatCode="General" sourceLinked="1"/>
        <c:majorTickMark val="out"/>
        <c:minorTickMark val="none"/>
        <c:tickLblPos val="nextTo"/>
        <c:crossAx val="12079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200" b="1" i="0" u="none" strike="noStrike" kern="1200" spc="0" baseline="0">
          <a:solidFill>
            <a:srgbClr val="FF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tích!Chi phí theo tháng</c:name>
    <c:fmtId val="5"/>
  </c:pivotSource>
  <c:chart>
    <c:title>
      <c:tx>
        <c:rich>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r>
              <a:rPr lang="en-US" sz="1200" b="1" i="0" u="none" strike="noStrike" kern="1200" spc="0" baseline="0">
                <a:solidFill>
                  <a:srgbClr val="002060"/>
                </a:solidFill>
                <a:latin typeface="Arial" panose="020B0604020202020204" pitchFamily="34" charset="0"/>
                <a:ea typeface="+mn-ea"/>
                <a:cs typeface="Arial" panose="020B0604020202020204" pitchFamily="34" charset="0"/>
              </a:rPr>
              <a:t>Chi phí đào tạo theo tháng</a:t>
            </a:r>
          </a:p>
        </c:rich>
      </c:tx>
      <c:layout>
        <c:manualLayout>
          <c:xMode val="edge"/>
          <c:yMode val="edge"/>
          <c:x val="0.37230976034537733"/>
          <c:y val="5.9546370794066569E-4"/>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60270602706028E-2"/>
          <c:y val="0.13431841891382046"/>
          <c:w val="0.9458794587945879"/>
          <c:h val="0.70245713681040367"/>
        </c:manualLayout>
      </c:layout>
      <c:lineChart>
        <c:grouping val="stacked"/>
        <c:varyColors val="0"/>
        <c:ser>
          <c:idx val="0"/>
          <c:order val="0"/>
          <c:tx>
            <c:strRef>
              <c:f>'Phân tích'!$B$23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tích'!$A$24:$A$36</c:f>
              <c:strCache>
                <c:ptCount val="12"/>
                <c:pt idx="0">
                  <c:v>Thg1</c:v>
                </c:pt>
                <c:pt idx="1">
                  <c:v>Thg2</c:v>
                </c:pt>
                <c:pt idx="2">
                  <c:v>Thg3</c:v>
                </c:pt>
                <c:pt idx="3">
                  <c:v>Thg4</c:v>
                </c:pt>
                <c:pt idx="4">
                  <c:v>Thg5</c:v>
                </c:pt>
                <c:pt idx="5">
                  <c:v>Thg6</c:v>
                </c:pt>
                <c:pt idx="6">
                  <c:v>Thg7</c:v>
                </c:pt>
                <c:pt idx="7">
                  <c:v>Thg8</c:v>
                </c:pt>
                <c:pt idx="8">
                  <c:v>Thg9</c:v>
                </c:pt>
                <c:pt idx="9">
                  <c:v>Thg10</c:v>
                </c:pt>
                <c:pt idx="10">
                  <c:v>Thg11</c:v>
                </c:pt>
                <c:pt idx="11">
                  <c:v>Thg12</c:v>
                </c:pt>
              </c:strCache>
            </c:strRef>
          </c:cat>
          <c:val>
            <c:numRef>
              <c:f>'Phân tích'!$B$24:$B$36</c:f>
              <c:numCache>
                <c:formatCode>#,##0.0,,"M"</c:formatCode>
                <c:ptCount val="12"/>
                <c:pt idx="0">
                  <c:v>2200000</c:v>
                </c:pt>
                <c:pt idx="1">
                  <c:v>3200000</c:v>
                </c:pt>
                <c:pt idx="2">
                  <c:v>3500000</c:v>
                </c:pt>
                <c:pt idx="3">
                  <c:v>47000000</c:v>
                </c:pt>
                <c:pt idx="4">
                  <c:v>5400000</c:v>
                </c:pt>
                <c:pt idx="5">
                  <c:v>17000000</c:v>
                </c:pt>
                <c:pt idx="6">
                  <c:v>1300000</c:v>
                </c:pt>
                <c:pt idx="7">
                  <c:v>9400000</c:v>
                </c:pt>
                <c:pt idx="8">
                  <c:v>1500000</c:v>
                </c:pt>
                <c:pt idx="9">
                  <c:v>1800000</c:v>
                </c:pt>
                <c:pt idx="10">
                  <c:v>1600000</c:v>
                </c:pt>
                <c:pt idx="11">
                  <c:v>3550000</c:v>
                </c:pt>
              </c:numCache>
            </c:numRef>
          </c:val>
          <c:smooth val="0"/>
          <c:extLst>
            <c:ext xmlns:c16="http://schemas.microsoft.com/office/drawing/2014/chart" uri="{C3380CC4-5D6E-409C-BE32-E72D297353CC}">
              <c16:uniqueId val="{00000000-C34B-4636-9CDD-61EFBA3AEEFE}"/>
            </c:ext>
          </c:extLst>
        </c:ser>
        <c:dLbls>
          <c:dLblPos val="t"/>
          <c:showLegendKey val="0"/>
          <c:showVal val="1"/>
          <c:showCatName val="0"/>
          <c:showSerName val="0"/>
          <c:showPercent val="0"/>
          <c:showBubbleSize val="0"/>
        </c:dLbls>
        <c:marker val="1"/>
        <c:smooth val="0"/>
        <c:axId val="28499968"/>
        <c:axId val="28501216"/>
      </c:lineChart>
      <c:catAx>
        <c:axId val="284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216"/>
        <c:crosses val="autoZero"/>
        <c:auto val="1"/>
        <c:lblAlgn val="ctr"/>
        <c:lblOffset val="100"/>
        <c:noMultiLvlLbl val="0"/>
      </c:catAx>
      <c:valAx>
        <c:axId val="28501216"/>
        <c:scaling>
          <c:orientation val="minMax"/>
        </c:scaling>
        <c:delete val="1"/>
        <c:axPos val="l"/>
        <c:numFmt formatCode="#,##0.0,,&quot;M&quot;" sourceLinked="1"/>
        <c:majorTickMark val="none"/>
        <c:minorTickMark val="none"/>
        <c:tickLblPos val="nextTo"/>
        <c:crossAx val="284999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tích!Top 5 chi phí</c:name>
    <c:fmtId val="5"/>
  </c:pivotSource>
  <c:chart>
    <c:title>
      <c:tx>
        <c:rich>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r>
              <a:rPr lang="en-US" sz="1200" b="1" i="0" u="none" strike="noStrike" kern="1200" spc="0" baseline="0">
                <a:solidFill>
                  <a:srgbClr val="002060"/>
                </a:solidFill>
                <a:latin typeface="Arial" panose="020B0604020202020204" pitchFamily="34" charset="0"/>
                <a:ea typeface="+mn-ea"/>
                <a:cs typeface="Arial" panose="020B0604020202020204" pitchFamily="34" charset="0"/>
              </a:rPr>
              <a:t>Top 5 chi phí đào tạo lớn nhất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4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'Phân tích'!$B$39</c:f>
              <c:strCache>
                <c:ptCount val="1"/>
                <c:pt idx="0">
                  <c:v>Tổng chi phí đào tạo</c:v>
                </c:pt>
              </c:strCache>
            </c:strRef>
          </c:tx>
          <c:spPr>
            <a:solidFill>
              <a:srgbClr val="A4C3B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tích'!$B$40:$B$45</c:f>
              <c:numCache>
                <c:formatCode>#,##0.0,,"M"</c:formatCode>
                <c:ptCount val="5"/>
                <c:pt idx="0">
                  <c:v>17000000</c:v>
                </c:pt>
                <c:pt idx="1">
                  <c:v>17000000</c:v>
                </c:pt>
                <c:pt idx="2">
                  <c:v>9400000</c:v>
                </c:pt>
                <c:pt idx="3">
                  <c:v>30000000</c:v>
                </c:pt>
                <c:pt idx="4">
                  <c:v>5400000</c:v>
                </c:pt>
              </c:numCache>
            </c:numRef>
          </c:val>
          <c:extLst>
            <c:ext xmlns:c16="http://schemas.microsoft.com/office/drawing/2014/chart" uri="{C3380CC4-5D6E-409C-BE32-E72D297353CC}">
              <c16:uniqueId val="{00000000-D4C9-42A1-9E2E-ACFA5A3DB1D8}"/>
            </c:ext>
          </c:extLst>
        </c:ser>
        <c:dLbls>
          <c:showLegendKey val="0"/>
          <c:showVal val="1"/>
          <c:showCatName val="0"/>
          <c:showSerName val="0"/>
          <c:showPercent val="0"/>
          <c:showBubbleSize val="0"/>
        </c:dLbls>
        <c:gapWidth val="219"/>
        <c:overlap val="-27"/>
        <c:axId val="272851648"/>
        <c:axId val="272849984"/>
      </c:barChart>
      <c:lineChart>
        <c:grouping val="standard"/>
        <c:varyColors val="0"/>
        <c:ser>
          <c:idx val="1"/>
          <c:order val="1"/>
          <c:tx>
            <c:strRef>
              <c:f>'Phân tích'!$C$39</c:f>
              <c:strCache>
                <c:ptCount val="1"/>
                <c:pt idx="0">
                  <c:v>Số học viên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tích'!$A$40:$A$45</c:f>
              <c:strCache>
                <c:ptCount val="5"/>
                <c:pt idx="0">
                  <c:v>Đào tạo chéo</c:v>
                </c:pt>
                <c:pt idx="1">
                  <c:v>Vai trò quản lí</c:v>
                </c:pt>
                <c:pt idx="2">
                  <c:v>Kĩ năng quản lí thời gian</c:v>
                </c:pt>
                <c:pt idx="3">
                  <c:v>Kĩ năng Power Point</c:v>
                </c:pt>
                <c:pt idx="4">
                  <c:v>Xây dựng đội nhóm</c:v>
                </c:pt>
              </c:strCache>
            </c:strRef>
          </c:cat>
          <c:val>
            <c:numRef>
              <c:f>'Phân tích'!$C$40:$C$45</c:f>
              <c:numCache>
                <c:formatCode>General</c:formatCode>
                <c:ptCount val="5"/>
                <c:pt idx="0">
                  <c:v>17</c:v>
                </c:pt>
                <c:pt idx="1">
                  <c:v>17</c:v>
                </c:pt>
                <c:pt idx="2">
                  <c:v>94</c:v>
                </c:pt>
                <c:pt idx="3">
                  <c:v>30</c:v>
                </c:pt>
                <c:pt idx="4">
                  <c:v>27</c:v>
                </c:pt>
              </c:numCache>
            </c:numRef>
          </c:val>
          <c:smooth val="0"/>
          <c:extLst>
            <c:ext xmlns:c16="http://schemas.microsoft.com/office/drawing/2014/chart" uri="{C3380CC4-5D6E-409C-BE32-E72D297353CC}">
              <c16:uniqueId val="{00000001-D4C9-42A1-9E2E-ACFA5A3DB1D8}"/>
            </c:ext>
          </c:extLst>
        </c:ser>
        <c:dLbls>
          <c:showLegendKey val="0"/>
          <c:showVal val="1"/>
          <c:showCatName val="0"/>
          <c:showSerName val="0"/>
          <c:showPercent val="0"/>
          <c:showBubbleSize val="0"/>
        </c:dLbls>
        <c:marker val="1"/>
        <c:smooth val="0"/>
        <c:axId val="2081380304"/>
        <c:axId val="2081386960"/>
      </c:lineChart>
      <c:catAx>
        <c:axId val="20813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86960"/>
        <c:crosses val="autoZero"/>
        <c:auto val="1"/>
        <c:lblAlgn val="ctr"/>
        <c:lblOffset val="100"/>
        <c:noMultiLvlLbl val="0"/>
      </c:catAx>
      <c:valAx>
        <c:axId val="20813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80304"/>
        <c:crosses val="autoZero"/>
        <c:crossBetween val="between"/>
      </c:valAx>
      <c:valAx>
        <c:axId val="272849984"/>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851648"/>
        <c:crosses val="max"/>
        <c:crossBetween val="between"/>
      </c:valAx>
      <c:catAx>
        <c:axId val="272851648"/>
        <c:scaling>
          <c:orientation val="minMax"/>
        </c:scaling>
        <c:delete val="1"/>
        <c:axPos val="b"/>
        <c:numFmt formatCode="General" sourceLinked="1"/>
        <c:majorTickMark val="out"/>
        <c:minorTickMark val="none"/>
        <c:tickLblPos val="nextTo"/>
        <c:crossAx val="27284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tao.ver01.xlsx]Phân tích!Tỉ trong chi phí CN</c:name>
    <c:fmtId val="7"/>
  </c:pivotSource>
  <c:chart>
    <c:title>
      <c:tx>
        <c:rich>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r>
              <a:rPr lang="en-US" sz="1200" b="1" i="0" u="none" strike="noStrike" kern="1200" spc="0" baseline="0">
                <a:solidFill>
                  <a:srgbClr val="002060"/>
                </a:solidFill>
                <a:latin typeface="Arial" panose="020B0604020202020204" pitchFamily="34" charset="0"/>
                <a:ea typeface="+mn-ea"/>
                <a:cs typeface="Arial" panose="020B0604020202020204" pitchFamily="34" charset="0"/>
              </a:rPr>
              <a:t>Tỉ trọng chi phí đào tạo theo chi nhánh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00206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BDFBD"/>
          </a:solidFill>
          <a:ln w="25400">
            <a:solidFill>
              <a:schemeClr val="lt1"/>
            </a:solidFill>
          </a:ln>
          <a:effectLst/>
          <a:sp3d contourW="25400">
            <a:contourClr>
              <a:schemeClr val="lt1"/>
            </a:contourClr>
          </a:sp3d>
        </c:spPr>
      </c:pivotFmt>
      <c:pivotFmt>
        <c:idx val="14"/>
        <c:spPr>
          <a:solidFill>
            <a:srgbClr val="F19C79"/>
          </a:solidFill>
          <a:ln w="25400">
            <a:solidFill>
              <a:schemeClr val="lt1"/>
            </a:solidFill>
          </a:ln>
          <a:effectLst/>
          <a:sp3d contourW="25400">
            <a:contourClr>
              <a:schemeClr val="lt1"/>
            </a:contourClr>
          </a:sp3d>
        </c:spPr>
      </c:pivotFmt>
      <c:pivotFmt>
        <c:idx val="15"/>
        <c:spPr>
          <a:solidFill>
            <a:srgbClr val="A44A3F"/>
          </a:solidFill>
          <a:ln w="25400">
            <a:solidFill>
              <a:schemeClr val="lt1"/>
            </a:solidFill>
          </a:ln>
          <a:effectLst/>
          <a:sp3d contourW="25400">
            <a:contourClr>
              <a:schemeClr val="lt1"/>
            </a:contourClr>
          </a:sp3d>
        </c:spPr>
      </c:pivotFmt>
      <c:pivotFmt>
        <c:idx val="16"/>
        <c:spPr>
          <a:solidFill>
            <a:srgbClr val="D4E09B"/>
          </a:solidFill>
          <a:ln w="25400">
            <a:solidFill>
              <a:schemeClr val="lt1"/>
            </a:solidFill>
          </a:ln>
          <a:effectLst/>
          <a:sp3d contourW="25400">
            <a:contourClr>
              <a:schemeClr val="lt1"/>
            </a:contourClr>
          </a:sp3d>
        </c:spPr>
      </c:pivotFmt>
      <c:pivotFmt>
        <c:idx val="17"/>
        <c:spPr>
          <a:solidFill>
            <a:srgbClr val="F6F4D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'Phân tích'!$B$48</c:f>
              <c:strCache>
                <c:ptCount val="1"/>
                <c:pt idx="0">
                  <c:v>Total</c:v>
                </c:pt>
              </c:strCache>
            </c:strRef>
          </c:tx>
          <c:dPt>
            <c:idx val="0"/>
            <c:bubble3D val="0"/>
            <c:spPr>
              <a:solidFill>
                <a:srgbClr val="CBDFBD"/>
              </a:solidFill>
              <a:ln w="25400">
                <a:solidFill>
                  <a:schemeClr val="lt1"/>
                </a:solidFill>
              </a:ln>
              <a:effectLst/>
              <a:sp3d contourW="25400">
                <a:contourClr>
                  <a:schemeClr val="lt1"/>
                </a:contourClr>
              </a:sp3d>
            </c:spPr>
            <c:extLst>
              <c:ext xmlns:c16="http://schemas.microsoft.com/office/drawing/2014/chart" uri="{C3380CC4-5D6E-409C-BE32-E72D297353CC}">
                <c16:uniqueId val="{00000001-144C-4403-8D74-91323B428E64}"/>
              </c:ext>
            </c:extLst>
          </c:dPt>
          <c:dPt>
            <c:idx val="1"/>
            <c:bubble3D val="0"/>
            <c:spPr>
              <a:solidFill>
                <a:srgbClr val="F19C79"/>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4C-4403-8D74-91323B428E64}"/>
              </c:ext>
            </c:extLst>
          </c:dPt>
          <c:dPt>
            <c:idx val="2"/>
            <c:bubble3D val="0"/>
            <c:spPr>
              <a:solidFill>
                <a:srgbClr val="A44A3F"/>
              </a:solidFill>
              <a:ln w="25400">
                <a:solidFill>
                  <a:schemeClr val="lt1"/>
                </a:solidFill>
              </a:ln>
              <a:effectLst/>
              <a:sp3d contourW="25400">
                <a:contourClr>
                  <a:schemeClr val="lt1"/>
                </a:contourClr>
              </a:sp3d>
            </c:spPr>
            <c:extLst>
              <c:ext xmlns:c16="http://schemas.microsoft.com/office/drawing/2014/chart" uri="{C3380CC4-5D6E-409C-BE32-E72D297353CC}">
                <c16:uniqueId val="{00000005-144C-4403-8D74-91323B428E64}"/>
              </c:ext>
            </c:extLst>
          </c:dPt>
          <c:dPt>
            <c:idx val="3"/>
            <c:bubble3D val="0"/>
            <c:spPr>
              <a:solidFill>
                <a:srgbClr val="D4E09B"/>
              </a:solidFill>
              <a:ln w="25400">
                <a:solidFill>
                  <a:schemeClr val="lt1"/>
                </a:solidFill>
              </a:ln>
              <a:effectLst/>
              <a:sp3d contourW="25400">
                <a:contourClr>
                  <a:schemeClr val="lt1"/>
                </a:contourClr>
              </a:sp3d>
            </c:spPr>
            <c:extLst>
              <c:ext xmlns:c16="http://schemas.microsoft.com/office/drawing/2014/chart" uri="{C3380CC4-5D6E-409C-BE32-E72D297353CC}">
                <c16:uniqueId val="{00000007-144C-4403-8D74-91323B428E64}"/>
              </c:ext>
            </c:extLst>
          </c:dPt>
          <c:dPt>
            <c:idx val="4"/>
            <c:bubble3D val="0"/>
            <c:spPr>
              <a:solidFill>
                <a:srgbClr val="F6F4D2"/>
              </a:solidFill>
              <a:ln w="25400">
                <a:solidFill>
                  <a:schemeClr val="lt1"/>
                </a:solidFill>
              </a:ln>
              <a:effectLst/>
              <a:sp3d contourW="25400">
                <a:contourClr>
                  <a:schemeClr val="lt1"/>
                </a:contourClr>
              </a:sp3d>
            </c:spPr>
            <c:extLst>
              <c:ext xmlns:c16="http://schemas.microsoft.com/office/drawing/2014/chart" uri="{C3380CC4-5D6E-409C-BE32-E72D297353CC}">
                <c16:uniqueId val="{00000009-144C-4403-8D74-91323B428E64}"/>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rgbClr val="00206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'Phân tích'!$A$49:$A$54</c:f>
              <c:strCache>
                <c:ptCount val="5"/>
                <c:pt idx="0">
                  <c:v>Chi nhánh Đà Nẵng</c:v>
                </c:pt>
                <c:pt idx="1">
                  <c:v>Chi nhánh Hải Phòng</c:v>
                </c:pt>
                <c:pt idx="2">
                  <c:v>Chi nhánh TP.HCM</c:v>
                </c:pt>
                <c:pt idx="3">
                  <c:v>Chi nhánh Thái Nguyên</c:v>
                </c:pt>
                <c:pt idx="4">
                  <c:v>Trụ sở chính</c:v>
                </c:pt>
              </c:strCache>
            </c:strRef>
          </c:cat>
          <c:val>
            <c:numRef>
              <c:f>'Phân tích'!$B$49:$B$54</c:f>
              <c:numCache>
                <c:formatCode>0.00%</c:formatCode>
                <c:ptCount val="5"/>
                <c:pt idx="0">
                  <c:v>0.18573627501282708</c:v>
                </c:pt>
                <c:pt idx="1">
                  <c:v>0.20523345305284763</c:v>
                </c:pt>
                <c:pt idx="2">
                  <c:v>0.24166239096972805</c:v>
                </c:pt>
                <c:pt idx="3">
                  <c:v>0.19497178040020524</c:v>
                </c:pt>
                <c:pt idx="4">
                  <c:v>0.172396100564392</c:v>
                </c:pt>
              </c:numCache>
            </c:numRef>
          </c:val>
          <c:extLst>
            <c:ext xmlns:c16="http://schemas.microsoft.com/office/drawing/2014/chart" uri="{C3380CC4-5D6E-409C-BE32-E72D297353CC}">
              <c16:uniqueId val="{0000000A-144C-4403-8D74-91323B428E64}"/>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0</xdr:row>
      <xdr:rowOff>0</xdr:rowOff>
    </xdr:from>
    <xdr:to>
      <xdr:col>6</xdr:col>
      <xdr:colOff>561975</xdr:colOff>
      <xdr:row>12</xdr:row>
      <xdr:rowOff>111125</xdr:rowOff>
    </xdr:to>
    <mc:AlternateContent xmlns:mc="http://schemas.openxmlformats.org/markup-compatibility/2006" xmlns:a14="http://schemas.microsoft.com/office/drawing/2010/main">
      <mc:Choice Requires="a14">
        <xdr:graphicFrame macro="">
          <xdr:nvGraphicFramePr>
            <xdr:cNvPr id="2" name="Chi nhánh">
              <a:extLst>
                <a:ext uri="{FF2B5EF4-FFF2-40B4-BE49-F238E27FC236}">
                  <a16:creationId xmlns:a16="http://schemas.microsoft.com/office/drawing/2014/main" id="{D570DF79-D074-4FF0-9990-73ED67FBB837}"/>
                </a:ext>
              </a:extLst>
            </xdr:cNvPr>
            <xdr:cNvGraphicFramePr/>
          </xdr:nvGraphicFramePr>
          <xdr:xfrm>
            <a:off x="0" y="0"/>
            <a:ext cx="0" cy="0"/>
          </xdr:xfrm>
          <a:graphic>
            <a:graphicData uri="http://schemas.microsoft.com/office/drawing/2010/slicer">
              <sle:slicer xmlns:sle="http://schemas.microsoft.com/office/drawing/2010/slicer" name="Chi nhánh"/>
            </a:graphicData>
          </a:graphic>
        </xdr:graphicFrame>
      </mc:Choice>
      <mc:Fallback xmlns="">
        <xdr:sp macro="" textlink="">
          <xdr:nvSpPr>
            <xdr:cNvPr id="0" name=""/>
            <xdr:cNvSpPr>
              <a:spLocks noTextEdit="1"/>
            </xdr:cNvSpPr>
          </xdr:nvSpPr>
          <xdr:spPr>
            <a:xfrm>
              <a:off x="6219825" y="0"/>
              <a:ext cx="1828800" cy="239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xdr:colOff>
      <xdr:row>0</xdr:row>
      <xdr:rowOff>0</xdr:rowOff>
    </xdr:from>
    <xdr:to>
      <xdr:col>8</xdr:col>
      <xdr:colOff>476250</xdr:colOff>
      <xdr:row>15</xdr:row>
      <xdr:rowOff>94500</xdr:rowOff>
    </xdr:to>
    <mc:AlternateContent xmlns:mc="http://schemas.openxmlformats.org/markup-compatibility/2006" xmlns:a14="http://schemas.microsoft.com/office/drawing/2010/main">
      <mc:Choice Requires="a14">
        <xdr:graphicFrame macro="">
          <xdr:nvGraphicFramePr>
            <xdr:cNvPr id="3" name="Phòng ban">
              <a:extLst>
                <a:ext uri="{FF2B5EF4-FFF2-40B4-BE49-F238E27FC236}">
                  <a16:creationId xmlns:a16="http://schemas.microsoft.com/office/drawing/2014/main" id="{365C90A5-438A-4527-97C9-BF094AA48E90}"/>
                </a:ext>
              </a:extLst>
            </xdr:cNvPr>
            <xdr:cNvGraphicFramePr/>
          </xdr:nvGraphicFramePr>
          <xdr:xfrm>
            <a:off x="0" y="0"/>
            <a:ext cx="0" cy="0"/>
          </xdr:xfrm>
          <a:graphic>
            <a:graphicData uri="http://schemas.microsoft.com/office/drawing/2010/slicer">
              <sle:slicer xmlns:sle="http://schemas.microsoft.com/office/drawing/2010/slicer" name="Phòng ban"/>
            </a:graphicData>
          </a:graphic>
        </xdr:graphicFrame>
      </mc:Choice>
      <mc:Fallback xmlns="">
        <xdr:sp macro="" textlink="">
          <xdr:nvSpPr>
            <xdr:cNvPr id="0" name=""/>
            <xdr:cNvSpPr>
              <a:spLocks noTextEdit="1"/>
            </xdr:cNvSpPr>
          </xdr:nvSpPr>
          <xdr:spPr>
            <a:xfrm>
              <a:off x="8343900" y="0"/>
              <a:ext cx="1828800" cy="295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447675</xdr:colOff>
      <xdr:row>0</xdr:row>
      <xdr:rowOff>104774</xdr:rowOff>
    </xdr:from>
    <xdr:to>
      <xdr:col>9</xdr:col>
      <xdr:colOff>1047750</xdr:colOff>
      <xdr:row>13</xdr:row>
      <xdr:rowOff>148274</xdr:rowOff>
    </xdr:to>
    <mc:AlternateContent xmlns:mc="http://schemas.openxmlformats.org/markup-compatibility/2006" xmlns:a14="http://schemas.microsoft.com/office/drawing/2010/main">
      <mc:Choice Requires="a14">
        <xdr:graphicFrame macro="">
          <xdr:nvGraphicFramePr>
            <xdr:cNvPr id="4" name="Thời gian đào tạo (Month)">
              <a:extLst>
                <a:ext uri="{FF2B5EF4-FFF2-40B4-BE49-F238E27FC236}">
                  <a16:creationId xmlns:a16="http://schemas.microsoft.com/office/drawing/2014/main" id="{3BAD917F-A749-4562-AF33-B05D04666CA6}"/>
                </a:ext>
              </a:extLst>
            </xdr:cNvPr>
            <xdr:cNvGraphicFramePr/>
          </xdr:nvGraphicFramePr>
          <xdr:xfrm>
            <a:off x="0" y="0"/>
            <a:ext cx="0" cy="0"/>
          </xdr:xfrm>
          <a:graphic>
            <a:graphicData uri="http://schemas.microsoft.com/office/drawing/2010/slicer">
              <sle:slicer xmlns:sle="http://schemas.microsoft.com/office/drawing/2010/slicer" name="Thời gian đào tạo (Month)"/>
            </a:graphicData>
          </a:graphic>
        </xdr:graphicFrame>
      </mc:Choice>
      <mc:Fallback xmlns="">
        <xdr:sp macro="" textlink="">
          <xdr:nvSpPr>
            <xdr:cNvPr id="0" name=""/>
            <xdr:cNvSpPr>
              <a:spLocks noTextEdit="1"/>
            </xdr:cNvSpPr>
          </xdr:nvSpPr>
          <xdr:spPr>
            <a:xfrm>
              <a:off x="10144125" y="104774"/>
              <a:ext cx="1828800" cy="25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852487</xdr:colOff>
      <xdr:row>14</xdr:row>
      <xdr:rowOff>161925</xdr:rowOff>
    </xdr:from>
    <xdr:to>
      <xdr:col>7</xdr:col>
      <xdr:colOff>4762</xdr:colOff>
      <xdr:row>25</xdr:row>
      <xdr:rowOff>185737</xdr:rowOff>
    </xdr:to>
    <xdr:graphicFrame macro="">
      <xdr:nvGraphicFramePr>
        <xdr:cNvPr id="5" name="Chart 4">
          <a:extLst>
            <a:ext uri="{FF2B5EF4-FFF2-40B4-BE49-F238E27FC236}">
              <a16:creationId xmlns:a16="http://schemas.microsoft.com/office/drawing/2014/main" id="{1D47EA88-E915-4E8B-B187-462516A0D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26</xdr:row>
      <xdr:rowOff>9524</xdr:rowOff>
    </xdr:from>
    <xdr:to>
      <xdr:col>7</xdr:col>
      <xdr:colOff>47625</xdr:colOff>
      <xdr:row>35</xdr:row>
      <xdr:rowOff>100011</xdr:rowOff>
    </xdr:to>
    <xdr:graphicFrame macro="">
      <xdr:nvGraphicFramePr>
        <xdr:cNvPr id="6" name="Chart 5">
          <a:extLst>
            <a:ext uri="{FF2B5EF4-FFF2-40B4-BE49-F238E27FC236}">
              <a16:creationId xmlns:a16="http://schemas.microsoft.com/office/drawing/2014/main" id="{3B55FCB1-D083-4831-9DCE-B4743B3EF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157162</xdr:colOff>
      <xdr:row>33</xdr:row>
      <xdr:rowOff>42862</xdr:rowOff>
    </xdr:from>
    <xdr:to>
      <xdr:col>7</xdr:col>
      <xdr:colOff>185737</xdr:colOff>
      <xdr:row>47</xdr:row>
      <xdr:rowOff>119062</xdr:rowOff>
    </xdr:to>
    <xdr:graphicFrame macro="">
      <xdr:nvGraphicFramePr>
        <xdr:cNvPr id="7" name="Chart 6">
          <a:extLst>
            <a:ext uri="{FF2B5EF4-FFF2-40B4-BE49-F238E27FC236}">
              <a16:creationId xmlns:a16="http://schemas.microsoft.com/office/drawing/2014/main" id="{FC9EEBE7-B101-4388-B5DC-8D943CA9D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147637</xdr:colOff>
      <xdr:row>48</xdr:row>
      <xdr:rowOff>61912</xdr:rowOff>
    </xdr:from>
    <xdr:to>
      <xdr:col>7</xdr:col>
      <xdr:colOff>176212</xdr:colOff>
      <xdr:row>62</xdr:row>
      <xdr:rowOff>138112</xdr:rowOff>
    </xdr:to>
    <xdr:graphicFrame macro="">
      <xdr:nvGraphicFramePr>
        <xdr:cNvPr id="8" name="Chart 7">
          <a:extLst>
            <a:ext uri="{FF2B5EF4-FFF2-40B4-BE49-F238E27FC236}">
              <a16:creationId xmlns:a16="http://schemas.microsoft.com/office/drawing/2014/main" id="{FAA5297E-682B-42E3-9A2A-BDF057197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342900</xdr:colOff>
      <xdr:row>23</xdr:row>
      <xdr:rowOff>66675</xdr:rowOff>
    </xdr:to>
    <xdr:grpSp>
      <xdr:nvGrpSpPr>
        <xdr:cNvPr id="25" name="Group 24">
          <a:extLst>
            <a:ext uri="{FF2B5EF4-FFF2-40B4-BE49-F238E27FC236}">
              <a16:creationId xmlns:a16="http://schemas.microsoft.com/office/drawing/2014/main" id="{751E6347-48DC-479C-89A7-9A3D1F390415}"/>
            </a:ext>
          </a:extLst>
        </xdr:cNvPr>
        <xdr:cNvGrpSpPr/>
      </xdr:nvGrpSpPr>
      <xdr:grpSpPr>
        <a:xfrm>
          <a:off x="0" y="0"/>
          <a:ext cx="12315825" cy="4448175"/>
          <a:chOff x="0" y="0"/>
          <a:chExt cx="12534900" cy="4037249"/>
        </a:xfrm>
      </xdr:grpSpPr>
      <xdr:graphicFrame macro="">
        <xdr:nvGraphicFramePr>
          <xdr:cNvPr id="2" name="Chart 1">
            <a:extLst>
              <a:ext uri="{FF2B5EF4-FFF2-40B4-BE49-F238E27FC236}">
                <a16:creationId xmlns:a16="http://schemas.microsoft.com/office/drawing/2014/main" id="{6C660AA7-CDE1-4199-B6BC-22BA83CE6588}"/>
              </a:ext>
            </a:extLst>
          </xdr:cNvPr>
          <xdr:cNvGraphicFramePr>
            <a:graphicFrameLocks/>
          </xdr:cNvGraphicFramePr>
        </xdr:nvGraphicFramePr>
        <xdr:xfrm>
          <a:off x="1552575" y="600075"/>
          <a:ext cx="4581525" cy="13906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AA962BD0-23B2-414B-A034-9A4CA4DA6199}"/>
              </a:ext>
            </a:extLst>
          </xdr:cNvPr>
          <xdr:cNvGraphicFramePr>
            <a:graphicFrameLocks/>
          </xdr:cNvGraphicFramePr>
        </xdr:nvGraphicFramePr>
        <xdr:xfrm>
          <a:off x="6143625" y="619125"/>
          <a:ext cx="4714875" cy="13906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3B4FDFE7-C9F6-4B1C-B680-24C5034A934F}"/>
              </a:ext>
            </a:extLst>
          </xdr:cNvPr>
          <xdr:cNvGraphicFramePr>
            <a:graphicFrameLocks/>
          </xdr:cNvGraphicFramePr>
        </xdr:nvGraphicFramePr>
        <xdr:xfrm>
          <a:off x="1557337" y="2019299"/>
          <a:ext cx="4586288" cy="19907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FE362687-701E-44EB-AB5F-66EB59F2A02E}"/>
              </a:ext>
            </a:extLst>
          </xdr:cNvPr>
          <xdr:cNvGraphicFramePr>
            <a:graphicFrameLocks/>
          </xdr:cNvGraphicFramePr>
        </xdr:nvGraphicFramePr>
        <xdr:xfrm>
          <a:off x="6153149" y="2019301"/>
          <a:ext cx="4695825" cy="200024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7" name="Chi nhánh 1">
                <a:extLst>
                  <a:ext uri="{FF2B5EF4-FFF2-40B4-BE49-F238E27FC236}">
                    <a16:creationId xmlns:a16="http://schemas.microsoft.com/office/drawing/2014/main" id="{58A924A4-4D78-404E-A5A5-36C04845E48B}"/>
                  </a:ext>
                </a:extLst>
              </xdr:cNvPr>
              <xdr:cNvGraphicFramePr/>
            </xdr:nvGraphicFramePr>
            <xdr:xfrm>
              <a:off x="9525" y="638174"/>
              <a:ext cx="1552575" cy="1724025"/>
            </xdr:xfrm>
            <a:graphic>
              <a:graphicData uri="http://schemas.microsoft.com/office/drawing/2010/slicer">
                <sle:slicer xmlns:sle="http://schemas.microsoft.com/office/drawing/2010/slicer" name="Chi nhánh 1"/>
              </a:graphicData>
            </a:graphic>
          </xdr:graphicFrame>
        </mc:Choice>
        <mc:Fallback xmlns="">
          <xdr:sp macro="" textlink="">
            <xdr:nvSpPr>
              <xdr:cNvPr id="0" name=""/>
              <xdr:cNvSpPr>
                <a:spLocks noTextEdit="1"/>
              </xdr:cNvSpPr>
            </xdr:nvSpPr>
            <xdr:spPr>
              <a:xfrm>
                <a:off x="9359" y="703130"/>
                <a:ext cx="1525440" cy="189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Phòng ban 1">
                <a:extLst>
                  <a:ext uri="{FF2B5EF4-FFF2-40B4-BE49-F238E27FC236}">
                    <a16:creationId xmlns:a16="http://schemas.microsoft.com/office/drawing/2014/main" id="{4C920452-EDE5-4053-A521-B335E209B2CC}"/>
                  </a:ext>
                </a:extLst>
              </xdr:cNvPr>
              <xdr:cNvGraphicFramePr/>
            </xdr:nvGraphicFramePr>
            <xdr:xfrm>
              <a:off x="10877550" y="609600"/>
              <a:ext cx="1657350" cy="3390900"/>
            </xdr:xfrm>
            <a:graphic>
              <a:graphicData uri="http://schemas.microsoft.com/office/drawing/2010/slicer">
                <sle:slicer xmlns:sle="http://schemas.microsoft.com/office/drawing/2010/slicer" name="Phòng ban 1"/>
              </a:graphicData>
            </a:graphic>
          </xdr:graphicFrame>
        </mc:Choice>
        <mc:Fallback xmlns="">
          <xdr:sp macro="" textlink="">
            <xdr:nvSpPr>
              <xdr:cNvPr id="0" name=""/>
              <xdr:cNvSpPr>
                <a:spLocks noTextEdit="1"/>
              </xdr:cNvSpPr>
            </xdr:nvSpPr>
            <xdr:spPr>
              <a:xfrm>
                <a:off x="10687441" y="671647"/>
                <a:ext cx="1628384" cy="3736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Thời gian đào tạo (Month) 1">
                <a:extLst>
                  <a:ext uri="{FF2B5EF4-FFF2-40B4-BE49-F238E27FC236}">
                    <a16:creationId xmlns:a16="http://schemas.microsoft.com/office/drawing/2014/main" id="{AE237A33-1FB4-4927-A4CC-46A17F4915EC}"/>
                  </a:ext>
                </a:extLst>
              </xdr:cNvPr>
              <xdr:cNvGraphicFramePr/>
            </xdr:nvGraphicFramePr>
            <xdr:xfrm>
              <a:off x="0" y="2381249"/>
              <a:ext cx="1543050" cy="1656000"/>
            </xdr:xfrm>
            <a:graphic>
              <a:graphicData uri="http://schemas.microsoft.com/office/drawing/2010/slicer">
                <sle:slicer xmlns:sle="http://schemas.microsoft.com/office/drawing/2010/slicer" name="Thời gian đào tạo (Month) 1"/>
              </a:graphicData>
            </a:graphic>
          </xdr:graphicFrame>
        </mc:Choice>
        <mc:Fallback xmlns="">
          <xdr:sp macro="" textlink="">
            <xdr:nvSpPr>
              <xdr:cNvPr id="0" name=""/>
              <xdr:cNvSpPr>
                <a:spLocks noTextEdit="1"/>
              </xdr:cNvSpPr>
            </xdr:nvSpPr>
            <xdr:spPr>
              <a:xfrm>
                <a:off x="0" y="2623621"/>
                <a:ext cx="1516082" cy="1824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 name="TextBox 4">
            <a:extLst>
              <a:ext uri="{FF2B5EF4-FFF2-40B4-BE49-F238E27FC236}">
                <a16:creationId xmlns:a16="http://schemas.microsoft.com/office/drawing/2014/main" id="{0FF4FAE5-0292-49D5-BAC7-B79B054A875D}"/>
              </a:ext>
            </a:extLst>
          </xdr:cNvPr>
          <xdr:cNvSpPr txBox="1"/>
        </xdr:nvSpPr>
        <xdr:spPr>
          <a:xfrm>
            <a:off x="9525" y="9525"/>
            <a:ext cx="1533525"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002060"/>
                </a:solidFill>
                <a:latin typeface="Arial" panose="020B0604020202020204" pitchFamily="34" charset="0"/>
                <a:cs typeface="Arial" panose="020B0604020202020204" pitchFamily="34" charset="0"/>
              </a:rPr>
              <a:t>BÁO</a:t>
            </a:r>
            <a:r>
              <a:rPr lang="en-US" sz="1100" b="1" baseline="0">
                <a:solidFill>
                  <a:srgbClr val="002060"/>
                </a:solidFill>
                <a:latin typeface="Arial" panose="020B0604020202020204" pitchFamily="34" charset="0"/>
                <a:cs typeface="Arial" panose="020B0604020202020204" pitchFamily="34" charset="0"/>
              </a:rPr>
              <a:t> CÁO ĐÀO TẠO</a:t>
            </a:r>
            <a:endParaRPr lang="en-US" sz="1100" b="1">
              <a:solidFill>
                <a:srgbClr val="002060"/>
              </a:solidFill>
              <a:latin typeface="Arial" panose="020B0604020202020204" pitchFamily="34" charset="0"/>
              <a:cs typeface="Arial" panose="020B0604020202020204" pitchFamily="34" charset="0"/>
            </a:endParaRPr>
          </a:p>
        </xdr:txBody>
      </xdr:sp>
      <xdr:grpSp>
        <xdr:nvGrpSpPr>
          <xdr:cNvPr id="24" name="Group 23">
            <a:extLst>
              <a:ext uri="{FF2B5EF4-FFF2-40B4-BE49-F238E27FC236}">
                <a16:creationId xmlns:a16="http://schemas.microsoft.com/office/drawing/2014/main" id="{921C79BC-6AC7-40CD-93DA-10218BE6B6C1}"/>
              </a:ext>
            </a:extLst>
          </xdr:cNvPr>
          <xdr:cNvGrpSpPr/>
        </xdr:nvGrpSpPr>
        <xdr:grpSpPr>
          <a:xfrm>
            <a:off x="1552575" y="0"/>
            <a:ext cx="10925175" cy="600075"/>
            <a:chOff x="1552575" y="0"/>
            <a:chExt cx="10925175" cy="600075"/>
          </a:xfrm>
        </xdr:grpSpPr>
        <xdr:grpSp>
          <xdr:nvGrpSpPr>
            <xdr:cNvPr id="16" name="Group 15">
              <a:extLst>
                <a:ext uri="{FF2B5EF4-FFF2-40B4-BE49-F238E27FC236}">
                  <a16:creationId xmlns:a16="http://schemas.microsoft.com/office/drawing/2014/main" id="{EFE09C24-5DA3-4770-8B13-A1A892AE47DC}"/>
                </a:ext>
              </a:extLst>
            </xdr:cNvPr>
            <xdr:cNvGrpSpPr/>
          </xdr:nvGrpSpPr>
          <xdr:grpSpPr>
            <a:xfrm>
              <a:off x="1552575" y="0"/>
              <a:ext cx="10925175" cy="295275"/>
              <a:chOff x="1552575" y="0"/>
              <a:chExt cx="8003547" cy="295275"/>
            </a:xfrm>
          </xdr:grpSpPr>
          <xdr:sp macro="" textlink="">
            <xdr:nvSpPr>
              <xdr:cNvPr id="10" name="Rectangle 9">
                <a:extLst>
                  <a:ext uri="{FF2B5EF4-FFF2-40B4-BE49-F238E27FC236}">
                    <a16:creationId xmlns:a16="http://schemas.microsoft.com/office/drawing/2014/main" id="{CCBD6DA9-A498-44FA-B8E2-6C177A14A0A0}"/>
                  </a:ext>
                </a:extLst>
              </xdr:cNvPr>
              <xdr:cNvSpPr/>
            </xdr:nvSpPr>
            <xdr:spPr>
              <a:xfrm>
                <a:off x="1552575"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Tổng</a:t>
                </a:r>
                <a:r>
                  <a:rPr lang="en-US" sz="1100" b="1" baseline="0">
                    <a:solidFill>
                      <a:srgbClr val="002060"/>
                    </a:solidFill>
                    <a:latin typeface="Arial" panose="020B0604020202020204" pitchFamily="34" charset="0"/>
                    <a:cs typeface="Arial" panose="020B0604020202020204" pitchFamily="34" charset="0"/>
                  </a:rPr>
                  <a:t> chi phí</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10523B15-DE87-4403-98CA-33F409380A96}"/>
                  </a:ext>
                </a:extLst>
              </xdr:cNvPr>
              <xdr:cNvSpPr/>
            </xdr:nvSpPr>
            <xdr:spPr>
              <a:xfrm>
                <a:off x="2886075"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học viên</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2" name="Rectangle 11">
                <a:extLst>
                  <a:ext uri="{FF2B5EF4-FFF2-40B4-BE49-F238E27FC236}">
                    <a16:creationId xmlns:a16="http://schemas.microsoft.com/office/drawing/2014/main" id="{3A95E8B1-E76D-4599-B745-A2DD87B7D43F}"/>
                  </a:ext>
                </a:extLst>
              </xdr:cNvPr>
              <xdr:cNvSpPr/>
            </xdr:nvSpPr>
            <xdr:spPr>
              <a:xfrm>
                <a:off x="4219575"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nhân viên</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9F6D0162-E6AE-4F4D-A313-E07164BDF282}"/>
                  </a:ext>
                </a:extLst>
              </xdr:cNvPr>
              <xdr:cNvSpPr/>
            </xdr:nvSpPr>
            <xdr:spPr>
              <a:xfrm>
                <a:off x="5553075"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khóa học</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4" name="Rectangle 13">
                <a:extLst>
                  <a:ext uri="{FF2B5EF4-FFF2-40B4-BE49-F238E27FC236}">
                    <a16:creationId xmlns:a16="http://schemas.microsoft.com/office/drawing/2014/main" id="{DE578B41-739B-42E6-8F98-DBC7A4AF06C4}"/>
                  </a:ext>
                </a:extLst>
              </xdr:cNvPr>
              <xdr:cNvSpPr/>
            </xdr:nvSpPr>
            <xdr:spPr>
              <a:xfrm>
                <a:off x="6889122"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Tỉ</a:t>
                </a:r>
                <a:r>
                  <a:rPr lang="en-US" sz="1100" b="1" baseline="0">
                    <a:solidFill>
                      <a:srgbClr val="002060"/>
                    </a:solidFill>
                    <a:latin typeface="Arial" panose="020B0604020202020204" pitchFamily="34" charset="0"/>
                    <a:cs typeface="Arial" panose="020B0604020202020204" pitchFamily="34" charset="0"/>
                  </a:rPr>
                  <a:t> lệ pass</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5" name="Rectangle 14">
                <a:extLst>
                  <a:ext uri="{FF2B5EF4-FFF2-40B4-BE49-F238E27FC236}">
                    <a16:creationId xmlns:a16="http://schemas.microsoft.com/office/drawing/2014/main" id="{7EDF884D-9792-4D09-9221-1571FD16F3D1}"/>
                  </a:ext>
                </a:extLst>
              </xdr:cNvPr>
              <xdr:cNvSpPr/>
            </xdr:nvSpPr>
            <xdr:spPr>
              <a:xfrm>
                <a:off x="8232147" y="0"/>
                <a:ext cx="1323975" cy="295275"/>
              </a:xfrm>
              <a:prstGeom prst="rect">
                <a:avLst/>
              </a:prstGeom>
              <a:solidFill>
                <a:schemeClr val="accent3">
                  <a:lumMod val="60000"/>
                  <a:lumOff val="4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Chi phí/Nhân</a:t>
                </a:r>
                <a:r>
                  <a:rPr lang="en-US" sz="1100" b="1" baseline="0">
                    <a:solidFill>
                      <a:srgbClr val="002060"/>
                    </a:solidFill>
                    <a:latin typeface="Arial" panose="020B0604020202020204" pitchFamily="34" charset="0"/>
                    <a:cs typeface="Arial" panose="020B0604020202020204" pitchFamily="34" charset="0"/>
                  </a:rPr>
                  <a:t> viên</a:t>
                </a:r>
                <a:endParaRPr lang="en-US" sz="1100" b="1">
                  <a:solidFill>
                    <a:srgbClr val="002060"/>
                  </a:solidFill>
                  <a:latin typeface="Arial" panose="020B0604020202020204" pitchFamily="34" charset="0"/>
                  <a:cs typeface="Arial" panose="020B0604020202020204" pitchFamily="34" charset="0"/>
                </a:endParaRPr>
              </a:p>
            </xdr:txBody>
          </xdr:sp>
        </xdr:grpSp>
        <xdr:grpSp>
          <xdr:nvGrpSpPr>
            <xdr:cNvPr id="17" name="Group 16">
              <a:extLst>
                <a:ext uri="{FF2B5EF4-FFF2-40B4-BE49-F238E27FC236}">
                  <a16:creationId xmlns:a16="http://schemas.microsoft.com/office/drawing/2014/main" id="{43F267B4-37C2-46B1-B77E-858B3490AE2B}"/>
                </a:ext>
              </a:extLst>
            </xdr:cNvPr>
            <xdr:cNvGrpSpPr/>
          </xdr:nvGrpSpPr>
          <xdr:grpSpPr>
            <a:xfrm>
              <a:off x="1552575" y="304800"/>
              <a:ext cx="10925175" cy="295275"/>
              <a:chOff x="1552575" y="0"/>
              <a:chExt cx="8003547" cy="295275"/>
            </a:xfrm>
          </xdr:grpSpPr>
          <xdr:sp macro="" textlink="'Phân tích'!A4">
            <xdr:nvSpPr>
              <xdr:cNvPr id="18" name="Rectangle 17">
                <a:extLst>
                  <a:ext uri="{FF2B5EF4-FFF2-40B4-BE49-F238E27FC236}">
                    <a16:creationId xmlns:a16="http://schemas.microsoft.com/office/drawing/2014/main" id="{0AE66076-842B-40CE-8D39-318C97B2DD59}"/>
                  </a:ext>
                </a:extLst>
              </xdr:cNvPr>
              <xdr:cNvSpPr/>
            </xdr:nvSpPr>
            <xdr:spPr>
              <a:xfrm>
                <a:off x="1552575"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9163698-46B1-4FB8-A22A-6D210FEB96D0}" type="TxLink">
                  <a:rPr lang="en-US" sz="1400" b="1" i="0" u="none" strike="noStrike">
                    <a:solidFill>
                      <a:srgbClr val="C00000"/>
                    </a:solidFill>
                    <a:latin typeface="Arial" panose="020B0604020202020204" pitchFamily="34" charset="0"/>
                    <a:cs typeface="Arial" panose="020B0604020202020204" pitchFamily="34" charset="0"/>
                  </a:rPr>
                  <a:pPr algn="ctr"/>
                  <a:t>97.5M</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A7">
            <xdr:nvSpPr>
              <xdr:cNvPr id="19" name="Rectangle 18">
                <a:extLst>
                  <a:ext uri="{FF2B5EF4-FFF2-40B4-BE49-F238E27FC236}">
                    <a16:creationId xmlns:a16="http://schemas.microsoft.com/office/drawing/2014/main" id="{E06C614E-762A-48D1-8966-FF04CD535B41}"/>
                  </a:ext>
                </a:extLst>
              </xdr:cNvPr>
              <xdr:cNvSpPr/>
            </xdr:nvSpPr>
            <xdr:spPr>
              <a:xfrm>
                <a:off x="2886075"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A4DEBD-EED4-49D7-B946-26B06E557E0B}" type="TxLink">
                  <a:rPr lang="en-US" sz="1400" b="1" i="0" u="none" strike="noStrike">
                    <a:solidFill>
                      <a:srgbClr val="C00000"/>
                    </a:solidFill>
                    <a:latin typeface="Arial" panose="020B0604020202020204" pitchFamily="34" charset="0"/>
                    <a:cs typeface="Arial" panose="020B0604020202020204" pitchFamily="34" charset="0"/>
                  </a:rPr>
                  <a:pPr algn="ctr"/>
                  <a:t>424</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A10">
            <xdr:nvSpPr>
              <xdr:cNvPr id="20" name="Rectangle 19">
                <a:extLst>
                  <a:ext uri="{FF2B5EF4-FFF2-40B4-BE49-F238E27FC236}">
                    <a16:creationId xmlns:a16="http://schemas.microsoft.com/office/drawing/2014/main" id="{F81B1842-7109-427C-AB45-EAEDCBE0FE10}"/>
                  </a:ext>
                </a:extLst>
              </xdr:cNvPr>
              <xdr:cNvSpPr/>
            </xdr:nvSpPr>
            <xdr:spPr>
              <a:xfrm>
                <a:off x="4219575"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68E856B-8F3A-4D3D-81AA-3D0E865A2378}" type="TxLink">
                  <a:rPr lang="en-US" sz="1400" b="1" i="0" u="none" strike="noStrike">
                    <a:solidFill>
                      <a:srgbClr val="C00000"/>
                    </a:solidFill>
                    <a:latin typeface="Arial" panose="020B0604020202020204" pitchFamily="34" charset="0"/>
                    <a:cs typeface="Arial" panose="020B0604020202020204" pitchFamily="34" charset="0"/>
                  </a:rPr>
                  <a:pPr algn="ctr"/>
                  <a:t>114</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E4">
            <xdr:nvSpPr>
              <xdr:cNvPr id="21" name="Rectangle 20">
                <a:extLst>
                  <a:ext uri="{FF2B5EF4-FFF2-40B4-BE49-F238E27FC236}">
                    <a16:creationId xmlns:a16="http://schemas.microsoft.com/office/drawing/2014/main" id="{BF0E1F7E-BE28-47E1-BB7B-F92DD71BEDA0}"/>
                  </a:ext>
                </a:extLst>
              </xdr:cNvPr>
              <xdr:cNvSpPr/>
            </xdr:nvSpPr>
            <xdr:spPr>
              <a:xfrm>
                <a:off x="5553075"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9D7C21-8B7E-4677-8474-BB7CC26976E0}" type="TxLink">
                  <a:rPr lang="en-US" sz="1400" b="1" i="0" u="none" strike="noStrike">
                    <a:solidFill>
                      <a:srgbClr val="C00000"/>
                    </a:solidFill>
                    <a:latin typeface="Arial" panose="020B0604020202020204" pitchFamily="34" charset="0"/>
                    <a:cs typeface="Arial" panose="020B0604020202020204" pitchFamily="34" charset="0"/>
                  </a:rPr>
                  <a:pPr algn="ctr"/>
                  <a:t>15</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C7">
            <xdr:nvSpPr>
              <xdr:cNvPr id="22" name="Rectangle 21">
                <a:extLst>
                  <a:ext uri="{FF2B5EF4-FFF2-40B4-BE49-F238E27FC236}">
                    <a16:creationId xmlns:a16="http://schemas.microsoft.com/office/drawing/2014/main" id="{D8658162-D8F4-4C23-8E8D-CC8F845D84BA}"/>
                  </a:ext>
                </a:extLst>
              </xdr:cNvPr>
              <xdr:cNvSpPr/>
            </xdr:nvSpPr>
            <xdr:spPr>
              <a:xfrm>
                <a:off x="6889122"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830CF52-8B33-4197-94A3-42683211495F}" type="TxLink">
                  <a:rPr lang="en-US" sz="1400" b="1" i="0" u="none" strike="noStrike">
                    <a:solidFill>
                      <a:srgbClr val="C00000"/>
                    </a:solidFill>
                    <a:latin typeface="Arial" panose="020B0604020202020204" pitchFamily="34" charset="0"/>
                    <a:cs typeface="Arial" panose="020B0604020202020204" pitchFamily="34" charset="0"/>
                  </a:rPr>
                  <a:pPr algn="ctr"/>
                  <a:t>49.1%</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C10">
            <xdr:nvSpPr>
              <xdr:cNvPr id="23" name="Rectangle 22">
                <a:extLst>
                  <a:ext uri="{FF2B5EF4-FFF2-40B4-BE49-F238E27FC236}">
                    <a16:creationId xmlns:a16="http://schemas.microsoft.com/office/drawing/2014/main" id="{C9BE7116-FBB9-4BFF-8707-5C1CCFBF57B3}"/>
                  </a:ext>
                </a:extLst>
              </xdr:cNvPr>
              <xdr:cNvSpPr/>
            </xdr:nvSpPr>
            <xdr:spPr>
              <a:xfrm>
                <a:off x="8232147" y="0"/>
                <a:ext cx="1323975" cy="295275"/>
              </a:xfrm>
              <a:prstGeom prst="rect">
                <a:avLst/>
              </a:prstGeom>
              <a:solidFill>
                <a:schemeClr val="accent3">
                  <a:lumMod val="20000"/>
                  <a:lumOff val="8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F48E335-A9E5-496D-A6A0-EB1BE382F8CB}" type="TxLink">
                  <a:rPr lang="en-US" sz="1400" b="1" i="0" u="none" strike="noStrike">
                    <a:solidFill>
                      <a:srgbClr val="C00000"/>
                    </a:solidFill>
                    <a:latin typeface="Arial" panose="020B0604020202020204" pitchFamily="34" charset="0"/>
                    <a:cs typeface="Arial" panose="020B0604020202020204" pitchFamily="34" charset="0"/>
                  </a:rPr>
                  <a:pPr algn="ctr"/>
                  <a:t> 854,825 </a:t>
                </a:fld>
                <a:endParaRPr lang="en-US" sz="1400" b="1">
                  <a:solidFill>
                    <a:srgbClr val="C00000"/>
                  </a:solidFill>
                  <a:latin typeface="Arial" panose="020B0604020202020204" pitchFamily="34" charset="0"/>
                  <a:cs typeface="Arial" panose="020B0604020202020204" pitchFamily="34" charset="0"/>
                </a:endParaRPr>
              </a:p>
            </xdr:txBody>
          </xdr:sp>
        </xdr:grp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464310</xdr:colOff>
      <xdr:row>4</xdr:row>
      <xdr:rowOff>1299</xdr:rowOff>
    </xdr:from>
    <xdr:to>
      <xdr:col>10</xdr:col>
      <xdr:colOff>81292</xdr:colOff>
      <xdr:row>14</xdr:row>
      <xdr:rowOff>127233</xdr:rowOff>
    </xdr:to>
    <xdr:graphicFrame macro="">
      <xdr:nvGraphicFramePr>
        <xdr:cNvPr id="2" name="Chart 1">
          <a:extLst>
            <a:ext uri="{FF2B5EF4-FFF2-40B4-BE49-F238E27FC236}">
              <a16:creationId xmlns:a16="http://schemas.microsoft.com/office/drawing/2014/main" id="{7E33C8BB-2356-41B6-8591-4003DD9C9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101408</xdr:colOff>
      <xdr:row>4</xdr:row>
      <xdr:rowOff>645</xdr:rowOff>
    </xdr:from>
    <xdr:to>
      <xdr:col>18</xdr:col>
      <xdr:colOff>424321</xdr:colOff>
      <xdr:row>14</xdr:row>
      <xdr:rowOff>101229</xdr:rowOff>
    </xdr:to>
    <xdr:graphicFrame macro="">
      <xdr:nvGraphicFramePr>
        <xdr:cNvPr id="3" name="Chart 2">
          <a:extLst>
            <a:ext uri="{FF2B5EF4-FFF2-40B4-BE49-F238E27FC236}">
              <a16:creationId xmlns:a16="http://schemas.microsoft.com/office/drawing/2014/main" id="{B2817D3F-D393-4D2D-88F2-47BC315C9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473960</xdr:colOff>
      <xdr:row>14</xdr:row>
      <xdr:rowOff>117093</xdr:rowOff>
    </xdr:from>
    <xdr:to>
      <xdr:col>10</xdr:col>
      <xdr:colOff>105415</xdr:colOff>
      <xdr:row>25</xdr:row>
      <xdr:rowOff>115463</xdr:rowOff>
    </xdr:to>
    <xdr:graphicFrame macro="">
      <xdr:nvGraphicFramePr>
        <xdr:cNvPr id="4" name="Chart 3">
          <a:extLst>
            <a:ext uri="{FF2B5EF4-FFF2-40B4-BE49-F238E27FC236}">
              <a16:creationId xmlns:a16="http://schemas.microsoft.com/office/drawing/2014/main" id="{F3963D8D-CECF-408C-89D2-1DA98F4F7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146466</xdr:colOff>
      <xdr:row>14</xdr:row>
      <xdr:rowOff>117093</xdr:rowOff>
    </xdr:from>
    <xdr:to>
      <xdr:col>18</xdr:col>
      <xdr:colOff>435605</xdr:colOff>
      <xdr:row>25</xdr:row>
      <xdr:rowOff>125604</xdr:rowOff>
    </xdr:to>
    <xdr:graphicFrame macro="">
      <xdr:nvGraphicFramePr>
        <xdr:cNvPr id="5" name="Chart 4">
          <a:extLst>
            <a:ext uri="{FF2B5EF4-FFF2-40B4-BE49-F238E27FC236}">
              <a16:creationId xmlns:a16="http://schemas.microsoft.com/office/drawing/2014/main" id="{188FD172-0467-4DEB-9F13-2476BBDC7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179566</xdr:rowOff>
    </xdr:from>
    <xdr:to>
      <xdr:col>2</xdr:col>
      <xdr:colOff>459485</xdr:colOff>
      <xdr:row>14</xdr:row>
      <xdr:rowOff>26116</xdr:rowOff>
    </xdr:to>
    <mc:AlternateContent xmlns:mc="http://schemas.openxmlformats.org/markup-compatibility/2006" xmlns:a14="http://schemas.microsoft.com/office/drawing/2010/main">
      <mc:Choice Requires="a14">
        <xdr:graphicFrame macro="">
          <xdr:nvGraphicFramePr>
            <xdr:cNvPr id="6" name="Chi nhánh 2">
              <a:extLst>
                <a:ext uri="{FF2B5EF4-FFF2-40B4-BE49-F238E27FC236}">
                  <a16:creationId xmlns:a16="http://schemas.microsoft.com/office/drawing/2014/main" id="{CBAB743E-5B65-4577-B786-43B618DE4951}"/>
                </a:ext>
              </a:extLst>
            </xdr:cNvPr>
            <xdr:cNvGraphicFramePr/>
          </xdr:nvGraphicFramePr>
          <xdr:xfrm>
            <a:off x="0" y="0"/>
            <a:ext cx="0" cy="0"/>
          </xdr:xfrm>
          <a:graphic>
            <a:graphicData uri="http://schemas.microsoft.com/office/drawing/2010/slicer">
              <sle:slicer xmlns:sle="http://schemas.microsoft.com/office/drawing/2010/slicer" name="Chi nhánh 2"/>
            </a:graphicData>
          </a:graphic>
        </xdr:graphicFrame>
      </mc:Choice>
      <mc:Fallback xmlns="">
        <xdr:sp macro="" textlink="">
          <xdr:nvSpPr>
            <xdr:cNvPr id="0" name=""/>
            <xdr:cNvSpPr>
              <a:spLocks noTextEdit="1"/>
            </xdr:cNvSpPr>
          </xdr:nvSpPr>
          <xdr:spPr>
            <a:xfrm>
              <a:off x="0" y="734319"/>
              <a:ext cx="1673661" cy="1919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464555</xdr:colOff>
      <xdr:row>4</xdr:row>
      <xdr:rowOff>31721</xdr:rowOff>
    </xdr:from>
    <xdr:to>
      <xdr:col>21</xdr:col>
      <xdr:colOff>502418</xdr:colOff>
      <xdr:row>25</xdr:row>
      <xdr:rowOff>125604</xdr:rowOff>
    </xdr:to>
    <mc:AlternateContent xmlns:mc="http://schemas.openxmlformats.org/markup-compatibility/2006" xmlns:a14="http://schemas.microsoft.com/office/drawing/2010/main">
      <mc:Choice Requires="a14">
        <xdr:graphicFrame macro="">
          <xdr:nvGraphicFramePr>
            <xdr:cNvPr id="7" name="Phòng ban 2">
              <a:extLst>
                <a:ext uri="{FF2B5EF4-FFF2-40B4-BE49-F238E27FC236}">
                  <a16:creationId xmlns:a16="http://schemas.microsoft.com/office/drawing/2014/main" id="{A779A7A2-E45C-4DC4-864A-F5E6959CB6D7}"/>
                </a:ext>
              </a:extLst>
            </xdr:cNvPr>
            <xdr:cNvGraphicFramePr/>
          </xdr:nvGraphicFramePr>
          <xdr:xfrm>
            <a:off x="0" y="0"/>
            <a:ext cx="0" cy="0"/>
          </xdr:xfrm>
          <a:graphic>
            <a:graphicData uri="http://schemas.microsoft.com/office/drawing/2010/slicer">
              <sle:slicer xmlns:sle="http://schemas.microsoft.com/office/drawing/2010/slicer" name="Phòng ban 2"/>
            </a:graphicData>
          </a:graphic>
        </xdr:graphicFrame>
      </mc:Choice>
      <mc:Fallback xmlns="">
        <xdr:sp macro="" textlink="">
          <xdr:nvSpPr>
            <xdr:cNvPr id="0" name=""/>
            <xdr:cNvSpPr>
              <a:spLocks noTextEdit="1"/>
            </xdr:cNvSpPr>
          </xdr:nvSpPr>
          <xdr:spPr>
            <a:xfrm>
              <a:off x="11789885" y="774880"/>
              <a:ext cx="1859126" cy="4050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56536</xdr:rowOff>
    </xdr:from>
    <xdr:to>
      <xdr:col>2</xdr:col>
      <xdr:colOff>498085</xdr:colOff>
      <xdr:row>25</xdr:row>
      <xdr:rowOff>85043</xdr:rowOff>
    </xdr:to>
    <mc:AlternateContent xmlns:mc="http://schemas.openxmlformats.org/markup-compatibility/2006" xmlns:a14="http://schemas.microsoft.com/office/drawing/2010/main">
      <mc:Choice Requires="a14">
        <xdr:graphicFrame macro="">
          <xdr:nvGraphicFramePr>
            <xdr:cNvPr id="8" name="Thời gian đào tạo (Month) 2">
              <a:extLst>
                <a:ext uri="{FF2B5EF4-FFF2-40B4-BE49-F238E27FC236}">
                  <a16:creationId xmlns:a16="http://schemas.microsoft.com/office/drawing/2014/main" id="{1879EF8A-CB9E-4005-A526-2BCFF275FC7A}"/>
                </a:ext>
              </a:extLst>
            </xdr:cNvPr>
            <xdr:cNvGraphicFramePr/>
          </xdr:nvGraphicFramePr>
          <xdr:xfrm>
            <a:off x="0" y="0"/>
            <a:ext cx="0" cy="0"/>
          </xdr:xfrm>
          <a:graphic>
            <a:graphicData uri="http://schemas.microsoft.com/office/drawing/2010/slicer">
              <sle:slicer xmlns:sle="http://schemas.microsoft.com/office/drawing/2010/slicer" name="Thời gian đào tạo (Month) 2"/>
            </a:graphicData>
          </a:graphic>
        </xdr:graphicFrame>
      </mc:Choice>
      <mc:Fallback xmlns="">
        <xdr:sp macro="" textlink="">
          <xdr:nvSpPr>
            <xdr:cNvPr id="0" name=""/>
            <xdr:cNvSpPr>
              <a:spLocks noTextEdit="1"/>
            </xdr:cNvSpPr>
          </xdr:nvSpPr>
          <xdr:spPr>
            <a:xfrm>
              <a:off x="0" y="2683761"/>
              <a:ext cx="1712261" cy="2100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10140</xdr:rowOff>
    </xdr:from>
    <xdr:to>
      <xdr:col>2</xdr:col>
      <xdr:colOff>432982</xdr:colOff>
      <xdr:row>3</xdr:row>
      <xdr:rowOff>179564</xdr:rowOff>
    </xdr:to>
    <xdr:sp macro="" textlink="">
      <xdr:nvSpPr>
        <xdr:cNvPr id="33" name="TextBox 32">
          <a:extLst>
            <a:ext uri="{FF2B5EF4-FFF2-40B4-BE49-F238E27FC236}">
              <a16:creationId xmlns:a16="http://schemas.microsoft.com/office/drawing/2014/main" id="{FEFB0DEC-A8C6-E0C1-854E-AD63F24E3FA5}"/>
            </a:ext>
          </a:extLst>
        </xdr:cNvPr>
        <xdr:cNvSpPr txBox="1"/>
      </xdr:nvSpPr>
      <xdr:spPr>
        <a:xfrm>
          <a:off x="0" y="10140"/>
          <a:ext cx="1647158" cy="724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Arial" panose="020B0604020202020204" pitchFamily="34" charset="0"/>
              <a:cs typeface="Arial" panose="020B0604020202020204" pitchFamily="34" charset="0"/>
            </a:rPr>
            <a:t>BÁO</a:t>
          </a:r>
          <a:r>
            <a:rPr lang="en-US" sz="1100" b="1" baseline="0">
              <a:latin typeface="Arial" panose="020B0604020202020204" pitchFamily="34" charset="0"/>
              <a:cs typeface="Arial" panose="020B0604020202020204" pitchFamily="34" charset="0"/>
            </a:rPr>
            <a:t> CÁO ĐÀO TẠO</a:t>
          </a:r>
          <a:endParaRPr lang="en-US" sz="1100" b="1">
            <a:latin typeface="Arial" panose="020B0604020202020204" pitchFamily="34" charset="0"/>
            <a:cs typeface="Arial" panose="020B0604020202020204" pitchFamily="34" charset="0"/>
          </a:endParaRPr>
        </a:p>
      </xdr:txBody>
    </xdr:sp>
    <xdr:clientData/>
  </xdr:twoCellAnchor>
  <xdr:twoCellAnchor>
    <xdr:from>
      <xdr:col>2</xdr:col>
      <xdr:colOff>460549</xdr:colOff>
      <xdr:row>0</xdr:row>
      <xdr:rowOff>10467</xdr:rowOff>
    </xdr:from>
    <xdr:to>
      <xdr:col>21</xdr:col>
      <xdr:colOff>481484</xdr:colOff>
      <xdr:row>4</xdr:row>
      <xdr:rowOff>0</xdr:rowOff>
    </xdr:to>
    <xdr:grpSp>
      <xdr:nvGrpSpPr>
        <xdr:cNvPr id="41" name="Group 40">
          <a:extLst>
            <a:ext uri="{FF2B5EF4-FFF2-40B4-BE49-F238E27FC236}">
              <a16:creationId xmlns:a16="http://schemas.microsoft.com/office/drawing/2014/main" id="{CEAFEA83-1B7C-B0B9-0626-3C39F5909A84}"/>
            </a:ext>
          </a:extLst>
        </xdr:cNvPr>
        <xdr:cNvGrpSpPr/>
      </xdr:nvGrpSpPr>
      <xdr:grpSpPr>
        <a:xfrm>
          <a:off x="1674725" y="10467"/>
          <a:ext cx="11953352" cy="732692"/>
          <a:chOff x="1674725" y="10467"/>
          <a:chExt cx="11953352" cy="732692"/>
        </a:xfrm>
      </xdr:grpSpPr>
      <xdr:grpSp>
        <xdr:nvGrpSpPr>
          <xdr:cNvPr id="22" name="Group 21">
            <a:extLst>
              <a:ext uri="{FF2B5EF4-FFF2-40B4-BE49-F238E27FC236}">
                <a16:creationId xmlns:a16="http://schemas.microsoft.com/office/drawing/2014/main" id="{F84FD102-1D04-6EB1-CEBD-178FEA48809F}"/>
              </a:ext>
            </a:extLst>
          </xdr:cNvPr>
          <xdr:cNvGrpSpPr/>
        </xdr:nvGrpSpPr>
        <xdr:grpSpPr>
          <a:xfrm>
            <a:off x="1674725" y="10467"/>
            <a:ext cx="11953352" cy="355879"/>
            <a:chOff x="1653791" y="0"/>
            <a:chExt cx="10592638" cy="355879"/>
          </a:xfrm>
        </xdr:grpSpPr>
        <xdr:sp macro="" textlink="">
          <xdr:nvSpPr>
            <xdr:cNvPr id="15" name="Rectangle 14">
              <a:extLst>
                <a:ext uri="{FF2B5EF4-FFF2-40B4-BE49-F238E27FC236}">
                  <a16:creationId xmlns:a16="http://schemas.microsoft.com/office/drawing/2014/main" id="{C384FE42-D269-6628-0E26-226649FCB7AC}"/>
                </a:ext>
              </a:extLst>
            </xdr:cNvPr>
            <xdr:cNvSpPr/>
          </xdr:nvSpPr>
          <xdr:spPr>
            <a:xfrm>
              <a:off x="165379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Tổng</a:t>
              </a:r>
              <a:r>
                <a:rPr lang="en-US" sz="1100" b="1" baseline="0">
                  <a:solidFill>
                    <a:srgbClr val="002060"/>
                  </a:solidFill>
                  <a:latin typeface="Arial" panose="020B0604020202020204" pitchFamily="34" charset="0"/>
                  <a:cs typeface="Arial" panose="020B0604020202020204" pitchFamily="34" charset="0"/>
                </a:rPr>
                <a:t> chi phí</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6" name="Rectangle 15">
              <a:extLst>
                <a:ext uri="{FF2B5EF4-FFF2-40B4-BE49-F238E27FC236}">
                  <a16:creationId xmlns:a16="http://schemas.microsoft.com/office/drawing/2014/main" id="{04F6CBB2-A466-337C-9CDA-4352A94F9815}"/>
                </a:ext>
              </a:extLst>
            </xdr:cNvPr>
            <xdr:cNvSpPr/>
          </xdr:nvSpPr>
          <xdr:spPr>
            <a:xfrm>
              <a:off x="3420626"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học viên</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7" name="Rectangle 16">
              <a:extLst>
                <a:ext uri="{FF2B5EF4-FFF2-40B4-BE49-F238E27FC236}">
                  <a16:creationId xmlns:a16="http://schemas.microsoft.com/office/drawing/2014/main" id="{3FF56AB0-48AB-AB17-A87E-A261D2E131B0}"/>
                </a:ext>
              </a:extLst>
            </xdr:cNvPr>
            <xdr:cNvSpPr/>
          </xdr:nvSpPr>
          <xdr:spPr>
            <a:xfrm>
              <a:off x="518746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nhân viên</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8" name="Rectangle 17">
              <a:extLst>
                <a:ext uri="{FF2B5EF4-FFF2-40B4-BE49-F238E27FC236}">
                  <a16:creationId xmlns:a16="http://schemas.microsoft.com/office/drawing/2014/main" id="{0D2A8FE4-BC68-5BE8-9A91-C2CD107E6E9D}"/>
                </a:ext>
              </a:extLst>
            </xdr:cNvPr>
            <xdr:cNvSpPr/>
          </xdr:nvSpPr>
          <xdr:spPr>
            <a:xfrm>
              <a:off x="6954296"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Số</a:t>
              </a:r>
              <a:r>
                <a:rPr lang="en-US" sz="1100" b="1" baseline="0">
                  <a:solidFill>
                    <a:srgbClr val="002060"/>
                  </a:solidFill>
                  <a:latin typeface="Arial" panose="020B0604020202020204" pitchFamily="34" charset="0"/>
                  <a:cs typeface="Arial" panose="020B0604020202020204" pitchFamily="34" charset="0"/>
                </a:rPr>
                <a:t> khóa học</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19" name="Rectangle 18">
              <a:extLst>
                <a:ext uri="{FF2B5EF4-FFF2-40B4-BE49-F238E27FC236}">
                  <a16:creationId xmlns:a16="http://schemas.microsoft.com/office/drawing/2014/main" id="{F8A1B959-E167-BF2D-01A2-F5AB03F8ECF2}"/>
                </a:ext>
              </a:extLst>
            </xdr:cNvPr>
            <xdr:cNvSpPr/>
          </xdr:nvSpPr>
          <xdr:spPr>
            <a:xfrm>
              <a:off x="872113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Tỷ</a:t>
              </a:r>
              <a:r>
                <a:rPr lang="en-US" sz="1100" b="1" baseline="0">
                  <a:solidFill>
                    <a:srgbClr val="002060"/>
                  </a:solidFill>
                  <a:latin typeface="Arial" panose="020B0604020202020204" pitchFamily="34" charset="0"/>
                  <a:cs typeface="Arial" panose="020B0604020202020204" pitchFamily="34" charset="0"/>
                </a:rPr>
                <a:t> lệ đạt</a:t>
              </a:r>
              <a:endParaRPr lang="en-US" sz="1100" b="1">
                <a:solidFill>
                  <a:srgbClr val="002060"/>
                </a:solidFill>
                <a:latin typeface="Arial" panose="020B0604020202020204" pitchFamily="34" charset="0"/>
                <a:cs typeface="Arial" panose="020B0604020202020204" pitchFamily="34" charset="0"/>
              </a:endParaRPr>
            </a:p>
          </xdr:txBody>
        </xdr:sp>
        <xdr:sp macro="" textlink="">
          <xdr:nvSpPr>
            <xdr:cNvPr id="20" name="Rectangle 19">
              <a:extLst>
                <a:ext uri="{FF2B5EF4-FFF2-40B4-BE49-F238E27FC236}">
                  <a16:creationId xmlns:a16="http://schemas.microsoft.com/office/drawing/2014/main" id="{49180AF4-F623-6446-864E-C4976AB71CB4}"/>
                </a:ext>
              </a:extLst>
            </xdr:cNvPr>
            <xdr:cNvSpPr/>
          </xdr:nvSpPr>
          <xdr:spPr>
            <a:xfrm>
              <a:off x="10487967"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latin typeface="Arial" panose="020B0604020202020204" pitchFamily="34" charset="0"/>
                  <a:cs typeface="Arial" panose="020B0604020202020204" pitchFamily="34" charset="0"/>
                </a:rPr>
                <a:t>Chi phí/Nhân</a:t>
              </a:r>
              <a:r>
                <a:rPr lang="en-US" sz="1100" b="1" baseline="0">
                  <a:solidFill>
                    <a:srgbClr val="002060"/>
                  </a:solidFill>
                  <a:latin typeface="Arial" panose="020B0604020202020204" pitchFamily="34" charset="0"/>
                  <a:cs typeface="Arial" panose="020B0604020202020204" pitchFamily="34" charset="0"/>
                </a:rPr>
                <a:t> viên</a:t>
              </a:r>
              <a:endParaRPr lang="en-US" sz="1100" b="1">
                <a:solidFill>
                  <a:srgbClr val="002060"/>
                </a:solidFill>
                <a:latin typeface="Arial" panose="020B0604020202020204" pitchFamily="34" charset="0"/>
                <a:cs typeface="Arial" panose="020B0604020202020204" pitchFamily="34" charset="0"/>
              </a:endParaRPr>
            </a:p>
          </xdr:txBody>
        </xdr:sp>
      </xdr:grpSp>
      <xdr:grpSp>
        <xdr:nvGrpSpPr>
          <xdr:cNvPr id="23" name="Group 22">
            <a:extLst>
              <a:ext uri="{FF2B5EF4-FFF2-40B4-BE49-F238E27FC236}">
                <a16:creationId xmlns:a16="http://schemas.microsoft.com/office/drawing/2014/main" id="{BBAB7E2D-7FFE-D73B-3FD4-128E48B62FF5}"/>
              </a:ext>
            </a:extLst>
          </xdr:cNvPr>
          <xdr:cNvGrpSpPr/>
        </xdr:nvGrpSpPr>
        <xdr:grpSpPr>
          <a:xfrm>
            <a:off x="1674725" y="387280"/>
            <a:ext cx="11953352" cy="355879"/>
            <a:chOff x="1653791" y="0"/>
            <a:chExt cx="10592638" cy="355879"/>
          </a:xfrm>
        </xdr:grpSpPr>
        <xdr:sp macro="" textlink="'Phân tích'!A4">
          <xdr:nvSpPr>
            <xdr:cNvPr id="34" name="Rectangle 33">
              <a:extLst>
                <a:ext uri="{FF2B5EF4-FFF2-40B4-BE49-F238E27FC236}">
                  <a16:creationId xmlns:a16="http://schemas.microsoft.com/office/drawing/2014/main" id="{5F4C2425-88B8-B9E2-3269-40EE701FDDA5}"/>
                </a:ext>
              </a:extLst>
            </xdr:cNvPr>
            <xdr:cNvSpPr/>
          </xdr:nvSpPr>
          <xdr:spPr>
            <a:xfrm>
              <a:off x="165379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6EAF60-FD7D-44DB-AF61-D1C663FDF094}" type="TxLink">
                <a:rPr lang="en-US" sz="1400" b="0" i="0" u="none" strike="noStrike">
                  <a:solidFill>
                    <a:srgbClr val="C00000"/>
                  </a:solidFill>
                  <a:latin typeface="Arial" panose="020B0604020202020204" pitchFamily="34" charset="0"/>
                  <a:cs typeface="Arial" panose="020B0604020202020204" pitchFamily="34" charset="0"/>
                </a:rPr>
                <a:pPr algn="ctr"/>
                <a:t>97.5M</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A7">
          <xdr:nvSpPr>
            <xdr:cNvPr id="35" name="Rectangle 34">
              <a:extLst>
                <a:ext uri="{FF2B5EF4-FFF2-40B4-BE49-F238E27FC236}">
                  <a16:creationId xmlns:a16="http://schemas.microsoft.com/office/drawing/2014/main" id="{464F72B1-66CE-F78D-1625-2DB381460D25}"/>
                </a:ext>
              </a:extLst>
            </xdr:cNvPr>
            <xdr:cNvSpPr/>
          </xdr:nvSpPr>
          <xdr:spPr>
            <a:xfrm>
              <a:off x="3420626"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E9B7129-231A-4D19-8C41-643554F21AAE}" type="TxLink">
                <a:rPr lang="en-US" sz="1400" b="0" i="0" u="none" strike="noStrike">
                  <a:solidFill>
                    <a:srgbClr val="C00000"/>
                  </a:solidFill>
                  <a:latin typeface="Arial" panose="020B0604020202020204" pitchFamily="34" charset="0"/>
                  <a:cs typeface="Arial" panose="020B0604020202020204" pitchFamily="34" charset="0"/>
                </a:rPr>
                <a:pPr algn="ctr"/>
                <a:t>424</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A10">
          <xdr:nvSpPr>
            <xdr:cNvPr id="36" name="Rectangle 35">
              <a:extLst>
                <a:ext uri="{FF2B5EF4-FFF2-40B4-BE49-F238E27FC236}">
                  <a16:creationId xmlns:a16="http://schemas.microsoft.com/office/drawing/2014/main" id="{D4C48499-CF6B-9958-6893-19861EF21DCA}"/>
                </a:ext>
              </a:extLst>
            </xdr:cNvPr>
            <xdr:cNvSpPr/>
          </xdr:nvSpPr>
          <xdr:spPr>
            <a:xfrm>
              <a:off x="518746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A3AA0FB-1C02-4B68-9582-44D5F3C4B5E8}" type="TxLink">
                <a:rPr lang="en-US" sz="1400" b="0" i="0" u="none" strike="noStrike">
                  <a:solidFill>
                    <a:srgbClr val="C00000"/>
                  </a:solidFill>
                  <a:latin typeface="Arial" panose="020B0604020202020204" pitchFamily="34" charset="0"/>
                  <a:cs typeface="Arial" panose="020B0604020202020204" pitchFamily="34" charset="0"/>
                </a:rPr>
                <a:pPr algn="ctr"/>
                <a:t>114</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E4">
          <xdr:nvSpPr>
            <xdr:cNvPr id="38" name="Rectangle 37">
              <a:extLst>
                <a:ext uri="{FF2B5EF4-FFF2-40B4-BE49-F238E27FC236}">
                  <a16:creationId xmlns:a16="http://schemas.microsoft.com/office/drawing/2014/main" id="{81DCEA36-A578-5F67-DEA2-3B82D991B342}"/>
                </a:ext>
              </a:extLst>
            </xdr:cNvPr>
            <xdr:cNvSpPr/>
          </xdr:nvSpPr>
          <xdr:spPr>
            <a:xfrm>
              <a:off x="6954296"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0F650F-D124-46A8-96E0-45FE089AE23E}" type="TxLink">
                <a:rPr lang="en-US" sz="1400" b="0" i="0" u="none" strike="noStrike">
                  <a:solidFill>
                    <a:srgbClr val="C00000"/>
                  </a:solidFill>
                  <a:latin typeface="Arial" panose="020B0604020202020204" pitchFamily="34" charset="0"/>
                  <a:cs typeface="Arial" panose="020B0604020202020204" pitchFamily="34" charset="0"/>
                </a:rPr>
                <a:pPr algn="ctr"/>
                <a:t>15</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C7">
          <xdr:nvSpPr>
            <xdr:cNvPr id="39" name="Rectangle 38">
              <a:extLst>
                <a:ext uri="{FF2B5EF4-FFF2-40B4-BE49-F238E27FC236}">
                  <a16:creationId xmlns:a16="http://schemas.microsoft.com/office/drawing/2014/main" id="{433352D8-89F2-D655-2324-F7688E5D5277}"/>
                </a:ext>
              </a:extLst>
            </xdr:cNvPr>
            <xdr:cNvSpPr/>
          </xdr:nvSpPr>
          <xdr:spPr>
            <a:xfrm>
              <a:off x="8721131"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D137AC9-C03E-45AE-8313-E779300FCA95}" type="TxLink">
                <a:rPr lang="en-US" sz="1400" b="0" i="0" u="none" strike="noStrike">
                  <a:solidFill>
                    <a:srgbClr val="C00000"/>
                  </a:solidFill>
                  <a:latin typeface="Arial" panose="020B0604020202020204" pitchFamily="34" charset="0"/>
                  <a:cs typeface="Arial" panose="020B0604020202020204" pitchFamily="34" charset="0"/>
                </a:rPr>
                <a:pPr algn="ctr"/>
                <a:t>49.1%</a:t>
              </a:fld>
              <a:endParaRPr lang="en-US" sz="1400" b="1">
                <a:solidFill>
                  <a:srgbClr val="C00000"/>
                </a:solidFill>
                <a:latin typeface="Arial" panose="020B0604020202020204" pitchFamily="34" charset="0"/>
                <a:cs typeface="Arial" panose="020B0604020202020204" pitchFamily="34" charset="0"/>
              </a:endParaRPr>
            </a:p>
          </xdr:txBody>
        </xdr:sp>
        <xdr:sp macro="" textlink="'Phân tích'!C10">
          <xdr:nvSpPr>
            <xdr:cNvPr id="40" name="Rectangle 39">
              <a:extLst>
                <a:ext uri="{FF2B5EF4-FFF2-40B4-BE49-F238E27FC236}">
                  <a16:creationId xmlns:a16="http://schemas.microsoft.com/office/drawing/2014/main" id="{F56E2F6B-8A0C-E3EE-DA89-E4EEF149AA5B}"/>
                </a:ext>
              </a:extLst>
            </xdr:cNvPr>
            <xdr:cNvSpPr/>
          </xdr:nvSpPr>
          <xdr:spPr>
            <a:xfrm>
              <a:off x="10487967" y="0"/>
              <a:ext cx="1758462" cy="35587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222DB0D-4811-46D2-BC8C-2FF6225DD7CD}" type="TxLink">
                <a:rPr lang="en-US" sz="1400" b="0" i="0" u="none" strike="noStrike">
                  <a:solidFill>
                    <a:srgbClr val="C00000"/>
                  </a:solidFill>
                  <a:latin typeface="Arial" panose="020B0604020202020204" pitchFamily="34" charset="0"/>
                  <a:cs typeface="Arial" panose="020B0604020202020204" pitchFamily="34" charset="0"/>
                </a:rPr>
                <a:pPr algn="ctr"/>
                <a:t> 854,825 </a:t>
              </a:fld>
              <a:endParaRPr lang="en-US" sz="1400" b="1">
                <a:solidFill>
                  <a:srgbClr val="C00000"/>
                </a:solidFill>
                <a:latin typeface="Arial" panose="020B0604020202020204" pitchFamily="34" charset="0"/>
                <a:cs typeface="Arial" panose="020B0604020202020204" pitchFamily="34" charset="0"/>
              </a:endParaRP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71990743" backgroundQuery="1" createdVersion="7" refreshedVersion="8" minRefreshableVersion="3" recordCount="0" supportSubquery="1" supportAdvancedDrill="1" xr:uid="{BA0D96C7-C5C9-4C30-B26C-818F98B12991}">
  <cacheSource type="external" connectionId="1"/>
  <cacheFields count="6">
    <cacheField name="[Measures].[Sum of Chi phí đào tạo]" caption="Sum of Chi phí đào tạo" numFmtId="0" hierarchy="23" level="32767"/>
    <cacheField name="[Daotao].[Hình thức đào tạo].[Hình thức đào tạo]" caption="Hình thức đào tạo" numFmtId="0" hierarchy="10" level="1">
      <sharedItems count="1">
        <s v="Nội bộ"/>
      </sharedItems>
    </cacheField>
    <cacheField name="[Daotao].[Thời gian đào tạo].[Thời gian đào tạo]" caption="Thời gian đào tạo" numFmtId="0" hierarchy="1" level="1">
      <sharedItems containsSemiMixedTypes="0" containsNonDate="0" containsDate="1" containsString="0" minDate="2019-01-16T00:00:00" maxDate="2019-12-16T00:00:00" count="17">
        <d v="2019-01-16T00:00:00"/>
        <d v="2019-02-22T00:00:00"/>
        <d v="2019-03-16T00:00:00"/>
        <d v="2019-04-19T00:00:00"/>
        <d v="2019-04-23T00:00:00"/>
        <d v="2019-05-15T00:00:00"/>
        <d v="2019-06-20T00:00:00"/>
        <d v="2019-07-15T00:00:00"/>
        <d v="2019-08-08T00:00:00"/>
        <d v="2019-08-12T00:00:00"/>
        <d v="2019-08-16T00:00:00"/>
        <d v="2019-08-20T00:00:00"/>
        <d v="2019-08-24T00:00:00"/>
        <d v="2019-09-15T00:00:00"/>
        <d v="2019-10-16T00:00:00"/>
        <d v="2019-11-14T00:00:00"/>
        <d v="2019-12-15T00:00:00"/>
      </sharedItems>
    </cacheField>
    <cacheField name="[Daotao].[Thời gian đào tạo (Month)].[Thời gian đào tạo (Month)]" caption="Thời gian đào tạo (Month)" numFmtId="0" hierarchy="17" level="1">
      <sharedItems count="12">
        <s v="Thg1"/>
        <s v="Thg2"/>
        <s v="Thg3"/>
        <s v="Thg4"/>
        <s v="Thg5"/>
        <s v="Thg6"/>
        <s v="Thg7"/>
        <s v="Thg8"/>
        <s v="Thg9"/>
        <s v="Thg10"/>
        <s v="Thg11"/>
        <s v="Thg12"/>
      </sharedItems>
    </cacheField>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2" memberValueDatatype="7" unbalanced="0">
      <fieldsUsage count="2">
        <fieldUsage x="-1"/>
        <fieldUsage x="2"/>
      </fieldsUsage>
    </cacheHierarchy>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4"/>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5"/>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1"/>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3"/>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7928241" backgroundQuery="1" createdVersion="7" refreshedVersion="8" minRefreshableVersion="3" recordCount="0" supportSubquery="1" supportAdvancedDrill="1" xr:uid="{C337AAB3-1514-401A-AEAA-E3C0F4F53A22}">
  <cacheSource type="external" connectionId="1"/>
  <cacheFields count="5">
    <cacheField name="[Daotao].[Hình thức đào tạo].[Hình thức đào tạo]" caption="Hình thức đào tạo" numFmtId="0" hierarchy="10" level="1">
      <sharedItems count="1">
        <s v="Nội bộ"/>
      </sharedItems>
    </cacheField>
    <cacheField name="[Measures].[Count of Mã NV]" caption="Count of Mã NV" numFmtId="0" hierarchy="25" level="32767"/>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0"/>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85648145" backgroundQuery="1" createdVersion="7" refreshedVersion="8" minRefreshableVersion="3" recordCount="0" supportSubquery="1" supportAdvancedDrill="1" xr:uid="{6059DDD1-F38C-4663-8DF8-184F6CEAB4BE}">
  <cacheSource type="external" connectionId="1"/>
  <cacheFields count="5">
    <cacheField name="[Daotao].[Hình thức đào tạo].[Hình thức đào tạo]" caption="Hình thức đào tạo" numFmtId="0" hierarchy="10" level="1">
      <sharedItems count="1">
        <s v="Nội bộ"/>
      </sharedItems>
    </cacheField>
    <cacheField name="[Measures].[Count of Mã NV]" caption="Count of Mã NV" numFmtId="0" hierarchy="25" level="32767"/>
    <cacheField name="[Daotao].[Chi nhánh].[Chi nhánh]" caption="Chi nhánh" numFmtId="0" hierarchy="4" level="1">
      <sharedItems count="5">
        <s v="Chi nhánh Đà Nẵng"/>
        <s v="Chi nhánh Hải Phòng"/>
        <s v="Chi nhánh TP.HCM"/>
        <s v="Chi nhánh Thái Nguyên"/>
        <s v="Trụ sở chính"/>
      </sharedItems>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0"/>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91898149" backgroundQuery="1" createdVersion="7" refreshedVersion="8" minRefreshableVersion="3" recordCount="0" supportSubquery="1" supportAdvancedDrill="1" xr:uid="{C010B6E6-D3F9-4C36-9BE1-FA64B14FB546}">
  <cacheSource type="external" connectionId="1"/>
  <cacheFields count="5">
    <cacheField name="[Daotao].[Hình thức đào tạo].[Hình thức đào tạo]" caption="Hình thức đào tạo" numFmtId="0" hierarchy="10" level="1">
      <sharedItems count="1">
        <s v="Nội bộ"/>
      </sharedItems>
    </cacheField>
    <cacheField name="[Measures].[Distinct Count of Mã NV]" caption="Distinct Count of Mã NV" numFmtId="0" hierarchy="26" level="32767"/>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0"/>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99652777" backgroundQuery="1" createdVersion="7" refreshedVersion="8" minRefreshableVersion="3" recordCount="0" supportSubquery="1" supportAdvancedDrill="1" xr:uid="{DBE77499-1A08-43ED-9A4F-7CA443357451}">
  <cacheSource type="external" connectionId="1"/>
  <cacheFields count="5">
    <cacheField name="[Daotao].[Hình thức đào tạo].[Hình thức đào tạo]" caption="Hình thức đào tạo" numFmtId="0" hierarchy="10" level="1">
      <sharedItems count="1">
        <s v="Nội bộ"/>
      </sharedItems>
    </cacheField>
    <cacheField name="[Measures].[Sum of Số lượng pass]" caption="Sum of Số lượng pass" numFmtId="0" hierarchy="27" level="32767"/>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0"/>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705092596" backgroundQuery="1" createdVersion="7" refreshedVersion="8" minRefreshableVersion="3" recordCount="0" supportSubquery="1" supportAdvancedDrill="1" xr:uid="{77BED975-6180-4DBD-AA54-072FB8B32C44}">
  <cacheSource type="external" connectionId="1"/>
  <cacheFields count="5">
    <cacheField name="[Measures].[Sum of Chi phí đào tạo]" caption="Sum of Chi phí đào tạo" numFmtId="0" hierarchy="23" level="32767"/>
    <cacheField name="[Daotao].[Hình thức đào tạo].[Hình thức đào tạo]" caption="Hình thức đào tạo" numFmtId="0" hierarchy="10" level="1">
      <sharedItems count="1">
        <s v="Nội bộ"/>
      </sharedItems>
    </cacheField>
    <cacheField name="[Daotao].[Chi nhánh].[Chi nhánh]" caption="Chi nhánh" numFmtId="0" hierarchy="4" level="1">
      <sharedItems count="5">
        <s v="Chi nhánh Đà Nẵng"/>
        <s v="Chi nhánh Hải Phòng"/>
        <s v="Chi nhánh TP.HCM"/>
        <s v="Chi nhánh Thái Nguyên"/>
        <s v="Trụ sở chính"/>
      </sharedItems>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1"/>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712500001" backgroundQuery="1" createdVersion="7" refreshedVersion="8" minRefreshableVersion="3" recordCount="0" supportSubquery="1" supportAdvancedDrill="1" xr:uid="{AFF4B231-BACA-4BC9-A1D3-F1C95991427D}">
  <cacheSource type="external" connectionId="1"/>
  <cacheFields count="7">
    <cacheField name="[Measures].[Sum of Chi phí đào tạo]" caption="Sum of Chi phí đào tạo" numFmtId="0" hierarchy="23" level="32767"/>
    <cacheField name="[Daotao].[Hình thức đào tạo].[Hình thức đào tạo]" caption="Hình thức đào tạo" numFmtId="0" hierarchy="10" level="1">
      <sharedItems count="1">
        <s v="Nội bộ"/>
      </sharedItems>
    </cacheField>
    <cacheField name="[Daotao].[Nội dung đào tạo].[Nội dung đào tạo]" caption="Nội dung đào tạo" numFmtId="0" hierarchy="7" level="1">
      <sharedItems count="5">
        <s v="Đào tạo chéo"/>
        <s v="Kĩ năng Power Point"/>
        <s v="Kĩ năng quản lí thời gian"/>
        <s v="Vai trò quản lí"/>
        <s v="Xây dựng đội nhóm"/>
      </sharedItems>
    </cacheField>
    <cacheField name="[Measures].[Count of Mã NV]" caption="Count of Mã NV" numFmtId="0" hierarchy="25" level="32767"/>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4"/>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5"/>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2" memberValueDatatype="130" unbalanced="0">
      <fieldsUsage count="2">
        <fieldUsage x="-1"/>
        <fieldUsage x="2"/>
      </fieldsUsage>
    </cacheHierarchy>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1"/>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6"/>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oneField="1" hidden="1">
      <fieldsUsage count="1">
        <fieldUsage x="3"/>
      </fieldsUsage>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718402774" backgroundQuery="1" createdVersion="7" refreshedVersion="8" minRefreshableVersion="3" recordCount="0" supportSubquery="1" supportAdvancedDrill="1" xr:uid="{A69B6835-AAE5-4F7D-B254-03646D37390D}">
  <cacheSource type="external" connectionId="1"/>
  <cacheFields count="5">
    <cacheField name="[Daotao].[Hình thức đào tạo].[Hình thức đào tạo]" caption="Hình thức đào tạo" numFmtId="0" hierarchy="10" level="1">
      <sharedItems count="1">
        <s v="Nội bộ"/>
      </sharedItems>
    </cacheField>
    <cacheField name="[Measures].[Distinct Count of Nội dung đào tạo]" caption="Distinct Count of Nội dung đào tạo" numFmtId="0" hierarchy="29" level="32767"/>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0"/>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725000002" backgroundQuery="1" createdVersion="7" refreshedVersion="8" minRefreshableVersion="3" recordCount="0" supportSubquery="1" supportAdvancedDrill="1" xr:uid="{133A6D95-92CF-46EE-9744-AB3937413C83}">
  <cacheSource type="external" connectionId="1"/>
  <cacheFields count="5">
    <cacheField name="[Measures].[Sum of Chi phí đào tạo]" caption="Sum of Chi phí đào tạo" numFmtId="0" hierarchy="23" level="32767"/>
    <cacheField name="[Daotao].[Hình thức đào tạo].[Hình thức đào tạo]" caption="Hình thức đào tạo" numFmtId="0" hierarchy="10" level="1">
      <sharedItems count="1">
        <s v="Nội bộ"/>
      </sharedItems>
    </cacheField>
    <cacheField name="[Daotao].[Chi nhánh].[Chi nhánh]" caption="Chi nhánh" numFmtId="0" hierarchy="4" level="1">
      <sharedItems containsSemiMixedTypes="0" containsNonDate="0" containsString="0"/>
    </cacheField>
    <cacheField name="[Daotao].[Phòng ban].[Phòng ban]" caption="Phòng ban" numFmtId="0" hierarchy="5" level="1">
      <sharedItems containsSemiMixedTypes="0" containsNonDate="0" containsString="0"/>
    </cacheField>
    <cacheField name="[Daotao].[Thời gian đào tạo (Month)].[Thời gian đào tạo (Month)]" caption="Thời gian đào tạo (Month)" numFmtId="0" hierarchy="17" level="1">
      <sharedItems containsSemiMixedTypes="0" containsNonDate="0" containsString="0"/>
    </cacheField>
  </cacheFields>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fieldsUsage count="2">
        <fieldUsage x="-1"/>
        <fieldUsage x="2"/>
      </fieldsUsage>
    </cacheHierarchy>
    <cacheHierarchy uniqueName="[Daotao].[Phòng ban]" caption="Phòng ban" attribute="1" defaultMemberUniqueName="[Daotao].[Phòng ban].[All]" allUniqueName="[Daotao].[Phòng ban].[All]" dimensionUniqueName="[Daotao]" displayFolder="" count="2" memberValueDatatype="130" unbalanced="0">
      <fieldsUsage count="2">
        <fieldUsage x="-1"/>
        <fieldUsage x="3"/>
      </fieldsUsage>
    </cacheHierarchy>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2" memberValueDatatype="130" unbalanced="0">
      <fieldsUsage count="2">
        <fieldUsage x="-1"/>
        <fieldUsage x="1"/>
      </fieldsUsage>
    </cacheHierarchy>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fieldsUsage count="2">
        <fieldUsage x="-1"/>
        <fieldUsage x="4"/>
      </fieldsUsage>
    </cacheHierarchy>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dimensions count="2">
    <dimension name="Daotao" uniqueName="[Daotao]" caption="Daotao"/>
    <dimension measure="1" name="Measures" uniqueName="[Measures]" caption="Measures"/>
  </dimensions>
  <measureGroups count="1">
    <measureGroup name="Daotao" caption="Daota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4784.857663888892" backgroundQuery="1" createdVersion="3" refreshedVersion="8" minRefreshableVersion="3" recordCount="0" supportSubquery="1" supportAdvancedDrill="1" xr:uid="{59E61B43-FB21-452E-8D5A-93B4BFB9FD8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Daotao].[STT]" caption="STT" attribute="1" defaultMemberUniqueName="[Daotao].[STT].[All]" allUniqueName="[Daotao].[STT].[All]" dimensionUniqueName="[Daotao]" displayFolder="" count="0" memberValueDatatype="20" unbalanced="0"/>
    <cacheHierarchy uniqueName="[Daotao].[Thời gian đào tạo]" caption="Thời gian đào tạo" attribute="1" time="1" defaultMemberUniqueName="[Daotao].[Thời gian đào tạo].[All]" allUniqueName="[Daotao].[Thời gian đào tạo].[All]" dimensionUniqueName="[Daotao]" displayFolder="" count="0" memberValueDatatype="7" unbalanced="0"/>
    <cacheHierarchy uniqueName="[Daotao].[Mã NV]" caption="Mã NV" attribute="1" defaultMemberUniqueName="[Daotao].[Mã NV].[All]" allUniqueName="[Daotao].[Mã NV].[All]" dimensionUniqueName="[Daotao]" displayFolder="" count="0" memberValueDatatype="20" unbalanced="0"/>
    <cacheHierarchy uniqueName="[Daotao].[Họ tên]" caption="Họ tên" attribute="1" defaultMemberUniqueName="[Daotao].[Họ tên].[All]" allUniqueName="[Daotao].[Họ tên].[All]" dimensionUniqueName="[Daotao]" displayFolder="" count="0" memberValueDatatype="130" unbalanced="0"/>
    <cacheHierarchy uniqueName="[Daotao].[Chi nhánh]" caption="Chi nhánh" attribute="1" defaultMemberUniqueName="[Daotao].[Chi nhánh].[All]" allUniqueName="[Daotao].[Chi nhánh].[All]" dimensionUniqueName="[Daotao]" displayFolder="" count="2" memberValueDatatype="130" unbalanced="0"/>
    <cacheHierarchy uniqueName="[Daotao].[Phòng ban]" caption="Phòng ban" attribute="1" defaultMemberUniqueName="[Daotao].[Phòng ban].[All]" allUniqueName="[Daotao].[Phòng ban].[All]" dimensionUniqueName="[Daotao]" displayFolder="" count="2" memberValueDatatype="130" unbalanced="0"/>
    <cacheHierarchy uniqueName="[Daotao].[Vị trí]" caption="Vị trí" attribute="1" defaultMemberUniqueName="[Daotao].[Vị trí].[All]" allUniqueName="[Daotao].[Vị trí].[All]" dimensionUniqueName="[Daotao]" displayFolder="" count="0" memberValueDatatype="130" unbalanced="0"/>
    <cacheHierarchy uniqueName="[Daotao].[Nội dung đào tạo]" caption="Nội dung đào tạo" attribute="1" defaultMemberUniqueName="[Daotao].[Nội dung đào tạo].[All]" allUniqueName="[Daotao].[Nội dung đào tạo].[All]" dimensionUniqueName="[Daotao]" displayFolder="" count="0" memberValueDatatype="130" unbalanced="0"/>
    <cacheHierarchy uniqueName="[Daotao].[Thời lượng (Số giờ)]" caption="Thời lượng (Số giờ)" attribute="1" defaultMemberUniqueName="[Daotao].[Thời lượng (Số giờ)].[All]" allUniqueName="[Daotao].[Thời lượng (Số giờ)].[All]" dimensionUniqueName="[Daotao]" displayFolder="" count="0" memberValueDatatype="20" unbalanced="0"/>
    <cacheHierarchy uniqueName="[Daotao].[Nơi đào tạo]" caption="Nơi đào tạo" attribute="1" defaultMemberUniqueName="[Daotao].[Nơi đào tạo].[All]" allUniqueName="[Daotao].[Nơi đào tạo].[All]" dimensionUniqueName="[Daotao]" displayFolder="" count="0" memberValueDatatype="130" unbalanced="0"/>
    <cacheHierarchy uniqueName="[Daotao].[Hình thức đào tạo]" caption="Hình thức đào tạo" attribute="1" defaultMemberUniqueName="[Daotao].[Hình thức đào tạo].[All]" allUniqueName="[Daotao].[Hình thức đào tạo].[All]" dimensionUniqueName="[Daotao]" displayFolder="" count="0" memberValueDatatype="130" unbalanced="0"/>
    <cacheHierarchy uniqueName="[Daotao].[Giảng viên]" caption="Giảng viên" attribute="1" defaultMemberUniqueName="[Daotao].[Giảng viên].[All]" allUniqueName="[Daotao].[Giảng viên].[All]" dimensionUniqueName="[Daotao]" displayFolder="" count="0" memberValueDatatype="130" unbalanced="0"/>
    <cacheHierarchy uniqueName="[Daotao].[Chi phí đào tạo]" caption="Chi phí đào tạo" attribute="1" defaultMemberUniqueName="[Daotao].[Chi phí đào tạo].[All]" allUniqueName="[Daotao].[Chi phí đào tạo].[All]" dimensionUniqueName="[Daotao]" displayFolder="" count="0" memberValueDatatype="20" unbalanced="0"/>
    <cacheHierarchy uniqueName="[Daotao].[Thang điểm]" caption="Thang điểm" attribute="1" defaultMemberUniqueName="[Daotao].[Thang điểm].[All]" allUniqueName="[Daotao].[Thang điểm].[All]" dimensionUniqueName="[Daotao]" displayFolder="" count="0" memberValueDatatype="20" unbalanced="0"/>
    <cacheHierarchy uniqueName="[Daotao].[Điểm đánh giá]" caption="Điểm đánh giá" attribute="1" defaultMemberUniqueName="[Daotao].[Điểm đánh giá].[All]" allUniqueName="[Daotao].[Điểm đánh giá].[All]" dimensionUniqueName="[Daotao]" displayFolder="" count="0" memberValueDatatype="20" unbalanced="0"/>
    <cacheHierarchy uniqueName="[Daotao].[Điểm tiêu chuẩn]" caption="Điểm tiêu chuẩn" attribute="1" defaultMemberUniqueName="[Daotao].[Điểm tiêu chuẩn].[All]" allUniqueName="[Daotao].[Điểm tiêu chuẩn].[All]" dimensionUniqueName="[Daotao]" displayFolder="" count="0" memberValueDatatype="20" unbalanced="0"/>
    <cacheHierarchy uniqueName="[Daotao].[Số lượng pass]" caption="Số lượng pass" attribute="1" defaultMemberUniqueName="[Daotao].[Số lượng pass].[All]" allUniqueName="[Daotao].[Số lượng pass].[All]" dimensionUniqueName="[Daotao]" displayFolder="" count="0" memberValueDatatype="20" unbalanced="0"/>
    <cacheHierarchy uniqueName="[Daotao].[Thời gian đào tạo (Month)]" caption="Thời gian đào tạo (Month)" attribute="1" defaultMemberUniqueName="[Daotao].[Thời gian đào tạo (Month)].[All]" allUniqueName="[Daotao].[Thời gian đào tạo (Month)].[All]" dimensionUniqueName="[Daotao]" displayFolder="" count="2" memberValueDatatype="130" unbalanced="0"/>
    <cacheHierarchy uniqueName="[Daotao].[Thời gian đào tạo (Day)]" caption="Thời gian đào tạo (Day)" attribute="1" defaultMemberUniqueName="[Daotao].[Thời gian đào tạo (Day)].[All]" allUniqueName="[Daotao].[Thời gian đào tạo (Day)].[All]" dimensionUniqueName="[Daotao]" displayFolder="" count="0" memberValueDatatype="130" unbalanced="0"/>
    <cacheHierarchy uniqueName="[Daotao].[Thời gian đào tạo (Day Index)]" caption="Thời gian đào tạo (Day Index)" attribute="1" defaultMemberUniqueName="[Daotao].[Thời gian đào tạo (Day Index)].[All]" allUniqueName="[Daotao].[Thời gian đào tạo (Day Index)].[All]" dimensionUniqueName="[Daotao]" displayFolder="" count="0" memberValueDatatype="5" unbalanced="0" hidden="1"/>
    <cacheHierarchy uniqueName="[Daotao].[Thời gian đào tạo (Month Index)]" caption="Thời gian đào tạo (Month Index)" attribute="1" defaultMemberUniqueName="[Daotao].[Thời gian đào tạo (Month Index)].[All]" allUniqueName="[Daotao].[Thời gian đào tạo (Month Index)].[All]" dimensionUniqueName="[Daotao]" displayFolder="" count="0" memberValueDatatype="20" unbalanced="0" hidden="1"/>
    <cacheHierarchy uniqueName="[Measures].[__XL_Count Daotao]" caption="__XL_Count Daotao" measure="1" displayFolder="" measureGroup="Daotao" count="0" hidden="1"/>
    <cacheHierarchy uniqueName="[Measures].[__No measures defined]" caption="__No measures defined" measure="1" displayFolder="" count="0" hidden="1"/>
    <cacheHierarchy uniqueName="[Measures].[Sum of Chi phí đào tạo]" caption="Sum of Chi phí đào tạo" measure="1" displayFolder="" measureGroup="Daotao" count="0" hidden="1">
      <extLst>
        <ext xmlns:x15="http://schemas.microsoft.com/office/spreadsheetml/2010/11/main" uri="{B97F6D7D-B522-45F9-BDA1-12C45D357490}">
          <x15:cacheHierarchy aggregatedColumn="12"/>
        </ext>
      </extLst>
    </cacheHierarchy>
    <cacheHierarchy uniqueName="[Measures].[Sum of Mã NV]" caption="Sum of Mã NV" measure="1" displayFolder="" measureGroup="Daotao" count="0" hidden="1">
      <extLst>
        <ext xmlns:x15="http://schemas.microsoft.com/office/spreadsheetml/2010/11/main" uri="{B97F6D7D-B522-45F9-BDA1-12C45D357490}">
          <x15:cacheHierarchy aggregatedColumn="2"/>
        </ext>
      </extLst>
    </cacheHierarchy>
    <cacheHierarchy uniqueName="[Measures].[Count of Mã NV]" caption="Count of Mã NV" measure="1" displayFolder="" measureGroup="Daotao" count="0" hidden="1">
      <extLst>
        <ext xmlns:x15="http://schemas.microsoft.com/office/spreadsheetml/2010/11/main" uri="{B97F6D7D-B522-45F9-BDA1-12C45D357490}">
          <x15:cacheHierarchy aggregatedColumn="2"/>
        </ext>
      </extLst>
    </cacheHierarchy>
    <cacheHierarchy uniqueName="[Measures].[Distinct Count of Mã NV]" caption="Distinct Count of Mã NV" measure="1" displayFolder="" measureGroup="Daotao" count="0" hidden="1">
      <extLst>
        <ext xmlns:x15="http://schemas.microsoft.com/office/spreadsheetml/2010/11/main" uri="{B97F6D7D-B522-45F9-BDA1-12C45D357490}">
          <x15:cacheHierarchy aggregatedColumn="2"/>
        </ext>
      </extLst>
    </cacheHierarchy>
    <cacheHierarchy uniqueName="[Measures].[Sum of Số lượng pass]" caption="Sum of Số lượng pass" measure="1" displayFolder="" measureGroup="Daotao" count="0" hidden="1">
      <extLst>
        <ext xmlns:x15="http://schemas.microsoft.com/office/spreadsheetml/2010/11/main" uri="{B97F6D7D-B522-45F9-BDA1-12C45D357490}">
          <x15:cacheHierarchy aggregatedColumn="16"/>
        </ext>
      </extLst>
    </cacheHierarchy>
    <cacheHierarchy uniqueName="[Measures].[Count of Nội dung đào tạo]" caption="Count of Nội dung đào tạo" measure="1" displayFolder="" measureGroup="Daotao" count="0" hidden="1">
      <extLst>
        <ext xmlns:x15="http://schemas.microsoft.com/office/spreadsheetml/2010/11/main" uri="{B97F6D7D-B522-45F9-BDA1-12C45D357490}">
          <x15:cacheHierarchy aggregatedColumn="7"/>
        </ext>
      </extLst>
    </cacheHierarchy>
    <cacheHierarchy uniqueName="[Measures].[Distinct Count of Nội dung đào tạo]" caption="Distinct Count of Nội dung đào tạo" measure="1" displayFolder="" measureGroup="Daotao"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992563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F833A-952C-4392-A4AB-6B8CA3A81F55}" name="Số HV theo CN" cacheId="67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6">
  <location ref="A14:B20" firstHeaderRow="1" firstDataRow="1" firstDataCol="1"/>
  <pivotFields count="5">
    <pivotField allDrilled="1" subtotalTop="0" showAll="0" dataSourceSort="1" defaultSubtotal="0" defaultAttributeDrillState="1">
      <items count="1">
        <item s="1" x="0"/>
      </items>
    </pivotField>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ố học viên"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học viê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ECC07-5ED0-45A1-8EF0-408DBE2E56C5}" name="Tỉ lệ pass" cacheId="675"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C3:C4"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lượng pass" fld="1" baseField="0" baseItem="0"/>
  </dataField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nhân viên"/>
    <pivotHierarchy dragToData="1" caption="Số học viên"/>
    <pivotHierarchy dragToData="1" caption="Số lượng pas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9D907-7ABD-4D77-A421-3B378B0A52E1}" name="Số học viên" cacheId="672"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A6:A7"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học viên" fld="1" subtotal="count" baseField="0" baseItem="0"/>
  </dataField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học viê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37AD0C-8929-4EB4-8840-97C9DC1049AF}" name="Chi phí theo tháng" cacheId="671"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6">
  <location ref="A23:B36" firstHeaderRow="1" firstDataRow="1" firstDataCol="1"/>
  <pivotFields count="6">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allDrilled="1" subtotalTop="0" showAll="0" dataSourceSort="1" defaultSubtotal="0" defaultAttributeDrillState="1"/>
  </pivotFields>
  <rowFields count="2">
    <field x="3"/>
    <field x="2"/>
  </rowFields>
  <rowItems count="13">
    <i>
      <x/>
    </i>
    <i>
      <x v="1"/>
    </i>
    <i>
      <x v="2"/>
    </i>
    <i>
      <x v="3"/>
    </i>
    <i>
      <x v="4"/>
    </i>
    <i>
      <x v="5"/>
    </i>
    <i>
      <x v="6"/>
    </i>
    <i>
      <x v="7"/>
    </i>
    <i>
      <x v="8"/>
    </i>
    <i>
      <x v="9"/>
    </i>
    <i>
      <x v="10"/>
    </i>
    <i>
      <x v="11"/>
    </i>
    <i t="grand">
      <x/>
    </i>
  </rowItems>
  <colItems count="1">
    <i/>
  </colItems>
  <dataFields count="1">
    <dataField name="Tổng chi phí đào tạo" fld="0"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0968C9-AB92-4A17-8AC0-00B87864D7E7}" name="Tỉ trong chi phí CN" cacheId="676"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8">
  <location ref="A48:B54" firstHeaderRow="1" firstDataRow="1" firstDataCol="1"/>
  <pivotFields count="5">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Tổng chi phí đào tạo" fld="0" showDataAs="percentOfCol" baseField="0" baseItem="0" numFmtId="10"/>
  </dataFields>
  <chartFormats count="24">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2" count="1" selected="0">
            <x v="0"/>
          </reference>
        </references>
      </pivotArea>
    </chartFormat>
    <chartFormat chart="5" format="21">
      <pivotArea type="data" outline="0" fieldPosition="0">
        <references count="2">
          <reference field="4294967294" count="1" selected="0">
            <x v="0"/>
          </reference>
          <reference field="2" count="1" selected="0">
            <x v="1"/>
          </reference>
        </references>
      </pivotArea>
    </chartFormat>
    <chartFormat chart="5" format="22">
      <pivotArea type="data" outline="0" fieldPosition="0">
        <references count="2">
          <reference field="4294967294" count="1" selected="0">
            <x v="0"/>
          </reference>
          <reference field="2" count="1" selected="0">
            <x v="2"/>
          </reference>
        </references>
      </pivotArea>
    </chartFormat>
    <chartFormat chart="5" format="23">
      <pivotArea type="data" outline="0" fieldPosition="0">
        <references count="2">
          <reference field="4294967294" count="1" selected="0">
            <x v="0"/>
          </reference>
          <reference field="2" count="1" selected="0">
            <x v="3"/>
          </reference>
        </references>
      </pivotArea>
    </chartFormat>
    <chartFormat chart="5" format="24">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A72C63-FAAB-41BD-B38A-7482FBF06219}" name="Số nhân viên" cacheId="67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A9:A10"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nhân viên" fld="1" subtotal="count" baseField="0" baseItem="1815431136">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nhân viên"/>
    <pivotHierarchy dragToData="1" caption="Số nhân viê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8E41F9-D4C9-40E2-B2EA-A68D14347D0A}" name="Top 5 chi phí" cacheId="67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6" rowHeaderCaption="Nội dung đào tạo">
  <location ref="A39:C45" firstHeaderRow="0" firstDataRow="1" firstDataCol="1"/>
  <pivotFields count="7">
    <pivotField dataField="1" subtotalTop="0" showAll="0" defaultSubtotal="0"/>
    <pivotField allDrilled="1" subtotalTop="0" showAll="0" dataSourceSort="1" defaultSubtotal="0" defaultAttributeDrillState="1">
      <items count="1">
        <item s="1" x="0"/>
      </items>
    </pivotField>
    <pivotField axis="axisRow" allDrilled="1" subtotalTop="0" showAll="0" measureFilter="1" defaultSubtotal="0" defaultAttributeDrillState="1">
      <items count="5">
        <item x="0"/>
        <item x="3"/>
        <item x="2"/>
        <item x="1"/>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Tổng chi phí đào tạo" fld="0" baseField="0" baseItem="0" numFmtId="164"/>
    <dataField name="Số học viên" fld="3"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học viên"/>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3">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3EBE41-C36D-456D-9E45-CFA93A514CED}" name="Tổng chi phí" cacheId="679"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ổng chi phí đào tạo" fld="0" baseField="0" baseItem="0" numFmtId="164"/>
  </dataField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B4D82B-C01A-4139-8831-9E11A649C651}" name="PivotTable1" cacheId="678"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E3:E4" firstHeaderRow="1" firstDataRow="1" firstDataCol="0"/>
  <pivotFields count="5">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khóa học"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ổng chi phí đào tạo"/>
    <pivotHierarchy dragToData="1"/>
    <pivotHierarchy dragToData="1" caption="Số nhân viên"/>
    <pivotHierarchy dragToData="1" caption="Số nhân viên"/>
    <pivotHierarchy dragToData="1"/>
    <pivotHierarchy dragToData="1" caption="Số khóa học"/>
    <pivotHierarchy dragToData="1" caption="Số khóa học"/>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bao cao dao tao.xlsx!Daotao">
        <x15:activeTabTopLevelEntity name="[Daotao]"/>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2E98B2EE-5CCD-4CE0-BB45-82E2A27ED103}" sourceName="[Daotao].[Chi nhánh]">
  <pivotTables>
    <pivotTable tabId="4" name="Tổng chi phí"/>
    <pivotTable tabId="4" name="Chi phí theo tháng"/>
    <pivotTable tabId="4" name="Số học viên"/>
    <pivotTable tabId="4" name="Số HV theo CN"/>
    <pivotTable tabId="4" name="Số nhân viên"/>
    <pivotTable tabId="4" name="Tỉ lệ pass"/>
    <pivotTable tabId="4" name="Tỉ trong chi phí CN"/>
    <pivotTable tabId="4" name="Top 5 chi phí"/>
    <pivotTable tabId="4" name="PivotTable1"/>
  </pivotTables>
  <data>
    <olap pivotCacheId="799256395">
      <levels count="2">
        <level uniqueName="[Daotao].[Chi nhánh].[(All)]" sourceCaption="(All)" count="0"/>
        <level uniqueName="[Daotao].[Chi nhánh].[Chi nhánh]" sourceCaption="Chi nhánh" count="5">
          <ranges>
            <range startItem="0">
              <i n="[Daotao].[Chi nhánh].&amp;[Chi nhánh Đà Nẵng]" c="Chi nhánh Đà Nẵng"/>
              <i n="[Daotao].[Chi nhánh].&amp;[Chi nhánh Hải Phòng]" c="Chi nhánh Hải Phòng"/>
              <i n="[Daotao].[Chi nhánh].&amp;[Chi nhánh TP.HCM]" c="Chi nhánh TP.HCM"/>
              <i n="[Daotao].[Chi nhánh].&amp;[Chi nhánh Thái Nguyên]" c="Chi nhánh Thái Nguyên"/>
              <i n="[Daotao].[Chi nhánh].&amp;[Trụ sở chính]" c="Trụ sở chính"/>
            </range>
          </ranges>
        </level>
      </levels>
      <selections count="1">
        <selection n="[Daotao].[Chi nhán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òng_ban" xr10:uid="{4D534CE5-1C93-4EA7-A419-410CF94833BF}" sourceName="[Daotao].[Phòng ban]">
  <pivotTables>
    <pivotTable tabId="4" name="Tổng chi phí"/>
    <pivotTable tabId="4" name="Chi phí theo tháng"/>
    <pivotTable tabId="4" name="Số học viên"/>
    <pivotTable tabId="4" name="Số HV theo CN"/>
    <pivotTable tabId="4" name="Số nhân viên"/>
    <pivotTable tabId="4" name="Tỉ lệ pass"/>
    <pivotTable tabId="4" name="Tỉ trong chi phí CN"/>
    <pivotTable tabId="4" name="Top 5 chi phí"/>
    <pivotTable tabId="4" name="PivotTable1"/>
  </pivotTables>
  <data>
    <olap pivotCacheId="799256395">
      <levels count="2">
        <level uniqueName="[Daotao].[Phòng ban].[(All)]" sourceCaption="(All)" count="0"/>
        <level uniqueName="[Daotao].[Phòng ban].[Phòng ban]" sourceCaption="Phòng ban" count="10">
          <ranges>
            <range startItem="0">
              <i n="[Daotao].[Phòng ban].&amp;[Ban Giám đốc]" c="Ban Giám đốc"/>
              <i n="[Daotao].[Phòng ban].&amp;[Bộ phận Admin]" c="Bộ phận Admin"/>
              <i n="[Daotao].[Phòng ban].&amp;[Giám đốc chức năng]" c="Giám đốc chức năng"/>
              <i n="[Daotao].[Phòng ban].&amp;[Phòng Dự án]" c="Phòng Dự án"/>
              <i n="[Daotao].[Phòng ban].&amp;[Phòng Đào tạo]" c="Phòng Đào tạo"/>
              <i n="[Daotao].[Phòng ban].&amp;[Phòng Hành chính Nhân sự]" c="Phòng Hành chính Nhân sự"/>
              <i n="[Daotao].[Phòng ban].&amp;[Phòng Kế toán]" c="Phòng Kế toán"/>
              <i n="[Daotao].[Phòng ban].&amp;[Phòng Kinh doanh]" c="Phòng Kinh doanh"/>
              <i n="[Daotao].[Phòng ban].&amp;[Phòng Marketing]" c="Phòng Marketing"/>
              <i n="[Daotao].[Phòng ban].&amp;[Phòng Quản lý Chất lượng]" c="Phòng Quản lý Chất lượng"/>
            </range>
          </ranges>
        </level>
      </levels>
      <selections count="1">
        <selection n="[Daotao].[Phòng b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ời_gian_đào_tạo__Month" xr10:uid="{4ED573E8-63E2-46CA-9A12-DC845915A4D4}" sourceName="[Daotao].[Thời gian đào tạo (Month)]">
  <pivotTables>
    <pivotTable tabId="4" name="Tổng chi phí"/>
    <pivotTable tabId="4" name="Chi phí theo tháng"/>
    <pivotTable tabId="4" name="Số học viên"/>
    <pivotTable tabId="4" name="Số HV theo CN"/>
    <pivotTable tabId="4" name="Số nhân viên"/>
    <pivotTable tabId="4" name="Tỉ lệ pass"/>
    <pivotTable tabId="4" name="Tỉ trong chi phí CN"/>
    <pivotTable tabId="4" name="Top 5 chi phí"/>
    <pivotTable tabId="4" name="PivotTable1"/>
  </pivotTables>
  <data>
    <olap pivotCacheId="799256395">
      <levels count="2">
        <level uniqueName="[Daotao].[Thời gian đào tạo (Month)].[(All)]" sourceCaption="(All)" count="0"/>
        <level uniqueName="[Daotao].[Thời gian đào tạo (Month)].[Thời gian đào tạo (Month)]" sourceCaption="Thời gian đào tạo (Month)" count="12">
          <ranges>
            <range startItem="0">
              <i n="[Daotao].[Thời gian đào tạo (Month)].&amp;[Thg1]" c="Thg1"/>
              <i n="[Daotao].[Thời gian đào tạo (Month)].&amp;[Thg2]" c="Thg2"/>
              <i n="[Daotao].[Thời gian đào tạo (Month)].&amp;[Thg3]" c="Thg3"/>
              <i n="[Daotao].[Thời gian đào tạo (Month)].&amp;[Thg4]" c="Thg4"/>
              <i n="[Daotao].[Thời gian đào tạo (Month)].&amp;[Thg5]" c="Thg5"/>
              <i n="[Daotao].[Thời gian đào tạo (Month)].&amp;[Thg6]" c="Thg6"/>
              <i n="[Daotao].[Thời gian đào tạo (Month)].&amp;[Thg7]" c="Thg7"/>
              <i n="[Daotao].[Thời gian đào tạo (Month)].&amp;[Thg8]" c="Thg8"/>
              <i n="[Daotao].[Thời gian đào tạo (Month)].&amp;[Thg9]" c="Thg9"/>
              <i n="[Daotao].[Thời gian đào tạo (Month)].&amp;[Thg10]" c="Thg10"/>
              <i n="[Daotao].[Thời gian đào tạo (Month)].&amp;[Thg11]" c="Thg11"/>
              <i n="[Daotao].[Thời gian đào tạo (Month)].&amp;[Thg12]" c="Thg12"/>
            </range>
          </ranges>
        </level>
      </levels>
      <selections count="1">
        <selection n="[Daotao].[Thời gian đào tạo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xr10:uid="{FE1FA4CB-0718-4687-BFF2-3AF92C1832E1}" cache="Slicer_Chi_nhánh" caption="Chi nhánh" level="1" rowHeight="360000"/>
  <slicer name="Phòng ban" xr10:uid="{CE9F16F5-F6C7-4B74-A3B6-F8BDA0602F8F}" cache="Slicer_Phòng_ban" caption="Phòng ban" level="1" rowHeight="225425"/>
  <slicer name="Thời gian đào tạo (Month)" xr10:uid="{8A4FCA09-8FF7-49ED-88DE-A5D83F64128C}" cache="Slicer_Thời_gian_đào_tạo__Month" caption="Thời gian đào tạo (Month)" columnCount="2" level="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1" xr10:uid="{622001E6-4F5E-4134-A0CB-1E64616DCED6}" cache="Slicer_Chi_nhánh" caption="Chi nhánh" level="1" style="SlicerStyleLight1 3" rowHeight="244800"/>
  <slicer name="Phòng ban 1" xr10:uid="{B2BF5DB4-6B18-4844-9C9C-FC416AE0BBAF}" cache="Slicer_Phòng_ban" caption="Phòng ban" level="1" style="SlicerStyleLight1 3" rowHeight="270000"/>
  <slicer name="Thời gian đào tạo (Month) 1" xr10:uid="{6E5A05DA-54DD-41FE-8CE1-A14BE9651171}" cache="Slicer_Thời_gian_đào_tạo__Month" caption="Tháng" columnCount="2" level="1" style="SlicerStyleLight1 3"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2" xr10:uid="{946F0C34-D0E5-4B39-A5DF-2E0C8C2E42D0}" cache="Slicer_Chi_nhánh" caption="Khu vực" level="1" style="SlicerStyleLight4" rowHeight="252000"/>
  <slicer name="Phòng ban 2" xr10:uid="{19849234-3EB5-4943-B7ED-0BD184BD3340}" cache="Slicer_Phòng_ban" caption="Phòng ban" level="1" style="SlicerStyleLight4" rowHeight="324000"/>
  <slicer name="Thời gian đào tạo (Month) 2" xr10:uid="{0EADE160-97EF-40D2-B65D-D5168E902384}" cache="Slicer_Thời_gian_đào_tạo__Month" caption="Thời gian đào tạo (Month)" columnCount="2" level="1" style="SlicerStyleLight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D24FB4-A1B3-4825-B7EA-573BD43B6D33}" name="Daotao" displayName="Daotao" ref="A1:Q425" totalsRowShown="0" headerRowDxfId="4">
  <autoFilter ref="A1:Q425" xr:uid="{2FD24FB4-A1B3-4825-B7EA-573BD43B6D33}"/>
  <tableColumns count="17">
    <tableColumn id="1" xr3:uid="{CC9501BF-E839-4378-95D2-EA443E238419}" name="STT" dataDxfId="3"/>
    <tableColumn id="2" xr3:uid="{7D1493DA-AFEF-4464-BFF0-63DA276DB5FC}" name="Thời gian đào tạo" dataDxfId="2"/>
    <tableColumn id="3" xr3:uid="{769409FA-A4DD-4C96-875E-887A47339AC5}" name="Mã NV" dataDxfId="1"/>
    <tableColumn id="4" xr3:uid="{EDA1BCC3-4032-427F-A69F-0C571848B543}" name="Họ tên"/>
    <tableColumn id="5" xr3:uid="{174E7D37-63C9-4325-B9C1-5DAB7CF4C63F}" name="Chi nhánh"/>
    <tableColumn id="6" xr3:uid="{141ED82E-19CF-4745-971F-720D52A88ED4}" name="Phòng ban"/>
    <tableColumn id="7" xr3:uid="{83969082-4A6F-4295-BF9E-F37F16E02B40}" name="Vị trí"/>
    <tableColumn id="8" xr3:uid="{9E08E3E9-3A17-4C5B-8292-BEF13ACAEED8}" name="Nội dung đào tạo"/>
    <tableColumn id="9" xr3:uid="{1F1A57F5-20A6-4DAA-86B3-1C5C4B66F165}" name="Thời lượng (Số giờ)" dataDxfId="0"/>
    <tableColumn id="10" xr3:uid="{B4BAD87F-F344-41D7-A453-88D72E3632C6}" name="Nơi đào tạo"/>
    <tableColumn id="11" xr3:uid="{E19A82CB-49A5-4DF7-A2FF-C53AAFFC127E}" name="Hình thức đào tạo"/>
    <tableColumn id="12" xr3:uid="{80F2A647-2730-40DB-B30F-8DC585C94FD3}" name="Giảng viên"/>
    <tableColumn id="13" xr3:uid="{E14C84CB-E4FD-4627-A4C1-656FF96D2875}" name="Chi phí đào tạo"/>
    <tableColumn id="14" xr3:uid="{EBDDC9ED-68E6-4154-B90B-05F8014CFEB0}" name="Thang điểm"/>
    <tableColumn id="15" xr3:uid="{55199227-FF69-4BA5-A309-700AA87B105E}" name="Điểm đánh giá"/>
    <tableColumn id="16" xr3:uid="{18A2BEF1-DDBF-4205-AD3C-9C1F49AF0648}" name="Điểm tiêu chuẩn"/>
    <tableColumn id="17" xr3:uid="{3F8BDC83-E762-4F03-A089-041C4E5689D3}" name="Số lượng pass">
      <calculatedColumnFormula>IF(O2&gt;P2,1,0)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781A-CB92-40EC-801D-80A4D0F45F69}">
  <dimension ref="A1:Q425"/>
  <sheetViews>
    <sheetView tabSelected="1" workbookViewId="0">
      <pane xSplit="1" ySplit="1" topLeftCell="B20" activePane="bottomRight" state="frozen"/>
      <selection activeCell="H3" sqref="H3"/>
      <selection pane="topRight" activeCell="H3" sqref="H3"/>
      <selection pane="bottomLeft" activeCell="H3" sqref="H3"/>
      <selection pane="bottomRight" activeCell="D22" sqref="D22"/>
    </sheetView>
  </sheetViews>
  <sheetFormatPr defaultRowHeight="15" x14ac:dyDescent="0.25"/>
  <cols>
    <col min="1" max="1" width="9.140625" style="1"/>
    <col min="2" max="2" width="13.7109375" style="4" customWidth="1"/>
    <col min="3" max="3" width="9.85546875" customWidth="1"/>
    <col min="4" max="4" width="25.28515625" style="1" customWidth="1"/>
    <col min="5" max="5" width="23.140625" customWidth="1"/>
    <col min="6" max="6" width="19.7109375" customWidth="1"/>
    <col min="7" max="7" width="21.28515625" customWidth="1"/>
    <col min="8" max="8" width="27.5703125" customWidth="1"/>
    <col min="9" max="9" width="26.28515625" customWidth="1"/>
    <col min="10" max="10" width="13.7109375" customWidth="1"/>
    <col min="11" max="11" width="19.7109375" customWidth="1"/>
    <col min="12" max="12" width="21" style="1" customWidth="1"/>
    <col min="13" max="13" width="19.28515625" customWidth="1"/>
    <col min="14" max="17" width="12.7109375" customWidth="1"/>
    <col min="18" max="18" width="12.140625" customWidth="1"/>
    <col min="19" max="19" width="10.28515625" customWidth="1"/>
  </cols>
  <sheetData>
    <row r="1" spans="1:17" s="2" customFormat="1" ht="34.5" customHeight="1" x14ac:dyDescent="0.25">
      <c r="A1" s="2" t="s">
        <v>0</v>
      </c>
      <c r="B1" s="3" t="s">
        <v>171</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17" x14ac:dyDescent="0.25">
      <c r="A2" s="1">
        <v>1</v>
      </c>
      <c r="B2" s="4">
        <v>43481</v>
      </c>
      <c r="C2" s="1">
        <v>1006</v>
      </c>
      <c r="D2" t="s">
        <v>16</v>
      </c>
      <c r="E2" t="s">
        <v>17</v>
      </c>
      <c r="F2" t="s">
        <v>18</v>
      </c>
      <c r="G2" t="s">
        <v>19</v>
      </c>
      <c r="H2" t="s">
        <v>20</v>
      </c>
      <c r="I2" s="1">
        <v>3</v>
      </c>
      <c r="J2" t="s">
        <v>21</v>
      </c>
      <c r="K2" t="s">
        <v>22</v>
      </c>
      <c r="L2"/>
      <c r="M2">
        <v>100000</v>
      </c>
      <c r="N2">
        <v>10</v>
      </c>
      <c r="O2">
        <v>8</v>
      </c>
      <c r="P2">
        <v>7</v>
      </c>
      <c r="Q2">
        <f>IF(O2&gt;P2,1,0)</f>
        <v>1</v>
      </c>
    </row>
    <row r="3" spans="1:17" x14ac:dyDescent="0.25">
      <c r="A3" s="1">
        <v>2</v>
      </c>
      <c r="B3" s="4">
        <v>43481</v>
      </c>
      <c r="C3" s="1">
        <v>1007</v>
      </c>
      <c r="D3" t="s">
        <v>23</v>
      </c>
      <c r="E3" t="s">
        <v>17</v>
      </c>
      <c r="F3" t="s">
        <v>18</v>
      </c>
      <c r="G3" t="s">
        <v>19</v>
      </c>
      <c r="H3" t="s">
        <v>20</v>
      </c>
      <c r="I3" s="1">
        <v>3</v>
      </c>
      <c r="J3" t="s">
        <v>21</v>
      </c>
      <c r="K3" t="s">
        <v>22</v>
      </c>
      <c r="L3"/>
      <c r="M3">
        <v>100000</v>
      </c>
      <c r="N3">
        <v>10</v>
      </c>
      <c r="O3">
        <v>6</v>
      </c>
      <c r="P3">
        <v>7</v>
      </c>
      <c r="Q3">
        <f t="shared" ref="Q3:Q66" si="0">IF(O3&gt;P3,1,0)</f>
        <v>0</v>
      </c>
    </row>
    <row r="4" spans="1:17" x14ac:dyDescent="0.25">
      <c r="A4" s="1">
        <v>3</v>
      </c>
      <c r="B4" s="4">
        <v>43481</v>
      </c>
      <c r="C4" s="1">
        <v>1008</v>
      </c>
      <c r="D4" t="s">
        <v>24</v>
      </c>
      <c r="E4" t="s">
        <v>17</v>
      </c>
      <c r="F4" t="s">
        <v>18</v>
      </c>
      <c r="G4" t="s">
        <v>19</v>
      </c>
      <c r="H4" t="s">
        <v>20</v>
      </c>
      <c r="I4" s="1">
        <v>3</v>
      </c>
      <c r="J4" t="s">
        <v>21</v>
      </c>
      <c r="K4" t="s">
        <v>22</v>
      </c>
      <c r="L4"/>
      <c r="M4">
        <v>100000</v>
      </c>
      <c r="N4">
        <v>10</v>
      </c>
      <c r="O4">
        <v>7</v>
      </c>
      <c r="P4">
        <v>7</v>
      </c>
      <c r="Q4">
        <f t="shared" si="0"/>
        <v>0</v>
      </c>
    </row>
    <row r="5" spans="1:17" x14ac:dyDescent="0.25">
      <c r="A5" s="1">
        <v>4</v>
      </c>
      <c r="B5" s="4">
        <v>43481</v>
      </c>
      <c r="C5" s="1">
        <v>1012</v>
      </c>
      <c r="D5" t="s">
        <v>25</v>
      </c>
      <c r="E5" t="s">
        <v>17</v>
      </c>
      <c r="F5" t="s">
        <v>26</v>
      </c>
      <c r="G5" t="s">
        <v>27</v>
      </c>
      <c r="H5" t="s">
        <v>20</v>
      </c>
      <c r="I5" s="1">
        <v>3</v>
      </c>
      <c r="J5" t="s">
        <v>21</v>
      </c>
      <c r="K5" t="s">
        <v>22</v>
      </c>
      <c r="L5"/>
      <c r="M5">
        <v>100000</v>
      </c>
      <c r="N5">
        <v>10</v>
      </c>
      <c r="O5">
        <v>5</v>
      </c>
      <c r="P5">
        <v>7</v>
      </c>
      <c r="Q5">
        <f t="shared" si="0"/>
        <v>0</v>
      </c>
    </row>
    <row r="6" spans="1:17" x14ac:dyDescent="0.25">
      <c r="A6" s="1">
        <v>5</v>
      </c>
      <c r="B6" s="4">
        <v>43481</v>
      </c>
      <c r="C6" s="1">
        <v>1013</v>
      </c>
      <c r="D6" t="s">
        <v>28</v>
      </c>
      <c r="E6" t="s">
        <v>17</v>
      </c>
      <c r="F6" t="s">
        <v>26</v>
      </c>
      <c r="G6" t="s">
        <v>27</v>
      </c>
      <c r="H6" t="s">
        <v>20</v>
      </c>
      <c r="I6" s="1">
        <v>3</v>
      </c>
      <c r="J6" t="s">
        <v>21</v>
      </c>
      <c r="K6" t="s">
        <v>22</v>
      </c>
      <c r="L6"/>
      <c r="M6">
        <v>100000</v>
      </c>
      <c r="N6">
        <v>10</v>
      </c>
      <c r="O6">
        <v>7</v>
      </c>
      <c r="P6">
        <v>7</v>
      </c>
      <c r="Q6">
        <f t="shared" si="0"/>
        <v>0</v>
      </c>
    </row>
    <row r="7" spans="1:17" x14ac:dyDescent="0.25">
      <c r="A7" s="1">
        <v>6</v>
      </c>
      <c r="B7" s="4">
        <v>43481</v>
      </c>
      <c r="C7" s="1">
        <v>1014</v>
      </c>
      <c r="D7" t="s">
        <v>29</v>
      </c>
      <c r="E7" t="s">
        <v>17</v>
      </c>
      <c r="F7" t="s">
        <v>26</v>
      </c>
      <c r="G7" t="s">
        <v>27</v>
      </c>
      <c r="H7" t="s">
        <v>20</v>
      </c>
      <c r="I7" s="1">
        <v>3</v>
      </c>
      <c r="J7" t="s">
        <v>21</v>
      </c>
      <c r="K7" t="s">
        <v>22</v>
      </c>
      <c r="L7"/>
      <c r="M7">
        <v>100000</v>
      </c>
      <c r="N7">
        <v>10</v>
      </c>
      <c r="O7">
        <v>8</v>
      </c>
      <c r="P7">
        <v>7</v>
      </c>
      <c r="Q7">
        <f t="shared" si="0"/>
        <v>1</v>
      </c>
    </row>
    <row r="8" spans="1:17" x14ac:dyDescent="0.25">
      <c r="A8" s="1">
        <v>7</v>
      </c>
      <c r="B8" s="4">
        <v>43481</v>
      </c>
      <c r="C8" s="1">
        <v>1034</v>
      </c>
      <c r="D8" t="s">
        <v>30</v>
      </c>
      <c r="E8" t="s">
        <v>31</v>
      </c>
      <c r="F8" t="s">
        <v>32</v>
      </c>
      <c r="G8" t="s">
        <v>33</v>
      </c>
      <c r="H8" t="s">
        <v>34</v>
      </c>
      <c r="I8" s="1">
        <v>3</v>
      </c>
      <c r="J8" t="s">
        <v>21</v>
      </c>
      <c r="K8" t="s">
        <v>22</v>
      </c>
      <c r="L8"/>
      <c r="M8">
        <v>100000</v>
      </c>
      <c r="N8">
        <v>10</v>
      </c>
      <c r="O8">
        <v>6</v>
      </c>
      <c r="P8">
        <v>7</v>
      </c>
      <c r="Q8">
        <f t="shared" si="0"/>
        <v>0</v>
      </c>
    </row>
    <row r="9" spans="1:17" x14ac:dyDescent="0.25">
      <c r="A9" s="1">
        <v>8</v>
      </c>
      <c r="B9" s="4">
        <v>43481</v>
      </c>
      <c r="C9" s="1">
        <v>1035</v>
      </c>
      <c r="D9" t="s">
        <v>35</v>
      </c>
      <c r="E9" t="s">
        <v>31</v>
      </c>
      <c r="F9" t="s">
        <v>32</v>
      </c>
      <c r="G9" t="s">
        <v>33</v>
      </c>
      <c r="H9" t="s">
        <v>34</v>
      </c>
      <c r="I9" s="1">
        <v>3</v>
      </c>
      <c r="J9" t="s">
        <v>21</v>
      </c>
      <c r="K9" t="s">
        <v>22</v>
      </c>
      <c r="L9"/>
      <c r="M9">
        <v>100000</v>
      </c>
      <c r="N9">
        <v>10</v>
      </c>
      <c r="O9">
        <v>9</v>
      </c>
      <c r="P9">
        <v>7</v>
      </c>
      <c r="Q9">
        <f t="shared" si="0"/>
        <v>1</v>
      </c>
    </row>
    <row r="10" spans="1:17" x14ac:dyDescent="0.25">
      <c r="A10" s="1">
        <v>9</v>
      </c>
      <c r="B10" s="4">
        <v>43481</v>
      </c>
      <c r="C10" s="1">
        <v>1036</v>
      </c>
      <c r="D10" t="s">
        <v>36</v>
      </c>
      <c r="E10" t="s">
        <v>31</v>
      </c>
      <c r="F10" t="s">
        <v>32</v>
      </c>
      <c r="G10" t="s">
        <v>33</v>
      </c>
      <c r="H10" t="s">
        <v>34</v>
      </c>
      <c r="I10" s="1">
        <v>3</v>
      </c>
      <c r="J10" t="s">
        <v>21</v>
      </c>
      <c r="K10" t="s">
        <v>22</v>
      </c>
      <c r="L10"/>
      <c r="M10">
        <v>100000</v>
      </c>
      <c r="N10">
        <v>10</v>
      </c>
      <c r="O10">
        <v>7</v>
      </c>
      <c r="P10">
        <v>7</v>
      </c>
      <c r="Q10">
        <f t="shared" si="0"/>
        <v>0</v>
      </c>
    </row>
    <row r="11" spans="1:17" x14ac:dyDescent="0.25">
      <c r="A11" s="1">
        <v>10</v>
      </c>
      <c r="B11" s="4">
        <v>43481</v>
      </c>
      <c r="C11" s="1">
        <v>1037</v>
      </c>
      <c r="D11" t="s">
        <v>37</v>
      </c>
      <c r="E11" t="s">
        <v>31</v>
      </c>
      <c r="F11" t="s">
        <v>32</v>
      </c>
      <c r="G11" t="s">
        <v>33</v>
      </c>
      <c r="H11" t="s">
        <v>34</v>
      </c>
      <c r="I11" s="1">
        <v>3</v>
      </c>
      <c r="J11" t="s">
        <v>21</v>
      </c>
      <c r="K11" t="s">
        <v>22</v>
      </c>
      <c r="L11"/>
      <c r="M11">
        <v>100000</v>
      </c>
      <c r="N11">
        <v>10</v>
      </c>
      <c r="O11">
        <v>8</v>
      </c>
      <c r="P11">
        <v>7</v>
      </c>
      <c r="Q11">
        <f t="shared" si="0"/>
        <v>1</v>
      </c>
    </row>
    <row r="12" spans="1:17" x14ac:dyDescent="0.25">
      <c r="A12" s="1">
        <v>11</v>
      </c>
      <c r="B12" s="4">
        <v>43481</v>
      </c>
      <c r="C12" s="1">
        <v>1060</v>
      </c>
      <c r="D12" t="s">
        <v>38</v>
      </c>
      <c r="E12" t="s">
        <v>39</v>
      </c>
      <c r="F12" t="s">
        <v>32</v>
      </c>
      <c r="G12" t="s">
        <v>33</v>
      </c>
      <c r="H12" t="s">
        <v>34</v>
      </c>
      <c r="I12" s="1">
        <v>3</v>
      </c>
      <c r="J12" t="s">
        <v>21</v>
      </c>
      <c r="K12" t="s">
        <v>22</v>
      </c>
      <c r="L12"/>
      <c r="M12">
        <v>100000</v>
      </c>
      <c r="N12">
        <v>10</v>
      </c>
      <c r="O12">
        <v>6</v>
      </c>
      <c r="P12">
        <v>7</v>
      </c>
      <c r="Q12">
        <f t="shared" si="0"/>
        <v>0</v>
      </c>
    </row>
    <row r="13" spans="1:17" x14ac:dyDescent="0.25">
      <c r="A13" s="1">
        <v>12</v>
      </c>
      <c r="B13" s="4">
        <v>43481</v>
      </c>
      <c r="C13" s="1">
        <v>1061</v>
      </c>
      <c r="D13" t="s">
        <v>40</v>
      </c>
      <c r="E13" t="s">
        <v>39</v>
      </c>
      <c r="F13" t="s">
        <v>32</v>
      </c>
      <c r="G13" t="s">
        <v>33</v>
      </c>
      <c r="H13" t="s">
        <v>34</v>
      </c>
      <c r="I13" s="1">
        <v>3</v>
      </c>
      <c r="J13" t="s">
        <v>21</v>
      </c>
      <c r="K13" t="s">
        <v>22</v>
      </c>
      <c r="L13"/>
      <c r="M13">
        <v>100000</v>
      </c>
      <c r="N13">
        <v>10</v>
      </c>
      <c r="O13">
        <v>5</v>
      </c>
      <c r="P13">
        <v>7</v>
      </c>
      <c r="Q13">
        <f t="shared" si="0"/>
        <v>0</v>
      </c>
    </row>
    <row r="14" spans="1:17" x14ac:dyDescent="0.25">
      <c r="A14" s="1">
        <v>13</v>
      </c>
      <c r="B14" s="4">
        <v>43481</v>
      </c>
      <c r="C14" s="1">
        <v>1062</v>
      </c>
      <c r="D14" t="s">
        <v>41</v>
      </c>
      <c r="E14" t="s">
        <v>39</v>
      </c>
      <c r="F14" t="s">
        <v>32</v>
      </c>
      <c r="G14" t="s">
        <v>33</v>
      </c>
      <c r="H14" t="s">
        <v>34</v>
      </c>
      <c r="I14" s="1">
        <v>3</v>
      </c>
      <c r="J14" t="s">
        <v>21</v>
      </c>
      <c r="K14" t="s">
        <v>22</v>
      </c>
      <c r="L14"/>
      <c r="M14">
        <v>100000</v>
      </c>
      <c r="N14">
        <v>10</v>
      </c>
      <c r="O14">
        <v>8</v>
      </c>
      <c r="P14">
        <v>7</v>
      </c>
      <c r="Q14">
        <f t="shared" si="0"/>
        <v>1</v>
      </c>
    </row>
    <row r="15" spans="1:17" x14ac:dyDescent="0.25">
      <c r="A15" s="1">
        <v>14</v>
      </c>
      <c r="B15" s="4">
        <v>43481</v>
      </c>
      <c r="C15" s="1">
        <v>1063</v>
      </c>
      <c r="D15" t="s">
        <v>42</v>
      </c>
      <c r="E15" t="s">
        <v>39</v>
      </c>
      <c r="F15" t="s">
        <v>32</v>
      </c>
      <c r="G15" t="s">
        <v>33</v>
      </c>
      <c r="H15" t="s">
        <v>34</v>
      </c>
      <c r="I15" s="1">
        <v>3</v>
      </c>
      <c r="J15" t="s">
        <v>21</v>
      </c>
      <c r="K15" t="s">
        <v>22</v>
      </c>
      <c r="L15"/>
      <c r="M15">
        <v>100000</v>
      </c>
      <c r="N15">
        <v>10</v>
      </c>
      <c r="O15">
        <v>9</v>
      </c>
      <c r="P15">
        <v>7</v>
      </c>
      <c r="Q15">
        <f t="shared" si="0"/>
        <v>1</v>
      </c>
    </row>
    <row r="16" spans="1:17" x14ac:dyDescent="0.25">
      <c r="A16" s="1">
        <v>15</v>
      </c>
      <c r="B16" s="4">
        <v>43481</v>
      </c>
      <c r="C16" s="1">
        <v>1081</v>
      </c>
      <c r="D16" t="s">
        <v>38</v>
      </c>
      <c r="E16" t="s">
        <v>43</v>
      </c>
      <c r="F16" t="s">
        <v>32</v>
      </c>
      <c r="G16" t="s">
        <v>33</v>
      </c>
      <c r="H16" t="s">
        <v>34</v>
      </c>
      <c r="I16" s="1">
        <v>3</v>
      </c>
      <c r="J16" t="s">
        <v>21</v>
      </c>
      <c r="K16" t="s">
        <v>22</v>
      </c>
      <c r="L16"/>
      <c r="M16">
        <v>100000</v>
      </c>
      <c r="N16">
        <v>10</v>
      </c>
      <c r="O16">
        <v>5</v>
      </c>
      <c r="P16">
        <v>7</v>
      </c>
      <c r="Q16">
        <f t="shared" si="0"/>
        <v>0</v>
      </c>
    </row>
    <row r="17" spans="1:17" x14ac:dyDescent="0.25">
      <c r="A17" s="1">
        <v>16</v>
      </c>
      <c r="B17" s="4">
        <v>43481</v>
      </c>
      <c r="C17" s="1">
        <v>1082</v>
      </c>
      <c r="D17" t="s">
        <v>40</v>
      </c>
      <c r="E17" t="s">
        <v>43</v>
      </c>
      <c r="F17" t="s">
        <v>32</v>
      </c>
      <c r="G17" t="s">
        <v>33</v>
      </c>
      <c r="H17" t="s">
        <v>34</v>
      </c>
      <c r="I17" s="1">
        <v>3</v>
      </c>
      <c r="J17" t="s">
        <v>21</v>
      </c>
      <c r="K17" t="s">
        <v>22</v>
      </c>
      <c r="L17"/>
      <c r="M17">
        <v>100000</v>
      </c>
      <c r="N17">
        <v>10</v>
      </c>
      <c r="O17">
        <v>8</v>
      </c>
      <c r="P17">
        <v>7</v>
      </c>
      <c r="Q17">
        <f t="shared" si="0"/>
        <v>1</v>
      </c>
    </row>
    <row r="18" spans="1:17" x14ac:dyDescent="0.25">
      <c r="A18" s="1">
        <v>17</v>
      </c>
      <c r="B18" s="4">
        <v>43481</v>
      </c>
      <c r="C18" s="1">
        <v>1083</v>
      </c>
      <c r="D18" t="s">
        <v>44</v>
      </c>
      <c r="E18" t="s">
        <v>43</v>
      </c>
      <c r="F18" t="s">
        <v>32</v>
      </c>
      <c r="G18" t="s">
        <v>33</v>
      </c>
      <c r="H18" t="s">
        <v>34</v>
      </c>
      <c r="I18" s="1">
        <v>3</v>
      </c>
      <c r="J18" t="s">
        <v>21</v>
      </c>
      <c r="K18" t="s">
        <v>22</v>
      </c>
      <c r="L18"/>
      <c r="M18">
        <v>100000</v>
      </c>
      <c r="N18">
        <v>10</v>
      </c>
      <c r="O18">
        <v>7</v>
      </c>
      <c r="P18">
        <v>7</v>
      </c>
      <c r="Q18">
        <f t="shared" si="0"/>
        <v>0</v>
      </c>
    </row>
    <row r="19" spans="1:17" x14ac:dyDescent="0.25">
      <c r="A19" s="1">
        <v>18</v>
      </c>
      <c r="B19" s="4">
        <v>43481</v>
      </c>
      <c r="C19" s="1">
        <v>1084</v>
      </c>
      <c r="D19" t="s">
        <v>42</v>
      </c>
      <c r="E19" t="s">
        <v>43</v>
      </c>
      <c r="F19" t="s">
        <v>32</v>
      </c>
      <c r="G19" t="s">
        <v>33</v>
      </c>
      <c r="H19" t="s">
        <v>34</v>
      </c>
      <c r="I19" s="1">
        <v>3</v>
      </c>
      <c r="J19" t="s">
        <v>21</v>
      </c>
      <c r="K19" t="s">
        <v>22</v>
      </c>
      <c r="L19"/>
      <c r="M19">
        <v>100000</v>
      </c>
      <c r="N19">
        <v>10</v>
      </c>
      <c r="O19">
        <v>7</v>
      </c>
      <c r="P19">
        <v>7</v>
      </c>
      <c r="Q19">
        <f t="shared" si="0"/>
        <v>0</v>
      </c>
    </row>
    <row r="20" spans="1:17" x14ac:dyDescent="0.25">
      <c r="A20" s="1">
        <v>19</v>
      </c>
      <c r="B20" s="4">
        <v>43481</v>
      </c>
      <c r="C20" s="1">
        <v>1101</v>
      </c>
      <c r="D20" t="s">
        <v>45</v>
      </c>
      <c r="E20" t="s">
        <v>46</v>
      </c>
      <c r="F20" t="s">
        <v>32</v>
      </c>
      <c r="G20" t="s">
        <v>33</v>
      </c>
      <c r="H20" t="s">
        <v>34</v>
      </c>
      <c r="I20" s="1">
        <v>3</v>
      </c>
      <c r="J20" t="s">
        <v>21</v>
      </c>
      <c r="K20" t="s">
        <v>22</v>
      </c>
      <c r="L20"/>
      <c r="M20">
        <v>100000</v>
      </c>
      <c r="N20">
        <v>10</v>
      </c>
      <c r="O20">
        <v>9</v>
      </c>
      <c r="P20">
        <v>7</v>
      </c>
      <c r="Q20">
        <f t="shared" si="0"/>
        <v>1</v>
      </c>
    </row>
    <row r="21" spans="1:17" x14ac:dyDescent="0.25">
      <c r="A21" s="1">
        <v>20</v>
      </c>
      <c r="B21" s="4">
        <v>43481</v>
      </c>
      <c r="C21" s="1">
        <v>1102</v>
      </c>
      <c r="D21" t="s">
        <v>47</v>
      </c>
      <c r="E21" t="s">
        <v>46</v>
      </c>
      <c r="F21" t="s">
        <v>32</v>
      </c>
      <c r="G21" t="s">
        <v>33</v>
      </c>
      <c r="H21" t="s">
        <v>34</v>
      </c>
      <c r="I21" s="1">
        <v>3</v>
      </c>
      <c r="J21" t="s">
        <v>21</v>
      </c>
      <c r="K21" t="s">
        <v>22</v>
      </c>
      <c r="L21"/>
      <c r="M21">
        <v>100000</v>
      </c>
      <c r="N21">
        <v>10</v>
      </c>
      <c r="O21">
        <v>10</v>
      </c>
      <c r="P21">
        <v>7</v>
      </c>
      <c r="Q21">
        <f t="shared" si="0"/>
        <v>1</v>
      </c>
    </row>
    <row r="22" spans="1:17" x14ac:dyDescent="0.25">
      <c r="A22" s="1">
        <v>21</v>
      </c>
      <c r="B22" s="4">
        <v>43481</v>
      </c>
      <c r="C22" s="1">
        <v>1103</v>
      </c>
      <c r="D22" t="s">
        <v>48</v>
      </c>
      <c r="E22" t="s">
        <v>46</v>
      </c>
      <c r="F22" t="s">
        <v>32</v>
      </c>
      <c r="G22" t="s">
        <v>33</v>
      </c>
      <c r="H22" t="s">
        <v>34</v>
      </c>
      <c r="I22" s="1">
        <v>3</v>
      </c>
      <c r="J22" t="s">
        <v>21</v>
      </c>
      <c r="K22" t="s">
        <v>22</v>
      </c>
      <c r="L22"/>
      <c r="M22">
        <v>100000</v>
      </c>
      <c r="N22">
        <v>10</v>
      </c>
      <c r="O22">
        <v>6</v>
      </c>
      <c r="P22">
        <v>7</v>
      </c>
      <c r="Q22">
        <f t="shared" si="0"/>
        <v>0</v>
      </c>
    </row>
    <row r="23" spans="1:17" x14ac:dyDescent="0.25">
      <c r="A23" s="1">
        <v>22</v>
      </c>
      <c r="B23" s="4">
        <v>43481</v>
      </c>
      <c r="C23" s="1">
        <v>1104</v>
      </c>
      <c r="D23" t="s">
        <v>49</v>
      </c>
      <c r="E23" t="s">
        <v>46</v>
      </c>
      <c r="F23" t="s">
        <v>32</v>
      </c>
      <c r="G23" t="s">
        <v>33</v>
      </c>
      <c r="H23" t="s">
        <v>34</v>
      </c>
      <c r="I23" s="1">
        <v>3</v>
      </c>
      <c r="J23" t="s">
        <v>21</v>
      </c>
      <c r="K23" t="s">
        <v>22</v>
      </c>
      <c r="L23"/>
      <c r="M23">
        <v>100000</v>
      </c>
      <c r="N23">
        <v>10</v>
      </c>
      <c r="O23">
        <v>7</v>
      </c>
      <c r="P23">
        <v>7</v>
      </c>
      <c r="Q23">
        <f t="shared" si="0"/>
        <v>0</v>
      </c>
    </row>
    <row r="24" spans="1:17" x14ac:dyDescent="0.25">
      <c r="A24" s="1">
        <v>23</v>
      </c>
      <c r="B24" s="4">
        <v>43518</v>
      </c>
      <c r="C24" s="1">
        <v>1052</v>
      </c>
      <c r="D24" t="s">
        <v>50</v>
      </c>
      <c r="E24" t="s">
        <v>31</v>
      </c>
      <c r="F24" t="s">
        <v>51</v>
      </c>
      <c r="G24" t="s">
        <v>52</v>
      </c>
      <c r="H24" t="s">
        <v>53</v>
      </c>
      <c r="I24" s="1">
        <v>3</v>
      </c>
      <c r="J24" t="s">
        <v>54</v>
      </c>
      <c r="K24" t="s">
        <v>55</v>
      </c>
      <c r="L24"/>
      <c r="M24">
        <v>200000</v>
      </c>
      <c r="N24">
        <v>10</v>
      </c>
      <c r="O24">
        <v>9</v>
      </c>
      <c r="P24">
        <v>7</v>
      </c>
      <c r="Q24">
        <f t="shared" si="0"/>
        <v>1</v>
      </c>
    </row>
    <row r="25" spans="1:17" x14ac:dyDescent="0.25">
      <c r="A25" s="1">
        <v>24</v>
      </c>
      <c r="B25" s="4">
        <v>43518</v>
      </c>
      <c r="C25" s="1">
        <v>1053</v>
      </c>
      <c r="D25" t="s">
        <v>56</v>
      </c>
      <c r="E25" t="s">
        <v>31</v>
      </c>
      <c r="F25" t="s">
        <v>51</v>
      </c>
      <c r="G25" t="s">
        <v>57</v>
      </c>
      <c r="H25" t="s">
        <v>53</v>
      </c>
      <c r="I25" s="1">
        <v>3</v>
      </c>
      <c r="J25" t="s">
        <v>54</v>
      </c>
      <c r="K25" t="s">
        <v>55</v>
      </c>
      <c r="L25"/>
      <c r="M25">
        <v>200000</v>
      </c>
      <c r="N25">
        <v>10</v>
      </c>
      <c r="O25">
        <v>7</v>
      </c>
      <c r="P25">
        <v>7</v>
      </c>
      <c r="Q25">
        <f t="shared" si="0"/>
        <v>0</v>
      </c>
    </row>
    <row r="26" spans="1:17" x14ac:dyDescent="0.25">
      <c r="A26" s="1">
        <v>25</v>
      </c>
      <c r="B26" s="4">
        <v>43518</v>
      </c>
      <c r="C26" s="1">
        <v>1054</v>
      </c>
      <c r="D26" t="s">
        <v>58</v>
      </c>
      <c r="E26" t="s">
        <v>31</v>
      </c>
      <c r="F26" t="s">
        <v>51</v>
      </c>
      <c r="G26" t="s">
        <v>57</v>
      </c>
      <c r="H26" t="s">
        <v>53</v>
      </c>
      <c r="I26" s="1">
        <v>3</v>
      </c>
      <c r="J26" t="s">
        <v>54</v>
      </c>
      <c r="K26" t="s">
        <v>55</v>
      </c>
      <c r="L26"/>
      <c r="M26">
        <v>200000</v>
      </c>
      <c r="N26">
        <v>10</v>
      </c>
      <c r="O26">
        <v>7</v>
      </c>
      <c r="P26">
        <v>7</v>
      </c>
      <c r="Q26">
        <f t="shared" si="0"/>
        <v>0</v>
      </c>
    </row>
    <row r="27" spans="1:17" x14ac:dyDescent="0.25">
      <c r="A27" s="1">
        <v>26</v>
      </c>
      <c r="B27" s="4">
        <v>43518</v>
      </c>
      <c r="C27" s="1">
        <v>1055</v>
      </c>
      <c r="D27" t="s">
        <v>59</v>
      </c>
      <c r="E27" t="s">
        <v>31</v>
      </c>
      <c r="F27" t="s">
        <v>51</v>
      </c>
      <c r="G27" t="s">
        <v>60</v>
      </c>
      <c r="H27" t="s">
        <v>53</v>
      </c>
      <c r="I27" s="1">
        <v>3</v>
      </c>
      <c r="J27" t="s">
        <v>54</v>
      </c>
      <c r="K27" t="s">
        <v>55</v>
      </c>
      <c r="L27"/>
      <c r="M27">
        <v>200000</v>
      </c>
      <c r="N27">
        <v>10</v>
      </c>
      <c r="O27">
        <v>6</v>
      </c>
      <c r="P27">
        <v>7</v>
      </c>
      <c r="Q27">
        <f t="shared" si="0"/>
        <v>0</v>
      </c>
    </row>
    <row r="28" spans="1:17" x14ac:dyDescent="0.25">
      <c r="A28" s="1">
        <v>27</v>
      </c>
      <c r="B28" s="4">
        <v>43518</v>
      </c>
      <c r="C28" s="1">
        <v>1056</v>
      </c>
      <c r="D28" t="s">
        <v>61</v>
      </c>
      <c r="E28" t="s">
        <v>31</v>
      </c>
      <c r="F28" t="s">
        <v>51</v>
      </c>
      <c r="G28" t="s">
        <v>60</v>
      </c>
      <c r="H28" t="s">
        <v>53</v>
      </c>
      <c r="I28" s="1">
        <v>3</v>
      </c>
      <c r="J28" t="s">
        <v>54</v>
      </c>
      <c r="K28" t="s">
        <v>55</v>
      </c>
      <c r="L28"/>
      <c r="M28">
        <v>200000</v>
      </c>
      <c r="N28">
        <v>10</v>
      </c>
      <c r="O28">
        <v>7</v>
      </c>
      <c r="P28">
        <v>7</v>
      </c>
      <c r="Q28">
        <f t="shared" si="0"/>
        <v>0</v>
      </c>
    </row>
    <row r="29" spans="1:17" x14ac:dyDescent="0.25">
      <c r="A29" s="1">
        <v>28</v>
      </c>
      <c r="B29" s="4">
        <v>43518</v>
      </c>
      <c r="C29" s="1">
        <v>1072</v>
      </c>
      <c r="D29" t="s">
        <v>25</v>
      </c>
      <c r="E29" t="s">
        <v>39</v>
      </c>
      <c r="F29" t="s">
        <v>51</v>
      </c>
      <c r="G29" t="s">
        <v>52</v>
      </c>
      <c r="H29" t="s">
        <v>53</v>
      </c>
      <c r="I29" s="1">
        <v>3</v>
      </c>
      <c r="J29" t="s">
        <v>54</v>
      </c>
      <c r="K29" t="s">
        <v>55</v>
      </c>
      <c r="L29"/>
      <c r="M29">
        <v>200000</v>
      </c>
      <c r="N29">
        <v>10</v>
      </c>
      <c r="O29">
        <v>5</v>
      </c>
      <c r="P29">
        <v>7</v>
      </c>
      <c r="Q29">
        <f t="shared" si="0"/>
        <v>0</v>
      </c>
    </row>
    <row r="30" spans="1:17" x14ac:dyDescent="0.25">
      <c r="A30" s="1">
        <v>29</v>
      </c>
      <c r="B30" s="4">
        <v>43518</v>
      </c>
      <c r="C30" s="1">
        <v>1073</v>
      </c>
      <c r="D30" t="s">
        <v>28</v>
      </c>
      <c r="E30" t="s">
        <v>39</v>
      </c>
      <c r="F30" t="s">
        <v>51</v>
      </c>
      <c r="G30" t="s">
        <v>57</v>
      </c>
      <c r="H30" t="s">
        <v>53</v>
      </c>
      <c r="I30" s="1">
        <v>3</v>
      </c>
      <c r="J30" t="s">
        <v>54</v>
      </c>
      <c r="K30" t="s">
        <v>55</v>
      </c>
      <c r="L30"/>
      <c r="M30">
        <v>200000</v>
      </c>
      <c r="N30">
        <v>10</v>
      </c>
      <c r="O30">
        <v>6</v>
      </c>
      <c r="P30">
        <v>7</v>
      </c>
      <c r="Q30">
        <f t="shared" si="0"/>
        <v>0</v>
      </c>
    </row>
    <row r="31" spans="1:17" x14ac:dyDescent="0.25">
      <c r="A31" s="1">
        <v>30</v>
      </c>
      <c r="B31" s="4">
        <v>43518</v>
      </c>
      <c r="C31" s="1">
        <v>1074</v>
      </c>
      <c r="D31" t="s">
        <v>58</v>
      </c>
      <c r="E31" t="s">
        <v>39</v>
      </c>
      <c r="F31" t="s">
        <v>51</v>
      </c>
      <c r="G31" t="s">
        <v>60</v>
      </c>
      <c r="H31" t="s">
        <v>53</v>
      </c>
      <c r="I31" s="1">
        <v>3</v>
      </c>
      <c r="J31" t="s">
        <v>54</v>
      </c>
      <c r="K31" t="s">
        <v>55</v>
      </c>
      <c r="L31"/>
      <c r="M31">
        <v>200000</v>
      </c>
      <c r="N31">
        <v>10</v>
      </c>
      <c r="O31">
        <v>9</v>
      </c>
      <c r="P31">
        <v>7</v>
      </c>
      <c r="Q31">
        <f t="shared" si="0"/>
        <v>1</v>
      </c>
    </row>
    <row r="32" spans="1:17" x14ac:dyDescent="0.25">
      <c r="A32" s="1">
        <v>31</v>
      </c>
      <c r="B32" s="4">
        <v>43518</v>
      </c>
      <c r="C32" s="1">
        <v>1092</v>
      </c>
      <c r="D32" t="s">
        <v>62</v>
      </c>
      <c r="E32" t="s">
        <v>43</v>
      </c>
      <c r="F32" t="s">
        <v>51</v>
      </c>
      <c r="G32" t="s">
        <v>52</v>
      </c>
      <c r="H32" t="s">
        <v>53</v>
      </c>
      <c r="I32" s="1">
        <v>3</v>
      </c>
      <c r="J32" t="s">
        <v>54</v>
      </c>
      <c r="K32" t="s">
        <v>55</v>
      </c>
      <c r="L32"/>
      <c r="M32">
        <v>200000</v>
      </c>
      <c r="N32">
        <v>10</v>
      </c>
      <c r="O32">
        <v>7</v>
      </c>
      <c r="P32">
        <v>7</v>
      </c>
      <c r="Q32">
        <f t="shared" si="0"/>
        <v>0</v>
      </c>
    </row>
    <row r="33" spans="1:17" x14ac:dyDescent="0.25">
      <c r="A33" s="1">
        <v>32</v>
      </c>
      <c r="B33" s="4">
        <v>43518</v>
      </c>
      <c r="C33" s="1">
        <v>1093</v>
      </c>
      <c r="D33" t="s">
        <v>25</v>
      </c>
      <c r="E33" t="s">
        <v>43</v>
      </c>
      <c r="F33" t="s">
        <v>51</v>
      </c>
      <c r="G33" t="s">
        <v>57</v>
      </c>
      <c r="H33" t="s">
        <v>53</v>
      </c>
      <c r="I33" s="1">
        <v>3</v>
      </c>
      <c r="J33" t="s">
        <v>54</v>
      </c>
      <c r="K33" t="s">
        <v>55</v>
      </c>
      <c r="L33"/>
      <c r="M33">
        <v>200000</v>
      </c>
      <c r="N33">
        <v>10</v>
      </c>
      <c r="O33">
        <v>8</v>
      </c>
      <c r="P33">
        <v>7</v>
      </c>
      <c r="Q33">
        <f t="shared" si="0"/>
        <v>1</v>
      </c>
    </row>
    <row r="34" spans="1:17" x14ac:dyDescent="0.25">
      <c r="A34" s="1">
        <v>33</v>
      </c>
      <c r="B34" s="4">
        <v>43518</v>
      </c>
      <c r="C34" s="1">
        <v>1094</v>
      </c>
      <c r="D34" t="s">
        <v>28</v>
      </c>
      <c r="E34" t="s">
        <v>43</v>
      </c>
      <c r="F34" t="s">
        <v>51</v>
      </c>
      <c r="G34" t="s">
        <v>60</v>
      </c>
      <c r="H34" t="s">
        <v>53</v>
      </c>
      <c r="I34" s="1">
        <v>3</v>
      </c>
      <c r="J34" t="s">
        <v>54</v>
      </c>
      <c r="K34" t="s">
        <v>55</v>
      </c>
      <c r="L34"/>
      <c r="M34">
        <v>200000</v>
      </c>
      <c r="N34">
        <v>10</v>
      </c>
      <c r="O34">
        <v>6</v>
      </c>
      <c r="P34">
        <v>7</v>
      </c>
      <c r="Q34">
        <f t="shared" si="0"/>
        <v>0</v>
      </c>
    </row>
    <row r="35" spans="1:17" x14ac:dyDescent="0.25">
      <c r="A35" s="1">
        <v>34</v>
      </c>
      <c r="B35" s="4">
        <v>43518</v>
      </c>
      <c r="C35" s="1">
        <v>1095</v>
      </c>
      <c r="D35" t="s">
        <v>63</v>
      </c>
      <c r="E35" t="s">
        <v>43</v>
      </c>
      <c r="F35" t="s">
        <v>51</v>
      </c>
      <c r="G35" t="s">
        <v>60</v>
      </c>
      <c r="H35" t="s">
        <v>53</v>
      </c>
      <c r="I35" s="1">
        <v>3</v>
      </c>
      <c r="J35" t="s">
        <v>54</v>
      </c>
      <c r="K35" t="s">
        <v>55</v>
      </c>
      <c r="L35"/>
      <c r="M35">
        <v>200000</v>
      </c>
      <c r="N35">
        <v>10</v>
      </c>
      <c r="O35">
        <v>5</v>
      </c>
      <c r="P35">
        <v>7</v>
      </c>
      <c r="Q35">
        <f t="shared" si="0"/>
        <v>0</v>
      </c>
    </row>
    <row r="36" spans="1:17" x14ac:dyDescent="0.25">
      <c r="A36" s="1">
        <v>35</v>
      </c>
      <c r="B36" s="4">
        <v>43518</v>
      </c>
      <c r="C36" s="1">
        <v>1112</v>
      </c>
      <c r="D36" t="s">
        <v>64</v>
      </c>
      <c r="E36" t="s">
        <v>46</v>
      </c>
      <c r="F36" t="s">
        <v>51</v>
      </c>
      <c r="G36" t="s">
        <v>52</v>
      </c>
      <c r="H36" t="s">
        <v>53</v>
      </c>
      <c r="I36" s="1">
        <v>3</v>
      </c>
      <c r="J36" t="s">
        <v>54</v>
      </c>
      <c r="K36" t="s">
        <v>55</v>
      </c>
      <c r="L36"/>
      <c r="M36">
        <v>200000</v>
      </c>
      <c r="N36">
        <v>10</v>
      </c>
      <c r="O36">
        <v>8</v>
      </c>
      <c r="P36">
        <v>7</v>
      </c>
      <c r="Q36">
        <f t="shared" si="0"/>
        <v>1</v>
      </c>
    </row>
    <row r="37" spans="1:17" x14ac:dyDescent="0.25">
      <c r="A37" s="1">
        <v>36</v>
      </c>
      <c r="B37" s="4">
        <v>43518</v>
      </c>
      <c r="C37" s="1">
        <v>1113</v>
      </c>
      <c r="D37" t="s">
        <v>65</v>
      </c>
      <c r="E37" t="s">
        <v>46</v>
      </c>
      <c r="F37" t="s">
        <v>51</v>
      </c>
      <c r="G37" t="s">
        <v>57</v>
      </c>
      <c r="H37" t="s">
        <v>53</v>
      </c>
      <c r="I37" s="1">
        <v>3</v>
      </c>
      <c r="J37" t="s">
        <v>54</v>
      </c>
      <c r="K37" t="s">
        <v>55</v>
      </c>
      <c r="L37"/>
      <c r="M37">
        <v>200000</v>
      </c>
      <c r="N37">
        <v>10</v>
      </c>
      <c r="O37">
        <v>9</v>
      </c>
      <c r="P37">
        <v>7</v>
      </c>
      <c r="Q37">
        <f t="shared" si="0"/>
        <v>1</v>
      </c>
    </row>
    <row r="38" spans="1:17" x14ac:dyDescent="0.25">
      <c r="A38" s="1">
        <v>37</v>
      </c>
      <c r="B38" s="4">
        <v>43518</v>
      </c>
      <c r="C38" s="1">
        <v>1114</v>
      </c>
      <c r="D38" t="s">
        <v>66</v>
      </c>
      <c r="E38" t="s">
        <v>46</v>
      </c>
      <c r="F38" t="s">
        <v>51</v>
      </c>
      <c r="G38" t="s">
        <v>57</v>
      </c>
      <c r="H38" t="s">
        <v>53</v>
      </c>
      <c r="I38" s="1">
        <v>3</v>
      </c>
      <c r="J38" t="s">
        <v>54</v>
      </c>
      <c r="K38" t="s">
        <v>55</v>
      </c>
      <c r="L38"/>
      <c r="M38">
        <v>200000</v>
      </c>
      <c r="N38">
        <v>10</v>
      </c>
      <c r="O38">
        <v>5</v>
      </c>
      <c r="P38">
        <v>7</v>
      </c>
      <c r="Q38">
        <f t="shared" si="0"/>
        <v>0</v>
      </c>
    </row>
    <row r="39" spans="1:17" x14ac:dyDescent="0.25">
      <c r="A39" s="1">
        <v>38</v>
      </c>
      <c r="B39" s="4">
        <v>43518</v>
      </c>
      <c r="C39" s="1">
        <v>1115</v>
      </c>
      <c r="D39" t="s">
        <v>67</v>
      </c>
      <c r="E39" t="s">
        <v>46</v>
      </c>
      <c r="F39" t="s">
        <v>51</v>
      </c>
      <c r="G39" t="s">
        <v>60</v>
      </c>
      <c r="H39" t="s">
        <v>53</v>
      </c>
      <c r="I39" s="1">
        <v>3</v>
      </c>
      <c r="J39" t="s">
        <v>54</v>
      </c>
      <c r="K39" t="s">
        <v>55</v>
      </c>
      <c r="L39"/>
      <c r="M39">
        <v>200000</v>
      </c>
      <c r="N39">
        <v>10</v>
      </c>
      <c r="O39">
        <v>8</v>
      </c>
      <c r="P39">
        <v>7</v>
      </c>
      <c r="Q39">
        <f t="shared" si="0"/>
        <v>1</v>
      </c>
    </row>
    <row r="40" spans="1:17" x14ac:dyDescent="0.25">
      <c r="A40" s="1">
        <v>39</v>
      </c>
      <c r="B40" s="4">
        <v>43540</v>
      </c>
      <c r="C40" s="1">
        <v>1023</v>
      </c>
      <c r="D40" t="s">
        <v>68</v>
      </c>
      <c r="E40" t="s">
        <v>17</v>
      </c>
      <c r="F40" t="s">
        <v>69</v>
      </c>
      <c r="G40" t="s">
        <v>70</v>
      </c>
      <c r="H40" t="s">
        <v>71</v>
      </c>
      <c r="I40" s="1">
        <v>2</v>
      </c>
      <c r="J40" t="s">
        <v>21</v>
      </c>
      <c r="K40" t="s">
        <v>22</v>
      </c>
      <c r="L40"/>
      <c r="M40">
        <v>100000</v>
      </c>
      <c r="N40">
        <v>10</v>
      </c>
      <c r="O40">
        <v>9</v>
      </c>
      <c r="P40">
        <v>7</v>
      </c>
      <c r="Q40">
        <f t="shared" si="0"/>
        <v>1</v>
      </c>
    </row>
    <row r="41" spans="1:17" x14ac:dyDescent="0.25">
      <c r="A41" s="1">
        <v>40</v>
      </c>
      <c r="B41" s="4">
        <v>43540</v>
      </c>
      <c r="C41" s="1">
        <v>1024</v>
      </c>
      <c r="D41" t="s">
        <v>72</v>
      </c>
      <c r="E41" t="s">
        <v>17</v>
      </c>
      <c r="F41" t="s">
        <v>69</v>
      </c>
      <c r="G41" t="s">
        <v>70</v>
      </c>
      <c r="H41" t="s">
        <v>71</v>
      </c>
      <c r="I41" s="1">
        <v>2</v>
      </c>
      <c r="J41" t="s">
        <v>21</v>
      </c>
      <c r="K41" t="s">
        <v>22</v>
      </c>
      <c r="L41"/>
      <c r="M41">
        <v>100000</v>
      </c>
      <c r="N41">
        <v>10</v>
      </c>
      <c r="O41">
        <v>7</v>
      </c>
      <c r="P41">
        <v>7</v>
      </c>
      <c r="Q41">
        <f t="shared" si="0"/>
        <v>0</v>
      </c>
    </row>
    <row r="42" spans="1:17" x14ac:dyDescent="0.25">
      <c r="A42" s="1">
        <v>41</v>
      </c>
      <c r="B42" s="4">
        <v>43540</v>
      </c>
      <c r="C42" s="1">
        <v>1025</v>
      </c>
      <c r="D42" t="s">
        <v>73</v>
      </c>
      <c r="E42" t="s">
        <v>17</v>
      </c>
      <c r="F42" t="s">
        <v>69</v>
      </c>
      <c r="G42" t="s">
        <v>74</v>
      </c>
      <c r="H42" t="s">
        <v>71</v>
      </c>
      <c r="I42" s="1">
        <v>2</v>
      </c>
      <c r="J42" t="s">
        <v>21</v>
      </c>
      <c r="K42" t="s">
        <v>22</v>
      </c>
      <c r="L42"/>
      <c r="M42">
        <v>100000</v>
      </c>
      <c r="N42">
        <v>10</v>
      </c>
      <c r="O42">
        <v>8</v>
      </c>
      <c r="P42">
        <v>7</v>
      </c>
      <c r="Q42">
        <f t="shared" si="0"/>
        <v>1</v>
      </c>
    </row>
    <row r="43" spans="1:17" x14ac:dyDescent="0.25">
      <c r="A43" s="1">
        <v>42</v>
      </c>
      <c r="B43" s="4">
        <v>43540</v>
      </c>
      <c r="C43" s="1">
        <v>1026</v>
      </c>
      <c r="D43" t="s">
        <v>75</v>
      </c>
      <c r="E43" t="s">
        <v>17</v>
      </c>
      <c r="F43" t="s">
        <v>69</v>
      </c>
      <c r="G43" t="s">
        <v>74</v>
      </c>
      <c r="H43" t="s">
        <v>71</v>
      </c>
      <c r="I43" s="1">
        <v>2</v>
      </c>
      <c r="J43" t="s">
        <v>21</v>
      </c>
      <c r="K43" t="s">
        <v>22</v>
      </c>
      <c r="L43"/>
      <c r="M43">
        <v>100000</v>
      </c>
      <c r="N43">
        <v>10</v>
      </c>
      <c r="O43">
        <v>6</v>
      </c>
      <c r="P43">
        <v>7</v>
      </c>
      <c r="Q43">
        <f t="shared" si="0"/>
        <v>0</v>
      </c>
    </row>
    <row r="44" spans="1:17" x14ac:dyDescent="0.25">
      <c r="A44" s="1">
        <v>43</v>
      </c>
      <c r="B44" s="4">
        <v>43540</v>
      </c>
      <c r="C44" s="1">
        <v>1027</v>
      </c>
      <c r="D44" t="s">
        <v>76</v>
      </c>
      <c r="E44" t="s">
        <v>17</v>
      </c>
      <c r="F44" t="s">
        <v>69</v>
      </c>
      <c r="G44" t="s">
        <v>74</v>
      </c>
      <c r="H44" t="s">
        <v>71</v>
      </c>
      <c r="I44" s="1">
        <v>2</v>
      </c>
      <c r="J44" t="s">
        <v>21</v>
      </c>
      <c r="K44" t="s">
        <v>22</v>
      </c>
      <c r="L44"/>
      <c r="M44">
        <v>100000</v>
      </c>
      <c r="N44">
        <v>10</v>
      </c>
      <c r="O44">
        <v>9</v>
      </c>
      <c r="P44">
        <v>7</v>
      </c>
      <c r="Q44">
        <f t="shared" si="0"/>
        <v>1</v>
      </c>
    </row>
    <row r="45" spans="1:17" x14ac:dyDescent="0.25">
      <c r="A45" s="1">
        <v>44</v>
      </c>
      <c r="B45" s="4">
        <v>43540</v>
      </c>
      <c r="C45" s="1">
        <v>1028</v>
      </c>
      <c r="D45" t="s">
        <v>77</v>
      </c>
      <c r="E45" t="s">
        <v>17</v>
      </c>
      <c r="F45" t="s">
        <v>69</v>
      </c>
      <c r="G45" t="s">
        <v>78</v>
      </c>
      <c r="H45" t="s">
        <v>71</v>
      </c>
      <c r="I45" s="1">
        <v>2</v>
      </c>
      <c r="J45" t="s">
        <v>21</v>
      </c>
      <c r="K45" t="s">
        <v>22</v>
      </c>
      <c r="L45"/>
      <c r="M45">
        <v>100000</v>
      </c>
      <c r="N45">
        <v>10</v>
      </c>
      <c r="O45">
        <v>7</v>
      </c>
      <c r="P45">
        <v>7</v>
      </c>
      <c r="Q45">
        <f t="shared" si="0"/>
        <v>0</v>
      </c>
    </row>
    <row r="46" spans="1:17" x14ac:dyDescent="0.25">
      <c r="A46" s="1">
        <v>45</v>
      </c>
      <c r="B46" s="4">
        <v>43540</v>
      </c>
      <c r="C46" s="1">
        <v>1029</v>
      </c>
      <c r="D46" t="s">
        <v>79</v>
      </c>
      <c r="E46" t="s">
        <v>17</v>
      </c>
      <c r="F46" t="s">
        <v>69</v>
      </c>
      <c r="G46" t="s">
        <v>74</v>
      </c>
      <c r="H46" t="s">
        <v>71</v>
      </c>
      <c r="I46" s="1">
        <v>2</v>
      </c>
      <c r="J46" t="s">
        <v>21</v>
      </c>
      <c r="K46" t="s">
        <v>22</v>
      </c>
      <c r="L46"/>
      <c r="M46">
        <v>100000</v>
      </c>
      <c r="N46">
        <v>10</v>
      </c>
      <c r="O46">
        <v>8</v>
      </c>
      <c r="P46">
        <v>7</v>
      </c>
      <c r="Q46">
        <f t="shared" si="0"/>
        <v>1</v>
      </c>
    </row>
    <row r="47" spans="1:17" x14ac:dyDescent="0.25">
      <c r="A47" s="1">
        <v>46</v>
      </c>
      <c r="B47" s="4">
        <v>43540</v>
      </c>
      <c r="C47" s="1">
        <v>1030</v>
      </c>
      <c r="D47" t="s">
        <v>80</v>
      </c>
      <c r="E47" t="s">
        <v>17</v>
      </c>
      <c r="F47" t="s">
        <v>69</v>
      </c>
      <c r="G47" t="s">
        <v>81</v>
      </c>
      <c r="H47" t="s">
        <v>71</v>
      </c>
      <c r="I47" s="1">
        <v>2</v>
      </c>
      <c r="J47" t="s">
        <v>21</v>
      </c>
      <c r="K47" t="s">
        <v>22</v>
      </c>
      <c r="L47"/>
      <c r="M47">
        <v>100000</v>
      </c>
      <c r="N47">
        <v>10</v>
      </c>
      <c r="O47">
        <v>10</v>
      </c>
      <c r="P47">
        <v>7</v>
      </c>
      <c r="Q47">
        <f t="shared" si="0"/>
        <v>1</v>
      </c>
    </row>
    <row r="48" spans="1:17" x14ac:dyDescent="0.25">
      <c r="A48" s="1">
        <v>47</v>
      </c>
      <c r="B48" s="4">
        <v>43540</v>
      </c>
      <c r="C48" s="1">
        <v>1034</v>
      </c>
      <c r="D48" t="s">
        <v>30</v>
      </c>
      <c r="E48" t="s">
        <v>31</v>
      </c>
      <c r="F48" t="s">
        <v>32</v>
      </c>
      <c r="G48" t="s">
        <v>33</v>
      </c>
      <c r="H48" t="s">
        <v>71</v>
      </c>
      <c r="I48" s="1">
        <v>2</v>
      </c>
      <c r="J48" t="s">
        <v>21</v>
      </c>
      <c r="K48" t="s">
        <v>22</v>
      </c>
      <c r="L48"/>
      <c r="M48">
        <v>100000</v>
      </c>
      <c r="N48">
        <v>10</v>
      </c>
      <c r="O48">
        <v>9</v>
      </c>
      <c r="P48">
        <v>7</v>
      </c>
      <c r="Q48">
        <f t="shared" si="0"/>
        <v>1</v>
      </c>
    </row>
    <row r="49" spans="1:17" x14ac:dyDescent="0.25">
      <c r="A49" s="1">
        <v>48</v>
      </c>
      <c r="B49" s="4">
        <v>43540</v>
      </c>
      <c r="C49" s="1">
        <v>1035</v>
      </c>
      <c r="D49" t="s">
        <v>35</v>
      </c>
      <c r="E49" t="s">
        <v>31</v>
      </c>
      <c r="F49" t="s">
        <v>32</v>
      </c>
      <c r="G49" t="s">
        <v>33</v>
      </c>
      <c r="H49" t="s">
        <v>71</v>
      </c>
      <c r="I49" s="1">
        <v>2</v>
      </c>
      <c r="J49" t="s">
        <v>21</v>
      </c>
      <c r="K49" t="s">
        <v>22</v>
      </c>
      <c r="L49"/>
      <c r="M49">
        <v>100000</v>
      </c>
      <c r="N49">
        <v>10</v>
      </c>
      <c r="O49">
        <v>8</v>
      </c>
      <c r="P49">
        <v>7</v>
      </c>
      <c r="Q49">
        <f t="shared" si="0"/>
        <v>1</v>
      </c>
    </row>
    <row r="50" spans="1:17" x14ac:dyDescent="0.25">
      <c r="A50" s="1">
        <v>49</v>
      </c>
      <c r="B50" s="4">
        <v>43540</v>
      </c>
      <c r="C50" s="1">
        <v>1036</v>
      </c>
      <c r="D50" t="s">
        <v>36</v>
      </c>
      <c r="E50" t="s">
        <v>31</v>
      </c>
      <c r="F50" t="s">
        <v>32</v>
      </c>
      <c r="G50" t="s">
        <v>33</v>
      </c>
      <c r="H50" t="s">
        <v>71</v>
      </c>
      <c r="I50" s="1">
        <v>2</v>
      </c>
      <c r="J50" t="s">
        <v>21</v>
      </c>
      <c r="K50" t="s">
        <v>22</v>
      </c>
      <c r="L50"/>
      <c r="M50">
        <v>100000</v>
      </c>
      <c r="N50">
        <v>10</v>
      </c>
      <c r="O50">
        <v>7</v>
      </c>
      <c r="P50">
        <v>7</v>
      </c>
      <c r="Q50">
        <f t="shared" si="0"/>
        <v>0</v>
      </c>
    </row>
    <row r="51" spans="1:17" x14ac:dyDescent="0.25">
      <c r="A51" s="1">
        <v>50</v>
      </c>
      <c r="B51" s="4">
        <v>43540</v>
      </c>
      <c r="C51" s="1">
        <v>1037</v>
      </c>
      <c r="D51" t="s">
        <v>37</v>
      </c>
      <c r="E51" t="s">
        <v>31</v>
      </c>
      <c r="F51" t="s">
        <v>32</v>
      </c>
      <c r="G51" t="s">
        <v>33</v>
      </c>
      <c r="H51" t="s">
        <v>71</v>
      </c>
      <c r="I51" s="1">
        <v>2</v>
      </c>
      <c r="J51" t="s">
        <v>21</v>
      </c>
      <c r="K51" t="s">
        <v>22</v>
      </c>
      <c r="L51"/>
      <c r="M51">
        <v>100000</v>
      </c>
      <c r="N51">
        <v>10</v>
      </c>
      <c r="O51">
        <v>6</v>
      </c>
      <c r="P51">
        <v>7</v>
      </c>
      <c r="Q51">
        <f t="shared" si="0"/>
        <v>0</v>
      </c>
    </row>
    <row r="52" spans="1:17" x14ac:dyDescent="0.25">
      <c r="A52" s="1">
        <v>51</v>
      </c>
      <c r="B52" s="4">
        <v>43540</v>
      </c>
      <c r="C52" s="1">
        <v>1038</v>
      </c>
      <c r="D52" t="s">
        <v>82</v>
      </c>
      <c r="E52" t="s">
        <v>31</v>
      </c>
      <c r="F52" t="s">
        <v>32</v>
      </c>
      <c r="G52" t="s">
        <v>33</v>
      </c>
      <c r="H52" t="s">
        <v>71</v>
      </c>
      <c r="I52" s="1">
        <v>2</v>
      </c>
      <c r="J52" t="s">
        <v>21</v>
      </c>
      <c r="K52" t="s">
        <v>22</v>
      </c>
      <c r="L52"/>
      <c r="M52">
        <v>100000</v>
      </c>
      <c r="N52">
        <v>10</v>
      </c>
      <c r="O52">
        <v>5</v>
      </c>
      <c r="P52">
        <v>7</v>
      </c>
      <c r="Q52">
        <f t="shared" si="0"/>
        <v>0</v>
      </c>
    </row>
    <row r="53" spans="1:17" x14ac:dyDescent="0.25">
      <c r="A53" s="1">
        <v>52</v>
      </c>
      <c r="B53" s="4">
        <v>43540</v>
      </c>
      <c r="C53" s="1">
        <v>1039</v>
      </c>
      <c r="D53" t="s">
        <v>83</v>
      </c>
      <c r="E53" t="s">
        <v>31</v>
      </c>
      <c r="F53" t="s">
        <v>32</v>
      </c>
      <c r="G53" t="s">
        <v>33</v>
      </c>
      <c r="H53" t="s">
        <v>71</v>
      </c>
      <c r="I53" s="1">
        <v>2</v>
      </c>
      <c r="J53" t="s">
        <v>21</v>
      </c>
      <c r="K53" t="s">
        <v>22</v>
      </c>
      <c r="L53"/>
      <c r="M53">
        <v>100000</v>
      </c>
      <c r="N53">
        <v>10</v>
      </c>
      <c r="O53">
        <v>10</v>
      </c>
      <c r="P53">
        <v>7</v>
      </c>
      <c r="Q53">
        <f t="shared" si="0"/>
        <v>1</v>
      </c>
    </row>
    <row r="54" spans="1:17" x14ac:dyDescent="0.25">
      <c r="A54" s="1">
        <v>53</v>
      </c>
      <c r="B54" s="4">
        <v>43540</v>
      </c>
      <c r="C54" s="1">
        <v>1040</v>
      </c>
      <c r="D54" t="s">
        <v>84</v>
      </c>
      <c r="E54" t="s">
        <v>31</v>
      </c>
      <c r="F54" t="s">
        <v>32</v>
      </c>
      <c r="G54" t="s">
        <v>33</v>
      </c>
      <c r="H54" t="s">
        <v>71</v>
      </c>
      <c r="I54" s="1">
        <v>2</v>
      </c>
      <c r="J54" t="s">
        <v>21</v>
      </c>
      <c r="K54" t="s">
        <v>22</v>
      </c>
      <c r="L54"/>
      <c r="M54">
        <v>100000</v>
      </c>
      <c r="N54">
        <v>10</v>
      </c>
      <c r="O54">
        <v>8</v>
      </c>
      <c r="P54">
        <v>7</v>
      </c>
      <c r="Q54">
        <f t="shared" si="0"/>
        <v>1</v>
      </c>
    </row>
    <row r="55" spans="1:17" x14ac:dyDescent="0.25">
      <c r="A55" s="1">
        <v>54</v>
      </c>
      <c r="B55" s="4">
        <v>43540</v>
      </c>
      <c r="C55" s="1">
        <v>1041</v>
      </c>
      <c r="D55" t="s">
        <v>85</v>
      </c>
      <c r="E55" t="s">
        <v>31</v>
      </c>
      <c r="F55" t="s">
        <v>32</v>
      </c>
      <c r="G55" t="s">
        <v>33</v>
      </c>
      <c r="H55" t="s">
        <v>71</v>
      </c>
      <c r="I55" s="1">
        <v>2</v>
      </c>
      <c r="J55" t="s">
        <v>21</v>
      </c>
      <c r="K55" t="s">
        <v>22</v>
      </c>
      <c r="L55"/>
      <c r="M55">
        <v>100000</v>
      </c>
      <c r="N55">
        <v>10</v>
      </c>
      <c r="O55">
        <v>9</v>
      </c>
      <c r="P55">
        <v>7</v>
      </c>
      <c r="Q55">
        <f t="shared" si="0"/>
        <v>1</v>
      </c>
    </row>
    <row r="56" spans="1:17" x14ac:dyDescent="0.25">
      <c r="A56" s="1">
        <v>55</v>
      </c>
      <c r="B56" s="4">
        <v>43540</v>
      </c>
      <c r="C56" s="1">
        <v>1060</v>
      </c>
      <c r="D56" t="s">
        <v>38</v>
      </c>
      <c r="E56" t="s">
        <v>39</v>
      </c>
      <c r="F56" t="s">
        <v>32</v>
      </c>
      <c r="G56" t="s">
        <v>33</v>
      </c>
      <c r="H56" t="s">
        <v>71</v>
      </c>
      <c r="I56" s="1">
        <v>2</v>
      </c>
      <c r="J56" t="s">
        <v>21</v>
      </c>
      <c r="K56" t="s">
        <v>22</v>
      </c>
      <c r="L56"/>
      <c r="M56">
        <v>100000</v>
      </c>
      <c r="N56">
        <v>10</v>
      </c>
      <c r="O56">
        <v>7</v>
      </c>
      <c r="P56">
        <v>7</v>
      </c>
      <c r="Q56">
        <f t="shared" si="0"/>
        <v>0</v>
      </c>
    </row>
    <row r="57" spans="1:17" x14ac:dyDescent="0.25">
      <c r="A57" s="1">
        <v>56</v>
      </c>
      <c r="B57" s="4">
        <v>43540</v>
      </c>
      <c r="C57" s="1">
        <v>1061</v>
      </c>
      <c r="D57" t="s">
        <v>40</v>
      </c>
      <c r="E57" t="s">
        <v>39</v>
      </c>
      <c r="F57" t="s">
        <v>32</v>
      </c>
      <c r="G57" t="s">
        <v>33</v>
      </c>
      <c r="H57" t="s">
        <v>71</v>
      </c>
      <c r="I57" s="1">
        <v>2</v>
      </c>
      <c r="J57" t="s">
        <v>21</v>
      </c>
      <c r="K57" t="s">
        <v>22</v>
      </c>
      <c r="L57"/>
      <c r="M57">
        <v>100000</v>
      </c>
      <c r="N57">
        <v>10</v>
      </c>
      <c r="O57">
        <v>5</v>
      </c>
      <c r="P57">
        <v>7</v>
      </c>
      <c r="Q57">
        <f t="shared" si="0"/>
        <v>0</v>
      </c>
    </row>
    <row r="58" spans="1:17" x14ac:dyDescent="0.25">
      <c r="A58" s="1">
        <v>57</v>
      </c>
      <c r="B58" s="4">
        <v>43540</v>
      </c>
      <c r="C58" s="1">
        <v>1062</v>
      </c>
      <c r="D58" t="s">
        <v>41</v>
      </c>
      <c r="E58" t="s">
        <v>39</v>
      </c>
      <c r="F58" t="s">
        <v>32</v>
      </c>
      <c r="G58" t="s">
        <v>33</v>
      </c>
      <c r="H58" t="s">
        <v>71</v>
      </c>
      <c r="I58" s="1">
        <v>2</v>
      </c>
      <c r="J58" t="s">
        <v>21</v>
      </c>
      <c r="K58" t="s">
        <v>22</v>
      </c>
      <c r="L58"/>
      <c r="M58">
        <v>100000</v>
      </c>
      <c r="N58">
        <v>10</v>
      </c>
      <c r="O58">
        <v>8</v>
      </c>
      <c r="P58">
        <v>7</v>
      </c>
      <c r="Q58">
        <f t="shared" si="0"/>
        <v>1</v>
      </c>
    </row>
    <row r="59" spans="1:17" x14ac:dyDescent="0.25">
      <c r="A59" s="1">
        <v>58</v>
      </c>
      <c r="B59" s="4">
        <v>43540</v>
      </c>
      <c r="C59" s="1">
        <v>1063</v>
      </c>
      <c r="D59" t="s">
        <v>42</v>
      </c>
      <c r="E59" t="s">
        <v>39</v>
      </c>
      <c r="F59" t="s">
        <v>32</v>
      </c>
      <c r="G59" t="s">
        <v>33</v>
      </c>
      <c r="H59" t="s">
        <v>71</v>
      </c>
      <c r="I59" s="1">
        <v>2</v>
      </c>
      <c r="J59" t="s">
        <v>21</v>
      </c>
      <c r="K59" t="s">
        <v>22</v>
      </c>
      <c r="L59"/>
      <c r="M59">
        <v>100000</v>
      </c>
      <c r="N59">
        <v>10</v>
      </c>
      <c r="O59">
        <v>9</v>
      </c>
      <c r="P59">
        <v>7</v>
      </c>
      <c r="Q59">
        <f t="shared" si="0"/>
        <v>1</v>
      </c>
    </row>
    <row r="60" spans="1:17" x14ac:dyDescent="0.25">
      <c r="A60" s="1">
        <v>59</v>
      </c>
      <c r="B60" s="4">
        <v>43540</v>
      </c>
      <c r="C60" s="1">
        <v>1064</v>
      </c>
      <c r="D60" t="s">
        <v>86</v>
      </c>
      <c r="E60" t="s">
        <v>39</v>
      </c>
      <c r="F60" t="s">
        <v>32</v>
      </c>
      <c r="G60" t="s">
        <v>33</v>
      </c>
      <c r="H60" t="s">
        <v>71</v>
      </c>
      <c r="I60" s="1">
        <v>2</v>
      </c>
      <c r="J60" t="s">
        <v>21</v>
      </c>
      <c r="K60" t="s">
        <v>22</v>
      </c>
      <c r="L60"/>
      <c r="M60">
        <v>100000</v>
      </c>
      <c r="N60">
        <v>10</v>
      </c>
      <c r="O60">
        <v>7</v>
      </c>
      <c r="P60">
        <v>7</v>
      </c>
      <c r="Q60">
        <f t="shared" si="0"/>
        <v>0</v>
      </c>
    </row>
    <row r="61" spans="1:17" x14ac:dyDescent="0.25">
      <c r="A61" s="1">
        <v>60</v>
      </c>
      <c r="B61" s="4">
        <v>43540</v>
      </c>
      <c r="C61" s="1">
        <v>1078</v>
      </c>
      <c r="D61" t="s">
        <v>87</v>
      </c>
      <c r="E61" t="s">
        <v>43</v>
      </c>
      <c r="F61" t="s">
        <v>32</v>
      </c>
      <c r="G61" t="s">
        <v>33</v>
      </c>
      <c r="H61" t="s">
        <v>71</v>
      </c>
      <c r="I61" s="1">
        <v>2</v>
      </c>
      <c r="J61" t="s">
        <v>21</v>
      </c>
      <c r="K61" t="s">
        <v>22</v>
      </c>
      <c r="L61"/>
      <c r="M61">
        <v>100000</v>
      </c>
      <c r="N61">
        <v>10</v>
      </c>
      <c r="O61">
        <v>7</v>
      </c>
      <c r="P61">
        <v>7</v>
      </c>
      <c r="Q61">
        <f t="shared" si="0"/>
        <v>0</v>
      </c>
    </row>
    <row r="62" spans="1:17" x14ac:dyDescent="0.25">
      <c r="A62" s="1">
        <v>61</v>
      </c>
      <c r="B62" s="4">
        <v>43540</v>
      </c>
      <c r="C62" s="1">
        <v>1079</v>
      </c>
      <c r="D62" t="s">
        <v>88</v>
      </c>
      <c r="E62" t="s">
        <v>43</v>
      </c>
      <c r="F62" t="s">
        <v>32</v>
      </c>
      <c r="G62" t="s">
        <v>33</v>
      </c>
      <c r="H62" t="s">
        <v>71</v>
      </c>
      <c r="I62" s="1">
        <v>2</v>
      </c>
      <c r="J62" t="s">
        <v>21</v>
      </c>
      <c r="K62" t="s">
        <v>22</v>
      </c>
      <c r="L62"/>
      <c r="M62">
        <v>100000</v>
      </c>
      <c r="N62">
        <v>10</v>
      </c>
      <c r="O62">
        <v>6</v>
      </c>
      <c r="P62">
        <v>7</v>
      </c>
      <c r="Q62">
        <f t="shared" si="0"/>
        <v>0</v>
      </c>
    </row>
    <row r="63" spans="1:17" x14ac:dyDescent="0.25">
      <c r="A63" s="1">
        <v>62</v>
      </c>
      <c r="B63" s="4">
        <v>43540</v>
      </c>
      <c r="C63" s="1">
        <v>1080</v>
      </c>
      <c r="D63" t="s">
        <v>89</v>
      </c>
      <c r="E63" t="s">
        <v>43</v>
      </c>
      <c r="F63" t="s">
        <v>32</v>
      </c>
      <c r="G63" t="s">
        <v>33</v>
      </c>
      <c r="H63" t="s">
        <v>71</v>
      </c>
      <c r="I63" s="1">
        <v>2</v>
      </c>
      <c r="J63" t="s">
        <v>21</v>
      </c>
      <c r="K63" t="s">
        <v>22</v>
      </c>
      <c r="L63"/>
      <c r="M63">
        <v>100000</v>
      </c>
      <c r="N63">
        <v>10</v>
      </c>
      <c r="O63">
        <v>7</v>
      </c>
      <c r="P63">
        <v>7</v>
      </c>
      <c r="Q63">
        <f t="shared" si="0"/>
        <v>0</v>
      </c>
    </row>
    <row r="64" spans="1:17" x14ac:dyDescent="0.25">
      <c r="A64" s="1">
        <v>63</v>
      </c>
      <c r="B64" s="4">
        <v>43540</v>
      </c>
      <c r="C64" s="1">
        <v>1081</v>
      </c>
      <c r="D64" t="s">
        <v>38</v>
      </c>
      <c r="E64" t="s">
        <v>43</v>
      </c>
      <c r="F64" t="s">
        <v>32</v>
      </c>
      <c r="G64" t="s">
        <v>33</v>
      </c>
      <c r="H64" t="s">
        <v>71</v>
      </c>
      <c r="I64" s="1">
        <v>2</v>
      </c>
      <c r="J64" t="s">
        <v>21</v>
      </c>
      <c r="K64" t="s">
        <v>22</v>
      </c>
      <c r="L64"/>
      <c r="M64">
        <v>100000</v>
      </c>
      <c r="N64">
        <v>10</v>
      </c>
      <c r="O64">
        <v>5</v>
      </c>
      <c r="P64">
        <v>7</v>
      </c>
      <c r="Q64">
        <f t="shared" si="0"/>
        <v>0</v>
      </c>
    </row>
    <row r="65" spans="1:17" x14ac:dyDescent="0.25">
      <c r="A65" s="1">
        <v>64</v>
      </c>
      <c r="B65" s="4">
        <v>43540</v>
      </c>
      <c r="C65" s="1">
        <v>1082</v>
      </c>
      <c r="D65" t="s">
        <v>40</v>
      </c>
      <c r="E65" t="s">
        <v>43</v>
      </c>
      <c r="F65" t="s">
        <v>32</v>
      </c>
      <c r="G65" t="s">
        <v>33</v>
      </c>
      <c r="H65" t="s">
        <v>71</v>
      </c>
      <c r="I65" s="1">
        <v>2</v>
      </c>
      <c r="J65" t="s">
        <v>21</v>
      </c>
      <c r="K65" t="s">
        <v>22</v>
      </c>
      <c r="L65"/>
      <c r="M65">
        <v>100000</v>
      </c>
      <c r="N65">
        <v>10</v>
      </c>
      <c r="O65">
        <v>6</v>
      </c>
      <c r="P65">
        <v>7</v>
      </c>
      <c r="Q65">
        <f t="shared" si="0"/>
        <v>0</v>
      </c>
    </row>
    <row r="66" spans="1:17" x14ac:dyDescent="0.25">
      <c r="A66" s="1">
        <v>65</v>
      </c>
      <c r="B66" s="4">
        <v>43540</v>
      </c>
      <c r="C66" s="1">
        <v>1083</v>
      </c>
      <c r="D66" t="s">
        <v>44</v>
      </c>
      <c r="E66" t="s">
        <v>43</v>
      </c>
      <c r="F66" t="s">
        <v>32</v>
      </c>
      <c r="G66" t="s">
        <v>33</v>
      </c>
      <c r="H66" t="s">
        <v>71</v>
      </c>
      <c r="I66" s="1">
        <v>2</v>
      </c>
      <c r="J66" t="s">
        <v>21</v>
      </c>
      <c r="K66" t="s">
        <v>22</v>
      </c>
      <c r="L66"/>
      <c r="M66">
        <v>100000</v>
      </c>
      <c r="N66">
        <v>10</v>
      </c>
      <c r="O66">
        <v>9</v>
      </c>
      <c r="P66">
        <v>7</v>
      </c>
      <c r="Q66">
        <f t="shared" si="0"/>
        <v>1</v>
      </c>
    </row>
    <row r="67" spans="1:17" x14ac:dyDescent="0.25">
      <c r="A67" s="1">
        <v>66</v>
      </c>
      <c r="B67" s="4">
        <v>43540</v>
      </c>
      <c r="C67" s="1">
        <v>1084</v>
      </c>
      <c r="D67" t="s">
        <v>42</v>
      </c>
      <c r="E67" t="s">
        <v>43</v>
      </c>
      <c r="F67" t="s">
        <v>32</v>
      </c>
      <c r="G67" t="s">
        <v>33</v>
      </c>
      <c r="H67" t="s">
        <v>71</v>
      </c>
      <c r="I67" s="1">
        <v>2</v>
      </c>
      <c r="J67" t="s">
        <v>21</v>
      </c>
      <c r="K67" t="s">
        <v>22</v>
      </c>
      <c r="L67"/>
      <c r="M67">
        <v>100000</v>
      </c>
      <c r="N67">
        <v>10</v>
      </c>
      <c r="O67">
        <v>7</v>
      </c>
      <c r="P67">
        <v>7</v>
      </c>
      <c r="Q67">
        <f t="shared" ref="Q67:Q130" si="1">IF(O67&gt;P67,1,0)</f>
        <v>0</v>
      </c>
    </row>
    <row r="68" spans="1:17" x14ac:dyDescent="0.25">
      <c r="A68" s="1">
        <v>67</v>
      </c>
      <c r="B68" s="4">
        <v>43540</v>
      </c>
      <c r="C68" s="1">
        <v>1099</v>
      </c>
      <c r="D68" t="s">
        <v>90</v>
      </c>
      <c r="E68" t="s">
        <v>46</v>
      </c>
      <c r="F68" t="s">
        <v>32</v>
      </c>
      <c r="G68" t="s">
        <v>33</v>
      </c>
      <c r="H68" t="s">
        <v>71</v>
      </c>
      <c r="I68" s="1">
        <v>2</v>
      </c>
      <c r="J68" t="s">
        <v>21</v>
      </c>
      <c r="K68" t="s">
        <v>22</v>
      </c>
      <c r="L68"/>
      <c r="M68">
        <v>100000</v>
      </c>
      <c r="N68">
        <v>10</v>
      </c>
      <c r="O68">
        <v>8</v>
      </c>
      <c r="P68">
        <v>7</v>
      </c>
      <c r="Q68">
        <f t="shared" si="1"/>
        <v>1</v>
      </c>
    </row>
    <row r="69" spans="1:17" x14ac:dyDescent="0.25">
      <c r="A69" s="1">
        <v>68</v>
      </c>
      <c r="B69" s="4">
        <v>43540</v>
      </c>
      <c r="C69" s="1">
        <v>1100</v>
      </c>
      <c r="D69" t="s">
        <v>91</v>
      </c>
      <c r="E69" t="s">
        <v>46</v>
      </c>
      <c r="F69" t="s">
        <v>32</v>
      </c>
      <c r="G69" t="s">
        <v>33</v>
      </c>
      <c r="H69" t="s">
        <v>71</v>
      </c>
      <c r="I69" s="1">
        <v>2</v>
      </c>
      <c r="J69" t="s">
        <v>21</v>
      </c>
      <c r="K69" t="s">
        <v>22</v>
      </c>
      <c r="L69"/>
      <c r="M69">
        <v>100000</v>
      </c>
      <c r="N69">
        <v>10</v>
      </c>
      <c r="O69">
        <v>6</v>
      </c>
      <c r="P69">
        <v>7</v>
      </c>
      <c r="Q69">
        <f t="shared" si="1"/>
        <v>0</v>
      </c>
    </row>
    <row r="70" spans="1:17" x14ac:dyDescent="0.25">
      <c r="A70" s="1">
        <v>69</v>
      </c>
      <c r="B70" s="4">
        <v>43540</v>
      </c>
      <c r="C70" s="1">
        <v>1101</v>
      </c>
      <c r="D70" t="s">
        <v>45</v>
      </c>
      <c r="E70" t="s">
        <v>46</v>
      </c>
      <c r="F70" t="s">
        <v>32</v>
      </c>
      <c r="G70" t="s">
        <v>33</v>
      </c>
      <c r="H70" t="s">
        <v>71</v>
      </c>
      <c r="I70" s="1">
        <v>2</v>
      </c>
      <c r="J70" t="s">
        <v>21</v>
      </c>
      <c r="K70" t="s">
        <v>22</v>
      </c>
      <c r="L70"/>
      <c r="M70">
        <v>100000</v>
      </c>
      <c r="N70">
        <v>10</v>
      </c>
      <c r="O70">
        <v>5</v>
      </c>
      <c r="P70">
        <v>7</v>
      </c>
      <c r="Q70">
        <f t="shared" si="1"/>
        <v>0</v>
      </c>
    </row>
    <row r="71" spans="1:17" x14ac:dyDescent="0.25">
      <c r="A71" s="1">
        <v>70</v>
      </c>
      <c r="B71" s="4">
        <v>43540</v>
      </c>
      <c r="C71" s="1">
        <v>1102</v>
      </c>
      <c r="D71" t="s">
        <v>47</v>
      </c>
      <c r="E71" t="s">
        <v>46</v>
      </c>
      <c r="F71" t="s">
        <v>32</v>
      </c>
      <c r="G71" t="s">
        <v>33</v>
      </c>
      <c r="H71" t="s">
        <v>71</v>
      </c>
      <c r="I71" s="1">
        <v>2</v>
      </c>
      <c r="J71" t="s">
        <v>21</v>
      </c>
      <c r="K71" t="s">
        <v>22</v>
      </c>
      <c r="L71"/>
      <c r="M71">
        <v>100000</v>
      </c>
      <c r="N71">
        <v>10</v>
      </c>
      <c r="O71">
        <v>8</v>
      </c>
      <c r="P71">
        <v>7</v>
      </c>
      <c r="Q71">
        <f t="shared" si="1"/>
        <v>1</v>
      </c>
    </row>
    <row r="72" spans="1:17" x14ac:dyDescent="0.25">
      <c r="A72" s="1">
        <v>71</v>
      </c>
      <c r="B72" s="4">
        <v>43540</v>
      </c>
      <c r="C72" s="1">
        <v>1103</v>
      </c>
      <c r="D72" t="s">
        <v>48</v>
      </c>
      <c r="E72" t="s">
        <v>46</v>
      </c>
      <c r="F72" t="s">
        <v>32</v>
      </c>
      <c r="G72" t="s">
        <v>33</v>
      </c>
      <c r="H72" t="s">
        <v>71</v>
      </c>
      <c r="I72" s="1">
        <v>2</v>
      </c>
      <c r="J72" t="s">
        <v>21</v>
      </c>
      <c r="K72" t="s">
        <v>22</v>
      </c>
      <c r="L72"/>
      <c r="M72">
        <v>100000</v>
      </c>
      <c r="N72">
        <v>10</v>
      </c>
      <c r="O72">
        <v>9</v>
      </c>
      <c r="P72">
        <v>7</v>
      </c>
      <c r="Q72">
        <f t="shared" si="1"/>
        <v>1</v>
      </c>
    </row>
    <row r="73" spans="1:17" x14ac:dyDescent="0.25">
      <c r="A73" s="1">
        <v>72</v>
      </c>
      <c r="B73" s="4">
        <v>43540</v>
      </c>
      <c r="C73" s="1">
        <v>1104</v>
      </c>
      <c r="D73" t="s">
        <v>49</v>
      </c>
      <c r="E73" t="s">
        <v>46</v>
      </c>
      <c r="F73" t="s">
        <v>32</v>
      </c>
      <c r="G73" t="s">
        <v>33</v>
      </c>
      <c r="H73" t="s">
        <v>71</v>
      </c>
      <c r="I73" s="1">
        <v>2</v>
      </c>
      <c r="J73" t="s">
        <v>21</v>
      </c>
      <c r="K73" t="s">
        <v>22</v>
      </c>
      <c r="L73"/>
      <c r="M73">
        <v>100000</v>
      </c>
      <c r="N73">
        <v>10</v>
      </c>
      <c r="O73">
        <v>5</v>
      </c>
      <c r="P73">
        <v>7</v>
      </c>
      <c r="Q73">
        <f t="shared" si="1"/>
        <v>0</v>
      </c>
    </row>
    <row r="74" spans="1:17" x14ac:dyDescent="0.25">
      <c r="A74" s="1">
        <v>73</v>
      </c>
      <c r="B74" s="4">
        <v>43540</v>
      </c>
      <c r="C74" s="1">
        <v>1105</v>
      </c>
      <c r="D74" t="s">
        <v>92</v>
      </c>
      <c r="E74" t="s">
        <v>46</v>
      </c>
      <c r="F74" t="s">
        <v>32</v>
      </c>
      <c r="G74" t="s">
        <v>33</v>
      </c>
      <c r="H74" t="s">
        <v>71</v>
      </c>
      <c r="I74" s="1">
        <v>2</v>
      </c>
      <c r="J74" t="s">
        <v>21</v>
      </c>
      <c r="K74" t="s">
        <v>22</v>
      </c>
      <c r="L74"/>
      <c r="M74">
        <v>100000</v>
      </c>
      <c r="N74">
        <v>10</v>
      </c>
      <c r="O74">
        <v>8</v>
      </c>
      <c r="P74">
        <v>7</v>
      </c>
      <c r="Q74">
        <f t="shared" si="1"/>
        <v>1</v>
      </c>
    </row>
    <row r="75" spans="1:17" x14ac:dyDescent="0.25">
      <c r="A75" s="1">
        <v>74</v>
      </c>
      <c r="B75" s="4">
        <v>43574</v>
      </c>
      <c r="C75" s="1">
        <v>1042</v>
      </c>
      <c r="D75" t="s">
        <v>93</v>
      </c>
      <c r="E75" t="s">
        <v>31</v>
      </c>
      <c r="F75" t="s">
        <v>94</v>
      </c>
      <c r="G75" t="s">
        <v>10</v>
      </c>
      <c r="H75" t="s">
        <v>95</v>
      </c>
      <c r="I75" s="1">
        <v>6</v>
      </c>
      <c r="J75" t="s">
        <v>21</v>
      </c>
      <c r="K75" t="s">
        <v>55</v>
      </c>
      <c r="L75"/>
      <c r="M75">
        <v>1000000</v>
      </c>
      <c r="N75">
        <v>10</v>
      </c>
      <c r="O75">
        <v>9</v>
      </c>
      <c r="P75">
        <v>7</v>
      </c>
      <c r="Q75">
        <f t="shared" si="1"/>
        <v>1</v>
      </c>
    </row>
    <row r="76" spans="1:17" x14ac:dyDescent="0.25">
      <c r="A76" s="1">
        <v>75</v>
      </c>
      <c r="B76" s="4">
        <v>43574</v>
      </c>
      <c r="C76" s="1">
        <v>1043</v>
      </c>
      <c r="D76" t="s">
        <v>96</v>
      </c>
      <c r="E76" t="s">
        <v>31</v>
      </c>
      <c r="F76" t="s">
        <v>94</v>
      </c>
      <c r="G76" t="s">
        <v>10</v>
      </c>
      <c r="H76" t="s">
        <v>95</v>
      </c>
      <c r="I76" s="1">
        <v>6</v>
      </c>
      <c r="J76" t="s">
        <v>21</v>
      </c>
      <c r="K76" t="s">
        <v>55</v>
      </c>
      <c r="L76"/>
      <c r="M76">
        <v>1000000</v>
      </c>
      <c r="N76">
        <v>10</v>
      </c>
      <c r="O76">
        <v>7</v>
      </c>
      <c r="P76">
        <v>7</v>
      </c>
      <c r="Q76">
        <f t="shared" si="1"/>
        <v>0</v>
      </c>
    </row>
    <row r="77" spans="1:17" x14ac:dyDescent="0.25">
      <c r="A77" s="1">
        <v>76</v>
      </c>
      <c r="B77" s="4">
        <v>43574</v>
      </c>
      <c r="C77" s="1">
        <v>1044</v>
      </c>
      <c r="D77" t="s">
        <v>97</v>
      </c>
      <c r="E77" t="s">
        <v>31</v>
      </c>
      <c r="F77" t="s">
        <v>94</v>
      </c>
      <c r="G77" t="s">
        <v>10</v>
      </c>
      <c r="H77" t="s">
        <v>95</v>
      </c>
      <c r="I77" s="1">
        <v>6</v>
      </c>
      <c r="J77" t="s">
        <v>21</v>
      </c>
      <c r="K77" t="s">
        <v>55</v>
      </c>
      <c r="L77"/>
      <c r="M77">
        <v>1000000</v>
      </c>
      <c r="N77">
        <v>10</v>
      </c>
      <c r="O77">
        <v>7</v>
      </c>
      <c r="P77">
        <v>7</v>
      </c>
      <c r="Q77">
        <f t="shared" si="1"/>
        <v>0</v>
      </c>
    </row>
    <row r="78" spans="1:17" x14ac:dyDescent="0.25">
      <c r="A78" s="1">
        <v>77</v>
      </c>
      <c r="B78" s="4">
        <v>43574</v>
      </c>
      <c r="C78" s="1">
        <v>1045</v>
      </c>
      <c r="D78" t="s">
        <v>98</v>
      </c>
      <c r="E78" t="s">
        <v>31</v>
      </c>
      <c r="F78" t="s">
        <v>94</v>
      </c>
      <c r="G78" t="s">
        <v>10</v>
      </c>
      <c r="H78" t="s">
        <v>95</v>
      </c>
      <c r="I78" s="1">
        <v>6</v>
      </c>
      <c r="J78" t="s">
        <v>21</v>
      </c>
      <c r="K78" t="s">
        <v>55</v>
      </c>
      <c r="L78"/>
      <c r="M78">
        <v>1000000</v>
      </c>
      <c r="N78">
        <v>10</v>
      </c>
      <c r="O78">
        <v>6</v>
      </c>
      <c r="P78">
        <v>7</v>
      </c>
      <c r="Q78">
        <f t="shared" si="1"/>
        <v>0</v>
      </c>
    </row>
    <row r="79" spans="1:17" x14ac:dyDescent="0.25">
      <c r="A79" s="1">
        <v>78</v>
      </c>
      <c r="B79" s="4">
        <v>43574</v>
      </c>
      <c r="C79" s="1">
        <v>1046</v>
      </c>
      <c r="D79" t="s">
        <v>99</v>
      </c>
      <c r="E79" t="s">
        <v>31</v>
      </c>
      <c r="F79" t="s">
        <v>94</v>
      </c>
      <c r="G79" t="s">
        <v>10</v>
      </c>
      <c r="H79" t="s">
        <v>95</v>
      </c>
      <c r="I79" s="1">
        <v>6</v>
      </c>
      <c r="J79" t="s">
        <v>21</v>
      </c>
      <c r="K79" t="s">
        <v>55</v>
      </c>
      <c r="L79"/>
      <c r="M79">
        <v>1000000</v>
      </c>
      <c r="N79">
        <v>10</v>
      </c>
      <c r="O79">
        <v>7</v>
      </c>
      <c r="P79">
        <v>7</v>
      </c>
      <c r="Q79">
        <f t="shared" si="1"/>
        <v>0</v>
      </c>
    </row>
    <row r="80" spans="1:17" x14ac:dyDescent="0.25">
      <c r="A80" s="1">
        <v>79</v>
      </c>
      <c r="B80" s="4">
        <v>43574</v>
      </c>
      <c r="C80" s="1">
        <v>1047</v>
      </c>
      <c r="D80" t="s">
        <v>100</v>
      </c>
      <c r="E80" t="s">
        <v>31</v>
      </c>
      <c r="F80" t="s">
        <v>94</v>
      </c>
      <c r="G80" t="s">
        <v>10</v>
      </c>
      <c r="H80" t="s">
        <v>95</v>
      </c>
      <c r="I80" s="1">
        <v>6</v>
      </c>
      <c r="J80" t="s">
        <v>21</v>
      </c>
      <c r="K80" t="s">
        <v>55</v>
      </c>
      <c r="L80"/>
      <c r="M80">
        <v>1000000</v>
      </c>
      <c r="N80">
        <v>10</v>
      </c>
      <c r="O80">
        <v>5</v>
      </c>
      <c r="P80">
        <v>7</v>
      </c>
      <c r="Q80">
        <f t="shared" si="1"/>
        <v>0</v>
      </c>
    </row>
    <row r="81" spans="1:17" x14ac:dyDescent="0.25">
      <c r="A81" s="1">
        <v>80</v>
      </c>
      <c r="B81" s="4">
        <v>43574</v>
      </c>
      <c r="C81" s="1">
        <v>1048</v>
      </c>
      <c r="D81" t="s">
        <v>101</v>
      </c>
      <c r="E81" t="s">
        <v>31</v>
      </c>
      <c r="F81" t="s">
        <v>94</v>
      </c>
      <c r="G81" t="s">
        <v>10</v>
      </c>
      <c r="H81" t="s">
        <v>95</v>
      </c>
      <c r="I81" s="1">
        <v>6</v>
      </c>
      <c r="J81" t="s">
        <v>21</v>
      </c>
      <c r="K81" t="s">
        <v>55</v>
      </c>
      <c r="L81"/>
      <c r="M81">
        <v>1000000</v>
      </c>
      <c r="N81">
        <v>10</v>
      </c>
      <c r="O81">
        <v>6</v>
      </c>
      <c r="P81">
        <v>7</v>
      </c>
      <c r="Q81">
        <f t="shared" si="1"/>
        <v>0</v>
      </c>
    </row>
    <row r="82" spans="1:17" x14ac:dyDescent="0.25">
      <c r="A82" s="1">
        <v>81</v>
      </c>
      <c r="B82" s="4">
        <v>43574</v>
      </c>
      <c r="C82" s="1">
        <v>1049</v>
      </c>
      <c r="D82" t="s">
        <v>102</v>
      </c>
      <c r="E82" t="s">
        <v>31</v>
      </c>
      <c r="F82" t="s">
        <v>94</v>
      </c>
      <c r="G82" t="s">
        <v>10</v>
      </c>
      <c r="H82" t="s">
        <v>95</v>
      </c>
      <c r="I82" s="1">
        <v>6</v>
      </c>
      <c r="J82" t="s">
        <v>21</v>
      </c>
      <c r="K82" t="s">
        <v>55</v>
      </c>
      <c r="L82"/>
      <c r="M82">
        <v>1000000</v>
      </c>
      <c r="N82">
        <v>10</v>
      </c>
      <c r="O82">
        <v>9</v>
      </c>
      <c r="P82">
        <v>7</v>
      </c>
      <c r="Q82">
        <f t="shared" si="1"/>
        <v>1</v>
      </c>
    </row>
    <row r="83" spans="1:17" x14ac:dyDescent="0.25">
      <c r="A83" s="1">
        <v>82</v>
      </c>
      <c r="B83" s="4">
        <v>43574</v>
      </c>
      <c r="C83" s="1">
        <v>1050</v>
      </c>
      <c r="D83" t="s">
        <v>103</v>
      </c>
      <c r="E83" t="s">
        <v>31</v>
      </c>
      <c r="F83" t="s">
        <v>94</v>
      </c>
      <c r="G83" t="s">
        <v>10</v>
      </c>
      <c r="H83" t="s">
        <v>95</v>
      </c>
      <c r="I83" s="1">
        <v>6</v>
      </c>
      <c r="J83" t="s">
        <v>21</v>
      </c>
      <c r="K83" t="s">
        <v>55</v>
      </c>
      <c r="L83"/>
      <c r="M83">
        <v>1000000</v>
      </c>
      <c r="N83">
        <v>10</v>
      </c>
      <c r="O83">
        <v>6</v>
      </c>
      <c r="P83">
        <v>7</v>
      </c>
      <c r="Q83">
        <f t="shared" si="1"/>
        <v>0</v>
      </c>
    </row>
    <row r="84" spans="1:17" x14ac:dyDescent="0.25">
      <c r="A84" s="1">
        <v>83</v>
      </c>
      <c r="B84" s="4">
        <v>43574</v>
      </c>
      <c r="C84" s="1">
        <v>1051</v>
      </c>
      <c r="D84" t="s">
        <v>104</v>
      </c>
      <c r="E84" t="s">
        <v>31</v>
      </c>
      <c r="F84" t="s">
        <v>94</v>
      </c>
      <c r="G84" t="s">
        <v>10</v>
      </c>
      <c r="H84" t="s">
        <v>95</v>
      </c>
      <c r="I84" s="1">
        <v>6</v>
      </c>
      <c r="J84" t="s">
        <v>21</v>
      </c>
      <c r="K84" t="s">
        <v>55</v>
      </c>
      <c r="L84"/>
      <c r="M84">
        <v>1000000</v>
      </c>
      <c r="N84">
        <v>10</v>
      </c>
      <c r="O84">
        <v>7</v>
      </c>
      <c r="P84">
        <v>7</v>
      </c>
      <c r="Q84">
        <f t="shared" si="1"/>
        <v>0</v>
      </c>
    </row>
    <row r="85" spans="1:17" x14ac:dyDescent="0.25">
      <c r="A85" s="1">
        <v>84</v>
      </c>
      <c r="B85" s="4">
        <v>43574</v>
      </c>
      <c r="C85" s="1">
        <v>1065</v>
      </c>
      <c r="D85" t="s">
        <v>105</v>
      </c>
      <c r="E85" t="s">
        <v>39</v>
      </c>
      <c r="F85" t="s">
        <v>94</v>
      </c>
      <c r="G85" t="s">
        <v>10</v>
      </c>
      <c r="H85" t="s">
        <v>95</v>
      </c>
      <c r="I85" s="1">
        <v>6</v>
      </c>
      <c r="J85" t="s">
        <v>21</v>
      </c>
      <c r="K85" t="s">
        <v>55</v>
      </c>
      <c r="L85"/>
      <c r="M85">
        <v>1000000</v>
      </c>
      <c r="N85">
        <v>10</v>
      </c>
      <c r="O85">
        <v>8</v>
      </c>
      <c r="P85">
        <v>7</v>
      </c>
      <c r="Q85">
        <f t="shared" si="1"/>
        <v>1</v>
      </c>
    </row>
    <row r="86" spans="1:17" x14ac:dyDescent="0.25">
      <c r="A86" s="1">
        <v>85</v>
      </c>
      <c r="B86" s="4">
        <v>43574</v>
      </c>
      <c r="C86" s="1">
        <v>1066</v>
      </c>
      <c r="D86" t="s">
        <v>106</v>
      </c>
      <c r="E86" t="s">
        <v>39</v>
      </c>
      <c r="F86" t="s">
        <v>94</v>
      </c>
      <c r="G86" t="s">
        <v>10</v>
      </c>
      <c r="H86" t="s">
        <v>95</v>
      </c>
      <c r="I86" s="1">
        <v>6</v>
      </c>
      <c r="J86" t="s">
        <v>21</v>
      </c>
      <c r="K86" t="s">
        <v>55</v>
      </c>
      <c r="L86"/>
      <c r="M86">
        <v>1000000</v>
      </c>
      <c r="N86">
        <v>10</v>
      </c>
      <c r="O86">
        <v>5</v>
      </c>
      <c r="P86">
        <v>7</v>
      </c>
      <c r="Q86">
        <f t="shared" si="1"/>
        <v>0</v>
      </c>
    </row>
    <row r="87" spans="1:17" x14ac:dyDescent="0.25">
      <c r="A87" s="1">
        <v>86</v>
      </c>
      <c r="B87" s="4">
        <v>43574</v>
      </c>
      <c r="C87" s="1">
        <v>1067</v>
      </c>
      <c r="D87" t="s">
        <v>107</v>
      </c>
      <c r="E87" t="s">
        <v>39</v>
      </c>
      <c r="F87" t="s">
        <v>94</v>
      </c>
      <c r="G87" t="s">
        <v>10</v>
      </c>
      <c r="H87" t="s">
        <v>95</v>
      </c>
      <c r="I87" s="1">
        <v>6</v>
      </c>
      <c r="J87" t="s">
        <v>21</v>
      </c>
      <c r="K87" t="s">
        <v>55</v>
      </c>
      <c r="L87"/>
      <c r="M87">
        <v>1000000</v>
      </c>
      <c r="N87">
        <v>10</v>
      </c>
      <c r="O87">
        <v>9</v>
      </c>
      <c r="P87">
        <v>7</v>
      </c>
      <c r="Q87">
        <f t="shared" si="1"/>
        <v>1</v>
      </c>
    </row>
    <row r="88" spans="1:17" x14ac:dyDescent="0.25">
      <c r="A88" s="1">
        <v>87</v>
      </c>
      <c r="B88" s="4">
        <v>43574</v>
      </c>
      <c r="C88" s="1">
        <v>1068</v>
      </c>
      <c r="D88" t="s">
        <v>108</v>
      </c>
      <c r="E88" t="s">
        <v>39</v>
      </c>
      <c r="F88" t="s">
        <v>94</v>
      </c>
      <c r="G88" t="s">
        <v>10</v>
      </c>
      <c r="H88" t="s">
        <v>95</v>
      </c>
      <c r="I88" s="1">
        <v>6</v>
      </c>
      <c r="J88" t="s">
        <v>21</v>
      </c>
      <c r="K88" t="s">
        <v>55</v>
      </c>
      <c r="L88"/>
      <c r="M88">
        <v>1000000</v>
      </c>
      <c r="N88">
        <v>10</v>
      </c>
      <c r="O88">
        <v>7</v>
      </c>
      <c r="P88">
        <v>7</v>
      </c>
      <c r="Q88">
        <f t="shared" si="1"/>
        <v>0</v>
      </c>
    </row>
    <row r="89" spans="1:17" x14ac:dyDescent="0.25">
      <c r="A89" s="1">
        <v>88</v>
      </c>
      <c r="B89" s="4">
        <v>43574</v>
      </c>
      <c r="C89" s="1">
        <v>1069</v>
      </c>
      <c r="D89" t="s">
        <v>109</v>
      </c>
      <c r="E89" t="s">
        <v>39</v>
      </c>
      <c r="F89" t="s">
        <v>94</v>
      </c>
      <c r="G89" t="s">
        <v>10</v>
      </c>
      <c r="H89" t="s">
        <v>95</v>
      </c>
      <c r="I89" s="1">
        <v>6</v>
      </c>
      <c r="J89" t="s">
        <v>21</v>
      </c>
      <c r="K89" t="s">
        <v>55</v>
      </c>
      <c r="L89"/>
      <c r="M89">
        <v>1000000</v>
      </c>
      <c r="N89">
        <v>10</v>
      </c>
      <c r="O89">
        <v>5</v>
      </c>
      <c r="P89">
        <v>7</v>
      </c>
      <c r="Q89">
        <f t="shared" si="1"/>
        <v>0</v>
      </c>
    </row>
    <row r="90" spans="1:17" x14ac:dyDescent="0.25">
      <c r="A90" s="1">
        <v>89</v>
      </c>
      <c r="B90" s="4">
        <v>43574</v>
      </c>
      <c r="C90" s="1">
        <v>1070</v>
      </c>
      <c r="D90" t="s">
        <v>110</v>
      </c>
      <c r="E90" t="s">
        <v>39</v>
      </c>
      <c r="F90" t="s">
        <v>94</v>
      </c>
      <c r="G90" t="s">
        <v>10</v>
      </c>
      <c r="H90" t="s">
        <v>95</v>
      </c>
      <c r="I90" s="1">
        <v>6</v>
      </c>
      <c r="J90" t="s">
        <v>21</v>
      </c>
      <c r="K90" t="s">
        <v>55</v>
      </c>
      <c r="L90"/>
      <c r="M90">
        <v>1000000</v>
      </c>
      <c r="N90">
        <v>10</v>
      </c>
      <c r="O90">
        <v>9</v>
      </c>
      <c r="P90">
        <v>7</v>
      </c>
      <c r="Q90">
        <f t="shared" si="1"/>
        <v>1</v>
      </c>
    </row>
    <row r="91" spans="1:17" x14ac:dyDescent="0.25">
      <c r="A91" s="1">
        <v>90</v>
      </c>
      <c r="B91" s="4">
        <v>43574</v>
      </c>
      <c r="C91" s="1">
        <v>1071</v>
      </c>
      <c r="D91" t="s">
        <v>62</v>
      </c>
      <c r="E91" t="s">
        <v>39</v>
      </c>
      <c r="F91" t="s">
        <v>94</v>
      </c>
      <c r="G91" t="s">
        <v>10</v>
      </c>
      <c r="H91" t="s">
        <v>95</v>
      </c>
      <c r="I91" s="1">
        <v>6</v>
      </c>
      <c r="J91" t="s">
        <v>21</v>
      </c>
      <c r="K91" t="s">
        <v>55</v>
      </c>
      <c r="L91"/>
      <c r="M91">
        <v>1000000</v>
      </c>
      <c r="N91">
        <v>10</v>
      </c>
      <c r="O91">
        <v>10</v>
      </c>
      <c r="P91">
        <v>7</v>
      </c>
      <c r="Q91">
        <f t="shared" si="1"/>
        <v>1</v>
      </c>
    </row>
    <row r="92" spans="1:17" x14ac:dyDescent="0.25">
      <c r="A92" s="1">
        <v>91</v>
      </c>
      <c r="B92" s="4">
        <v>43574</v>
      </c>
      <c r="C92" s="1">
        <v>1085</v>
      </c>
      <c r="D92" t="s">
        <v>86</v>
      </c>
      <c r="E92" t="s">
        <v>43</v>
      </c>
      <c r="F92" t="s">
        <v>94</v>
      </c>
      <c r="G92" t="s">
        <v>10</v>
      </c>
      <c r="H92" t="s">
        <v>95</v>
      </c>
      <c r="I92" s="1">
        <v>6</v>
      </c>
      <c r="J92" t="s">
        <v>21</v>
      </c>
      <c r="K92" t="s">
        <v>55</v>
      </c>
      <c r="L92"/>
      <c r="M92">
        <v>1000000</v>
      </c>
      <c r="N92">
        <v>10</v>
      </c>
      <c r="O92">
        <v>8</v>
      </c>
      <c r="P92">
        <v>7</v>
      </c>
      <c r="Q92">
        <f t="shared" si="1"/>
        <v>1</v>
      </c>
    </row>
    <row r="93" spans="1:17" x14ac:dyDescent="0.25">
      <c r="A93" s="1">
        <v>92</v>
      </c>
      <c r="B93" s="4">
        <v>43574</v>
      </c>
      <c r="C93" s="1">
        <v>1086</v>
      </c>
      <c r="D93" t="s">
        <v>105</v>
      </c>
      <c r="E93" t="s">
        <v>43</v>
      </c>
      <c r="F93" t="s">
        <v>94</v>
      </c>
      <c r="G93" t="s">
        <v>10</v>
      </c>
      <c r="H93" t="s">
        <v>95</v>
      </c>
      <c r="I93" s="1">
        <v>6</v>
      </c>
      <c r="J93" t="s">
        <v>21</v>
      </c>
      <c r="K93" t="s">
        <v>55</v>
      </c>
      <c r="L93"/>
      <c r="M93">
        <v>1000000</v>
      </c>
      <c r="N93">
        <v>10</v>
      </c>
      <c r="O93">
        <v>4</v>
      </c>
      <c r="P93">
        <v>7</v>
      </c>
      <c r="Q93">
        <f t="shared" si="1"/>
        <v>0</v>
      </c>
    </row>
    <row r="94" spans="1:17" x14ac:dyDescent="0.25">
      <c r="A94" s="1">
        <v>93</v>
      </c>
      <c r="B94" s="4">
        <v>43574</v>
      </c>
      <c r="C94" s="1">
        <v>1087</v>
      </c>
      <c r="D94" t="s">
        <v>106</v>
      </c>
      <c r="E94" t="s">
        <v>43</v>
      </c>
      <c r="F94" t="s">
        <v>94</v>
      </c>
      <c r="G94" t="s">
        <v>10</v>
      </c>
      <c r="H94" t="s">
        <v>95</v>
      </c>
      <c r="I94" s="1">
        <v>6</v>
      </c>
      <c r="J94" t="s">
        <v>21</v>
      </c>
      <c r="K94" t="s">
        <v>55</v>
      </c>
      <c r="L94"/>
      <c r="M94">
        <v>1000000</v>
      </c>
      <c r="N94">
        <v>10</v>
      </c>
      <c r="O94">
        <v>6</v>
      </c>
      <c r="P94">
        <v>7</v>
      </c>
      <c r="Q94">
        <f t="shared" si="1"/>
        <v>0</v>
      </c>
    </row>
    <row r="95" spans="1:17" x14ac:dyDescent="0.25">
      <c r="A95" s="1">
        <v>94</v>
      </c>
      <c r="B95" s="4">
        <v>43574</v>
      </c>
      <c r="C95" s="1">
        <v>1088</v>
      </c>
      <c r="D95" t="s">
        <v>107</v>
      </c>
      <c r="E95" t="s">
        <v>43</v>
      </c>
      <c r="F95" t="s">
        <v>94</v>
      </c>
      <c r="G95" t="s">
        <v>10</v>
      </c>
      <c r="H95" t="s">
        <v>95</v>
      </c>
      <c r="I95" s="1">
        <v>6</v>
      </c>
      <c r="J95" t="s">
        <v>21</v>
      </c>
      <c r="K95" t="s">
        <v>55</v>
      </c>
      <c r="L95"/>
      <c r="M95">
        <v>1000000</v>
      </c>
      <c r="N95">
        <v>10</v>
      </c>
      <c r="O95">
        <v>8</v>
      </c>
      <c r="P95">
        <v>7</v>
      </c>
      <c r="Q95">
        <f t="shared" si="1"/>
        <v>1</v>
      </c>
    </row>
    <row r="96" spans="1:17" x14ac:dyDescent="0.25">
      <c r="A96" s="1">
        <v>95</v>
      </c>
      <c r="B96" s="4">
        <v>43574</v>
      </c>
      <c r="C96" s="1">
        <v>1089</v>
      </c>
      <c r="D96" t="s">
        <v>108</v>
      </c>
      <c r="E96" t="s">
        <v>43</v>
      </c>
      <c r="F96" t="s">
        <v>94</v>
      </c>
      <c r="G96" t="s">
        <v>10</v>
      </c>
      <c r="H96" t="s">
        <v>95</v>
      </c>
      <c r="I96" s="1">
        <v>6</v>
      </c>
      <c r="J96" t="s">
        <v>21</v>
      </c>
      <c r="K96" t="s">
        <v>55</v>
      </c>
      <c r="L96"/>
      <c r="M96">
        <v>1000000</v>
      </c>
      <c r="N96">
        <v>10</v>
      </c>
      <c r="O96">
        <v>7</v>
      </c>
      <c r="P96">
        <v>7</v>
      </c>
      <c r="Q96">
        <f t="shared" si="1"/>
        <v>0</v>
      </c>
    </row>
    <row r="97" spans="1:17" x14ac:dyDescent="0.25">
      <c r="A97" s="1">
        <v>96</v>
      </c>
      <c r="B97" s="4">
        <v>43574</v>
      </c>
      <c r="C97" s="1">
        <v>1090</v>
      </c>
      <c r="D97" t="s">
        <v>109</v>
      </c>
      <c r="E97" t="s">
        <v>43</v>
      </c>
      <c r="F97" t="s">
        <v>94</v>
      </c>
      <c r="G97" t="s">
        <v>10</v>
      </c>
      <c r="H97" t="s">
        <v>95</v>
      </c>
      <c r="I97" s="1">
        <v>6</v>
      </c>
      <c r="J97" t="s">
        <v>21</v>
      </c>
      <c r="K97" t="s">
        <v>55</v>
      </c>
      <c r="L97"/>
      <c r="M97">
        <v>1000000</v>
      </c>
      <c r="N97">
        <v>10</v>
      </c>
      <c r="O97">
        <v>8</v>
      </c>
      <c r="P97">
        <v>7</v>
      </c>
      <c r="Q97">
        <f t="shared" si="1"/>
        <v>1</v>
      </c>
    </row>
    <row r="98" spans="1:17" x14ac:dyDescent="0.25">
      <c r="A98" s="1">
        <v>97</v>
      </c>
      <c r="B98" s="4">
        <v>43574</v>
      </c>
      <c r="C98" s="1">
        <v>1091</v>
      </c>
      <c r="D98" t="s">
        <v>110</v>
      </c>
      <c r="E98" t="s">
        <v>43</v>
      </c>
      <c r="F98" t="s">
        <v>94</v>
      </c>
      <c r="G98" t="s">
        <v>10</v>
      </c>
      <c r="H98" t="s">
        <v>95</v>
      </c>
      <c r="I98" s="1">
        <v>6</v>
      </c>
      <c r="J98" t="s">
        <v>21</v>
      </c>
      <c r="K98" t="s">
        <v>55</v>
      </c>
      <c r="L98"/>
      <c r="M98">
        <v>1000000</v>
      </c>
      <c r="N98">
        <v>10</v>
      </c>
      <c r="O98">
        <v>6</v>
      </c>
      <c r="P98">
        <v>7</v>
      </c>
      <c r="Q98">
        <f t="shared" si="1"/>
        <v>0</v>
      </c>
    </row>
    <row r="99" spans="1:17" x14ac:dyDescent="0.25">
      <c r="A99" s="1">
        <v>98</v>
      </c>
      <c r="B99" s="4">
        <v>43574</v>
      </c>
      <c r="C99" s="1">
        <v>1106</v>
      </c>
      <c r="D99" t="s">
        <v>111</v>
      </c>
      <c r="E99" t="s">
        <v>46</v>
      </c>
      <c r="F99" t="s">
        <v>94</v>
      </c>
      <c r="G99" t="s">
        <v>10</v>
      </c>
      <c r="H99" t="s">
        <v>95</v>
      </c>
      <c r="I99" s="1">
        <v>6</v>
      </c>
      <c r="J99" t="s">
        <v>21</v>
      </c>
      <c r="K99" t="s">
        <v>55</v>
      </c>
      <c r="L99"/>
      <c r="M99">
        <v>1000000</v>
      </c>
      <c r="N99">
        <v>10</v>
      </c>
      <c r="O99">
        <v>5</v>
      </c>
      <c r="P99">
        <v>7</v>
      </c>
      <c r="Q99">
        <f t="shared" si="1"/>
        <v>0</v>
      </c>
    </row>
    <row r="100" spans="1:17" x14ac:dyDescent="0.25">
      <c r="A100" s="1">
        <v>99</v>
      </c>
      <c r="B100" s="4">
        <v>43574</v>
      </c>
      <c r="C100" s="1">
        <v>1107</v>
      </c>
      <c r="D100" t="s">
        <v>112</v>
      </c>
      <c r="E100" t="s">
        <v>46</v>
      </c>
      <c r="F100" t="s">
        <v>94</v>
      </c>
      <c r="G100" t="s">
        <v>10</v>
      </c>
      <c r="H100" t="s">
        <v>95</v>
      </c>
      <c r="I100" s="1">
        <v>6</v>
      </c>
      <c r="J100" t="s">
        <v>21</v>
      </c>
      <c r="K100" t="s">
        <v>55</v>
      </c>
      <c r="L100"/>
      <c r="M100">
        <v>1000000</v>
      </c>
      <c r="N100">
        <v>10</v>
      </c>
      <c r="O100">
        <v>8</v>
      </c>
      <c r="P100">
        <v>7</v>
      </c>
      <c r="Q100">
        <f t="shared" si="1"/>
        <v>1</v>
      </c>
    </row>
    <row r="101" spans="1:17" x14ac:dyDescent="0.25">
      <c r="A101" s="1">
        <v>100</v>
      </c>
      <c r="B101" s="4">
        <v>43574</v>
      </c>
      <c r="C101" s="1">
        <v>1108</v>
      </c>
      <c r="D101" t="s">
        <v>113</v>
      </c>
      <c r="E101" t="s">
        <v>46</v>
      </c>
      <c r="F101" t="s">
        <v>94</v>
      </c>
      <c r="G101" t="s">
        <v>10</v>
      </c>
      <c r="H101" t="s">
        <v>95</v>
      </c>
      <c r="I101" s="1">
        <v>6</v>
      </c>
      <c r="J101" t="s">
        <v>21</v>
      </c>
      <c r="K101" t="s">
        <v>55</v>
      </c>
      <c r="L101"/>
      <c r="M101">
        <v>1000000</v>
      </c>
      <c r="N101">
        <v>10</v>
      </c>
      <c r="O101">
        <v>9</v>
      </c>
      <c r="P101">
        <v>7</v>
      </c>
      <c r="Q101">
        <f t="shared" si="1"/>
        <v>1</v>
      </c>
    </row>
    <row r="102" spans="1:17" x14ac:dyDescent="0.25">
      <c r="A102" s="1">
        <v>101</v>
      </c>
      <c r="B102" s="4">
        <v>43574</v>
      </c>
      <c r="C102" s="1">
        <v>1109</v>
      </c>
      <c r="D102" t="s">
        <v>114</v>
      </c>
      <c r="E102" t="s">
        <v>46</v>
      </c>
      <c r="F102" t="s">
        <v>94</v>
      </c>
      <c r="G102" t="s">
        <v>10</v>
      </c>
      <c r="H102" t="s">
        <v>95</v>
      </c>
      <c r="I102" s="1">
        <v>6</v>
      </c>
      <c r="J102" t="s">
        <v>21</v>
      </c>
      <c r="K102" t="s">
        <v>55</v>
      </c>
      <c r="L102"/>
      <c r="M102">
        <v>1000000</v>
      </c>
      <c r="N102">
        <v>10</v>
      </c>
      <c r="O102">
        <v>5</v>
      </c>
      <c r="P102">
        <v>7</v>
      </c>
      <c r="Q102">
        <f t="shared" si="1"/>
        <v>0</v>
      </c>
    </row>
    <row r="103" spans="1:17" x14ac:dyDescent="0.25">
      <c r="A103" s="1">
        <v>102</v>
      </c>
      <c r="B103" s="4">
        <v>43574</v>
      </c>
      <c r="C103" s="1">
        <v>1110</v>
      </c>
      <c r="D103" t="s">
        <v>115</v>
      </c>
      <c r="E103" t="s">
        <v>46</v>
      </c>
      <c r="F103" t="s">
        <v>94</v>
      </c>
      <c r="G103" t="s">
        <v>10</v>
      </c>
      <c r="H103" t="s">
        <v>95</v>
      </c>
      <c r="I103" s="1">
        <v>6</v>
      </c>
      <c r="J103" t="s">
        <v>21</v>
      </c>
      <c r="K103" t="s">
        <v>55</v>
      </c>
      <c r="L103"/>
      <c r="M103">
        <v>1000000</v>
      </c>
      <c r="N103">
        <v>10</v>
      </c>
      <c r="O103">
        <v>8</v>
      </c>
      <c r="P103">
        <v>7</v>
      </c>
      <c r="Q103">
        <f t="shared" si="1"/>
        <v>1</v>
      </c>
    </row>
    <row r="104" spans="1:17" x14ac:dyDescent="0.25">
      <c r="A104" s="1">
        <v>103</v>
      </c>
      <c r="B104" s="4">
        <v>43574</v>
      </c>
      <c r="C104" s="1">
        <v>1111</v>
      </c>
      <c r="D104" t="s">
        <v>116</v>
      </c>
      <c r="E104" t="s">
        <v>46</v>
      </c>
      <c r="F104" t="s">
        <v>94</v>
      </c>
      <c r="G104" t="s">
        <v>10</v>
      </c>
      <c r="H104" t="s">
        <v>95</v>
      </c>
      <c r="I104" s="1">
        <v>6</v>
      </c>
      <c r="J104" t="s">
        <v>21</v>
      </c>
      <c r="K104" t="s">
        <v>55</v>
      </c>
      <c r="L104"/>
      <c r="M104">
        <v>1000000</v>
      </c>
      <c r="N104">
        <v>10</v>
      </c>
      <c r="O104">
        <v>6</v>
      </c>
      <c r="P104">
        <v>7</v>
      </c>
      <c r="Q104">
        <f t="shared" si="1"/>
        <v>0</v>
      </c>
    </row>
    <row r="105" spans="1:17" x14ac:dyDescent="0.25">
      <c r="A105" s="1">
        <v>104</v>
      </c>
      <c r="B105" s="4">
        <v>43578</v>
      </c>
      <c r="C105" s="1">
        <v>1002</v>
      </c>
      <c r="D105" t="s">
        <v>117</v>
      </c>
      <c r="E105" t="s">
        <v>17</v>
      </c>
      <c r="F105" t="s">
        <v>118</v>
      </c>
      <c r="G105" t="s">
        <v>119</v>
      </c>
      <c r="H105" t="s">
        <v>120</v>
      </c>
      <c r="I105" s="1">
        <v>3</v>
      </c>
      <c r="J105" t="s">
        <v>21</v>
      </c>
      <c r="K105" t="s">
        <v>55</v>
      </c>
      <c r="L105"/>
      <c r="M105">
        <v>1000000</v>
      </c>
      <c r="N105">
        <v>10</v>
      </c>
      <c r="O105">
        <v>9</v>
      </c>
      <c r="P105">
        <v>8</v>
      </c>
      <c r="Q105">
        <f t="shared" si="1"/>
        <v>1</v>
      </c>
    </row>
    <row r="106" spans="1:17" x14ac:dyDescent="0.25">
      <c r="A106" s="1">
        <v>105</v>
      </c>
      <c r="B106" s="4">
        <v>43578</v>
      </c>
      <c r="C106" s="1">
        <v>1005</v>
      </c>
      <c r="D106" t="s">
        <v>121</v>
      </c>
      <c r="E106" t="s">
        <v>17</v>
      </c>
      <c r="F106" t="s">
        <v>18</v>
      </c>
      <c r="G106" t="s">
        <v>122</v>
      </c>
      <c r="H106" t="s">
        <v>120</v>
      </c>
      <c r="I106" s="1">
        <v>3</v>
      </c>
      <c r="J106" t="s">
        <v>21</v>
      </c>
      <c r="K106" t="s">
        <v>55</v>
      </c>
      <c r="L106"/>
      <c r="M106">
        <v>1000000</v>
      </c>
      <c r="N106">
        <v>10</v>
      </c>
      <c r="O106">
        <v>7</v>
      </c>
      <c r="P106">
        <v>8</v>
      </c>
      <c r="Q106">
        <f t="shared" si="1"/>
        <v>0</v>
      </c>
    </row>
    <row r="107" spans="1:17" x14ac:dyDescent="0.25">
      <c r="A107" s="1">
        <v>106</v>
      </c>
      <c r="B107" s="4">
        <v>43578</v>
      </c>
      <c r="C107" s="1">
        <v>1010</v>
      </c>
      <c r="D107" t="s">
        <v>123</v>
      </c>
      <c r="E107" t="s">
        <v>17</v>
      </c>
      <c r="F107" t="s">
        <v>26</v>
      </c>
      <c r="G107" t="s">
        <v>124</v>
      </c>
      <c r="H107" t="s">
        <v>120</v>
      </c>
      <c r="I107" s="1">
        <v>3</v>
      </c>
      <c r="J107" t="s">
        <v>21</v>
      </c>
      <c r="K107" t="s">
        <v>55</v>
      </c>
      <c r="L107"/>
      <c r="M107">
        <v>1000000</v>
      </c>
      <c r="N107">
        <v>10</v>
      </c>
      <c r="O107">
        <v>9</v>
      </c>
      <c r="P107">
        <v>8</v>
      </c>
      <c r="Q107">
        <f t="shared" si="1"/>
        <v>1</v>
      </c>
    </row>
    <row r="108" spans="1:17" x14ac:dyDescent="0.25">
      <c r="A108" s="1">
        <v>107</v>
      </c>
      <c r="B108" s="4">
        <v>43578</v>
      </c>
      <c r="C108" s="1">
        <v>1011</v>
      </c>
      <c r="D108" t="s">
        <v>125</v>
      </c>
      <c r="E108" t="s">
        <v>17</v>
      </c>
      <c r="F108" t="s">
        <v>26</v>
      </c>
      <c r="G108" t="s">
        <v>126</v>
      </c>
      <c r="H108" t="s">
        <v>120</v>
      </c>
      <c r="I108" s="1">
        <v>3</v>
      </c>
      <c r="J108" t="s">
        <v>21</v>
      </c>
      <c r="K108" t="s">
        <v>55</v>
      </c>
      <c r="L108"/>
      <c r="M108">
        <v>1000000</v>
      </c>
      <c r="N108">
        <v>10</v>
      </c>
      <c r="O108">
        <v>8</v>
      </c>
      <c r="P108">
        <v>8</v>
      </c>
      <c r="Q108">
        <f t="shared" si="1"/>
        <v>0</v>
      </c>
    </row>
    <row r="109" spans="1:17" x14ac:dyDescent="0.25">
      <c r="A109" s="1">
        <v>108</v>
      </c>
      <c r="B109" s="4">
        <v>43578</v>
      </c>
      <c r="C109" s="1">
        <v>1022</v>
      </c>
      <c r="D109" t="s">
        <v>127</v>
      </c>
      <c r="E109" t="s">
        <v>17</v>
      </c>
      <c r="F109" t="s">
        <v>69</v>
      </c>
      <c r="G109" t="s">
        <v>128</v>
      </c>
      <c r="H109" t="s">
        <v>120</v>
      </c>
      <c r="I109" s="1">
        <v>3</v>
      </c>
      <c r="J109" t="s">
        <v>21</v>
      </c>
      <c r="K109" t="s">
        <v>55</v>
      </c>
      <c r="L109"/>
      <c r="M109">
        <v>1000000</v>
      </c>
      <c r="N109">
        <v>10</v>
      </c>
      <c r="O109">
        <v>8</v>
      </c>
      <c r="P109">
        <v>8</v>
      </c>
      <c r="Q109">
        <f t="shared" si="1"/>
        <v>0</v>
      </c>
    </row>
    <row r="110" spans="1:17" x14ac:dyDescent="0.25">
      <c r="A110" s="1">
        <v>109</v>
      </c>
      <c r="B110" s="4">
        <v>43578</v>
      </c>
      <c r="C110" s="1">
        <v>1031</v>
      </c>
      <c r="D110" t="s">
        <v>129</v>
      </c>
      <c r="E110" t="s">
        <v>31</v>
      </c>
      <c r="F110" t="s">
        <v>130</v>
      </c>
      <c r="G110" t="s">
        <v>131</v>
      </c>
      <c r="H110" t="s">
        <v>120</v>
      </c>
      <c r="I110" s="1">
        <v>3</v>
      </c>
      <c r="J110" t="s">
        <v>21</v>
      </c>
      <c r="K110" t="s">
        <v>55</v>
      </c>
      <c r="L110"/>
      <c r="M110">
        <v>1000000</v>
      </c>
      <c r="N110">
        <v>10</v>
      </c>
      <c r="O110">
        <v>9</v>
      </c>
      <c r="P110">
        <v>8</v>
      </c>
      <c r="Q110">
        <f t="shared" si="1"/>
        <v>1</v>
      </c>
    </row>
    <row r="111" spans="1:17" x14ac:dyDescent="0.25">
      <c r="A111" s="1">
        <v>110</v>
      </c>
      <c r="B111" s="4">
        <v>43578</v>
      </c>
      <c r="C111" s="1">
        <v>1032</v>
      </c>
      <c r="D111" t="s">
        <v>132</v>
      </c>
      <c r="E111" t="s">
        <v>31</v>
      </c>
      <c r="F111" t="s">
        <v>32</v>
      </c>
      <c r="G111" t="s">
        <v>133</v>
      </c>
      <c r="H111" t="s">
        <v>120</v>
      </c>
      <c r="I111" s="1">
        <v>3</v>
      </c>
      <c r="J111" t="s">
        <v>21</v>
      </c>
      <c r="K111" t="s">
        <v>55</v>
      </c>
      <c r="L111"/>
      <c r="M111">
        <v>1000000</v>
      </c>
      <c r="N111">
        <v>10</v>
      </c>
      <c r="O111">
        <v>10</v>
      </c>
      <c r="P111">
        <v>8</v>
      </c>
      <c r="Q111">
        <f t="shared" si="1"/>
        <v>1</v>
      </c>
    </row>
    <row r="112" spans="1:17" x14ac:dyDescent="0.25">
      <c r="A112" s="1">
        <v>111</v>
      </c>
      <c r="B112" s="4">
        <v>43578</v>
      </c>
      <c r="C112" s="1">
        <v>1033</v>
      </c>
      <c r="D112" t="s">
        <v>134</v>
      </c>
      <c r="E112" t="s">
        <v>31</v>
      </c>
      <c r="F112" t="s">
        <v>32</v>
      </c>
      <c r="G112" t="s">
        <v>135</v>
      </c>
      <c r="H112" t="s">
        <v>120</v>
      </c>
      <c r="I112" s="1">
        <v>3</v>
      </c>
      <c r="J112" t="s">
        <v>21</v>
      </c>
      <c r="K112" t="s">
        <v>55</v>
      </c>
      <c r="L112"/>
      <c r="M112">
        <v>1000000</v>
      </c>
      <c r="N112">
        <v>10</v>
      </c>
      <c r="O112">
        <v>8</v>
      </c>
      <c r="P112">
        <v>8</v>
      </c>
      <c r="Q112">
        <f t="shared" si="1"/>
        <v>0</v>
      </c>
    </row>
    <row r="113" spans="1:17" x14ac:dyDescent="0.25">
      <c r="A113" s="1">
        <v>112</v>
      </c>
      <c r="B113" s="4">
        <v>43578</v>
      </c>
      <c r="C113" s="1">
        <v>1057</v>
      </c>
      <c r="D113" t="s">
        <v>87</v>
      </c>
      <c r="E113" t="s">
        <v>39</v>
      </c>
      <c r="F113" t="s">
        <v>130</v>
      </c>
      <c r="G113" t="s">
        <v>136</v>
      </c>
      <c r="H113" t="s">
        <v>120</v>
      </c>
      <c r="I113" s="1">
        <v>3</v>
      </c>
      <c r="J113" t="s">
        <v>21</v>
      </c>
      <c r="K113" t="s">
        <v>55</v>
      </c>
      <c r="L113"/>
      <c r="M113">
        <v>1000000</v>
      </c>
      <c r="N113">
        <v>10</v>
      </c>
      <c r="O113">
        <v>9</v>
      </c>
      <c r="P113">
        <v>8</v>
      </c>
      <c r="Q113">
        <f t="shared" si="1"/>
        <v>1</v>
      </c>
    </row>
    <row r="114" spans="1:17" x14ac:dyDescent="0.25">
      <c r="A114" s="1">
        <v>113</v>
      </c>
      <c r="B114" s="4">
        <v>43578</v>
      </c>
      <c r="C114" s="1">
        <v>1058</v>
      </c>
      <c r="D114" t="s">
        <v>88</v>
      </c>
      <c r="E114" t="s">
        <v>39</v>
      </c>
      <c r="F114" t="s">
        <v>32</v>
      </c>
      <c r="G114" t="s">
        <v>133</v>
      </c>
      <c r="H114" t="s">
        <v>120</v>
      </c>
      <c r="I114" s="1">
        <v>3</v>
      </c>
      <c r="J114" t="s">
        <v>21</v>
      </c>
      <c r="K114" t="s">
        <v>55</v>
      </c>
      <c r="L114"/>
      <c r="M114">
        <v>1000000</v>
      </c>
      <c r="N114">
        <v>10</v>
      </c>
      <c r="O114">
        <v>10</v>
      </c>
      <c r="P114">
        <v>8</v>
      </c>
      <c r="Q114">
        <f t="shared" si="1"/>
        <v>1</v>
      </c>
    </row>
    <row r="115" spans="1:17" x14ac:dyDescent="0.25">
      <c r="A115" s="1">
        <v>114</v>
      </c>
      <c r="B115" s="4">
        <v>43578</v>
      </c>
      <c r="C115" s="1">
        <v>1059</v>
      </c>
      <c r="D115" t="s">
        <v>137</v>
      </c>
      <c r="E115" t="s">
        <v>39</v>
      </c>
      <c r="F115" t="s">
        <v>32</v>
      </c>
      <c r="G115" t="s">
        <v>135</v>
      </c>
      <c r="H115" t="s">
        <v>120</v>
      </c>
      <c r="I115" s="1">
        <v>3</v>
      </c>
      <c r="J115" t="s">
        <v>21</v>
      </c>
      <c r="K115" t="s">
        <v>55</v>
      </c>
      <c r="L115"/>
      <c r="M115">
        <v>1000000</v>
      </c>
      <c r="N115">
        <v>10</v>
      </c>
      <c r="O115">
        <v>8</v>
      </c>
      <c r="P115">
        <v>8</v>
      </c>
      <c r="Q115">
        <f t="shared" si="1"/>
        <v>0</v>
      </c>
    </row>
    <row r="116" spans="1:17" x14ac:dyDescent="0.25">
      <c r="A116" s="1">
        <v>115</v>
      </c>
      <c r="B116" s="4">
        <v>43578</v>
      </c>
      <c r="C116" s="1">
        <v>1075</v>
      </c>
      <c r="D116" t="s">
        <v>138</v>
      </c>
      <c r="E116" t="s">
        <v>43</v>
      </c>
      <c r="F116" t="s">
        <v>130</v>
      </c>
      <c r="G116" t="s">
        <v>131</v>
      </c>
      <c r="H116" t="s">
        <v>120</v>
      </c>
      <c r="I116" s="1">
        <v>3</v>
      </c>
      <c r="J116" t="s">
        <v>21</v>
      </c>
      <c r="K116" t="s">
        <v>55</v>
      </c>
      <c r="L116"/>
      <c r="M116">
        <v>1000000</v>
      </c>
      <c r="N116">
        <v>10</v>
      </c>
      <c r="O116">
        <v>9</v>
      </c>
      <c r="P116">
        <v>8</v>
      </c>
      <c r="Q116">
        <f t="shared" si="1"/>
        <v>1</v>
      </c>
    </row>
    <row r="117" spans="1:17" x14ac:dyDescent="0.25">
      <c r="A117" s="1">
        <v>116</v>
      </c>
      <c r="B117" s="4">
        <v>43578</v>
      </c>
      <c r="C117" s="1">
        <v>1076</v>
      </c>
      <c r="D117" t="s">
        <v>139</v>
      </c>
      <c r="E117" t="s">
        <v>43</v>
      </c>
      <c r="F117" t="s">
        <v>32</v>
      </c>
      <c r="G117" t="s">
        <v>133</v>
      </c>
      <c r="H117" t="s">
        <v>120</v>
      </c>
      <c r="I117" s="1">
        <v>3</v>
      </c>
      <c r="J117" t="s">
        <v>21</v>
      </c>
      <c r="K117" t="s">
        <v>55</v>
      </c>
      <c r="L117"/>
      <c r="M117">
        <v>1000000</v>
      </c>
      <c r="N117">
        <v>10</v>
      </c>
      <c r="O117">
        <v>10</v>
      </c>
      <c r="P117">
        <v>8</v>
      </c>
      <c r="Q117">
        <f t="shared" si="1"/>
        <v>1</v>
      </c>
    </row>
    <row r="118" spans="1:17" x14ac:dyDescent="0.25">
      <c r="A118" s="1">
        <v>117</v>
      </c>
      <c r="B118" s="4">
        <v>43578</v>
      </c>
      <c r="C118" s="1">
        <v>1077</v>
      </c>
      <c r="D118" t="s">
        <v>140</v>
      </c>
      <c r="E118" t="s">
        <v>43</v>
      </c>
      <c r="F118" t="s">
        <v>32</v>
      </c>
      <c r="G118" t="s">
        <v>135</v>
      </c>
      <c r="H118" t="s">
        <v>120</v>
      </c>
      <c r="I118" s="1">
        <v>3</v>
      </c>
      <c r="J118" t="s">
        <v>21</v>
      </c>
      <c r="K118" t="s">
        <v>55</v>
      </c>
      <c r="L118"/>
      <c r="M118">
        <v>1000000</v>
      </c>
      <c r="N118">
        <v>10</v>
      </c>
      <c r="O118">
        <v>6</v>
      </c>
      <c r="P118">
        <v>8</v>
      </c>
      <c r="Q118">
        <f t="shared" si="1"/>
        <v>0</v>
      </c>
    </row>
    <row r="119" spans="1:17" x14ac:dyDescent="0.25">
      <c r="A119" s="1">
        <v>118</v>
      </c>
      <c r="B119" s="4">
        <v>43578</v>
      </c>
      <c r="C119" s="1">
        <v>1096</v>
      </c>
      <c r="D119" t="s">
        <v>141</v>
      </c>
      <c r="E119" t="s">
        <v>46</v>
      </c>
      <c r="F119" t="s">
        <v>130</v>
      </c>
      <c r="G119" t="s">
        <v>131</v>
      </c>
      <c r="H119" t="s">
        <v>120</v>
      </c>
      <c r="I119" s="1">
        <v>3</v>
      </c>
      <c r="J119" t="s">
        <v>21</v>
      </c>
      <c r="K119" t="s">
        <v>55</v>
      </c>
      <c r="L119"/>
      <c r="M119">
        <v>1000000</v>
      </c>
      <c r="N119">
        <v>10</v>
      </c>
      <c r="O119">
        <v>10</v>
      </c>
      <c r="P119">
        <v>8</v>
      </c>
      <c r="Q119">
        <f t="shared" si="1"/>
        <v>1</v>
      </c>
    </row>
    <row r="120" spans="1:17" x14ac:dyDescent="0.25">
      <c r="A120" s="1">
        <v>119</v>
      </c>
      <c r="B120" s="4">
        <v>43578</v>
      </c>
      <c r="C120" s="1">
        <v>1097</v>
      </c>
      <c r="D120" t="s">
        <v>142</v>
      </c>
      <c r="E120" t="s">
        <v>46</v>
      </c>
      <c r="F120" t="s">
        <v>32</v>
      </c>
      <c r="G120" t="s">
        <v>133</v>
      </c>
      <c r="H120" t="s">
        <v>120</v>
      </c>
      <c r="I120" s="1">
        <v>3</v>
      </c>
      <c r="J120" t="s">
        <v>21</v>
      </c>
      <c r="K120" t="s">
        <v>55</v>
      </c>
      <c r="L120"/>
      <c r="M120">
        <v>1000000</v>
      </c>
      <c r="N120">
        <v>10</v>
      </c>
      <c r="O120">
        <v>9</v>
      </c>
      <c r="P120">
        <v>8</v>
      </c>
      <c r="Q120">
        <f t="shared" si="1"/>
        <v>1</v>
      </c>
    </row>
    <row r="121" spans="1:17" x14ac:dyDescent="0.25">
      <c r="A121" s="1">
        <v>120</v>
      </c>
      <c r="B121" s="4">
        <v>43578</v>
      </c>
      <c r="C121" s="1">
        <v>1098</v>
      </c>
      <c r="D121" t="s">
        <v>143</v>
      </c>
      <c r="E121" t="s">
        <v>46</v>
      </c>
      <c r="F121" t="s">
        <v>32</v>
      </c>
      <c r="G121" t="s">
        <v>135</v>
      </c>
      <c r="H121" t="s">
        <v>120</v>
      </c>
      <c r="I121" s="1">
        <v>3</v>
      </c>
      <c r="J121" t="s">
        <v>21</v>
      </c>
      <c r="K121" t="s">
        <v>55</v>
      </c>
      <c r="L121"/>
      <c r="M121">
        <v>1000000</v>
      </c>
      <c r="N121">
        <v>10</v>
      </c>
      <c r="O121">
        <v>8</v>
      </c>
      <c r="P121">
        <v>8</v>
      </c>
      <c r="Q121">
        <f t="shared" si="1"/>
        <v>0</v>
      </c>
    </row>
    <row r="122" spans="1:17" x14ac:dyDescent="0.25">
      <c r="A122" s="1">
        <v>121</v>
      </c>
      <c r="B122" s="4">
        <v>43600</v>
      </c>
      <c r="C122" s="1">
        <v>1034</v>
      </c>
      <c r="D122" t="s">
        <v>30</v>
      </c>
      <c r="E122" t="s">
        <v>31</v>
      </c>
      <c r="F122" t="s">
        <v>32</v>
      </c>
      <c r="G122" t="s">
        <v>33</v>
      </c>
      <c r="H122" t="s">
        <v>144</v>
      </c>
      <c r="I122" s="1">
        <v>2</v>
      </c>
      <c r="J122" t="s">
        <v>21</v>
      </c>
      <c r="K122" t="s">
        <v>22</v>
      </c>
      <c r="L122"/>
      <c r="M122">
        <v>200000</v>
      </c>
      <c r="N122">
        <v>10</v>
      </c>
      <c r="O122">
        <v>9</v>
      </c>
      <c r="P122">
        <v>7</v>
      </c>
      <c r="Q122">
        <f t="shared" si="1"/>
        <v>1</v>
      </c>
    </row>
    <row r="123" spans="1:17" x14ac:dyDescent="0.25">
      <c r="A123" s="1">
        <v>122</v>
      </c>
      <c r="B123" s="4">
        <v>43600</v>
      </c>
      <c r="C123" s="1">
        <v>1035</v>
      </c>
      <c r="D123" t="s">
        <v>35</v>
      </c>
      <c r="E123" t="s">
        <v>31</v>
      </c>
      <c r="F123" t="s">
        <v>32</v>
      </c>
      <c r="G123" t="s">
        <v>33</v>
      </c>
      <c r="H123" t="s">
        <v>144</v>
      </c>
      <c r="I123" s="1">
        <v>2</v>
      </c>
      <c r="J123" t="s">
        <v>21</v>
      </c>
      <c r="K123" t="s">
        <v>22</v>
      </c>
      <c r="L123"/>
      <c r="M123">
        <v>200000</v>
      </c>
      <c r="N123">
        <v>10</v>
      </c>
      <c r="O123">
        <v>7</v>
      </c>
      <c r="P123">
        <v>7</v>
      </c>
      <c r="Q123">
        <f t="shared" si="1"/>
        <v>0</v>
      </c>
    </row>
    <row r="124" spans="1:17" x14ac:dyDescent="0.25">
      <c r="A124" s="1">
        <v>123</v>
      </c>
      <c r="B124" s="4">
        <v>43600</v>
      </c>
      <c r="C124" s="1">
        <v>1036</v>
      </c>
      <c r="D124" t="s">
        <v>36</v>
      </c>
      <c r="E124" t="s">
        <v>31</v>
      </c>
      <c r="F124" t="s">
        <v>32</v>
      </c>
      <c r="G124" t="s">
        <v>33</v>
      </c>
      <c r="H124" t="s">
        <v>144</v>
      </c>
      <c r="I124" s="1">
        <v>2</v>
      </c>
      <c r="J124" t="s">
        <v>21</v>
      </c>
      <c r="K124" t="s">
        <v>22</v>
      </c>
      <c r="L124"/>
      <c r="M124">
        <v>200000</v>
      </c>
      <c r="N124">
        <v>10</v>
      </c>
      <c r="O124">
        <v>7</v>
      </c>
      <c r="P124">
        <v>7</v>
      </c>
      <c r="Q124">
        <f t="shared" si="1"/>
        <v>0</v>
      </c>
    </row>
    <row r="125" spans="1:17" x14ac:dyDescent="0.25">
      <c r="A125" s="1">
        <v>124</v>
      </c>
      <c r="B125" s="4">
        <v>43600</v>
      </c>
      <c r="C125" s="1">
        <v>1037</v>
      </c>
      <c r="D125" t="s">
        <v>37</v>
      </c>
      <c r="E125" t="s">
        <v>31</v>
      </c>
      <c r="F125" t="s">
        <v>32</v>
      </c>
      <c r="G125" t="s">
        <v>33</v>
      </c>
      <c r="H125" t="s">
        <v>144</v>
      </c>
      <c r="I125" s="1">
        <v>2</v>
      </c>
      <c r="J125" t="s">
        <v>21</v>
      </c>
      <c r="K125" t="s">
        <v>22</v>
      </c>
      <c r="L125"/>
      <c r="M125">
        <v>200000</v>
      </c>
      <c r="N125">
        <v>10</v>
      </c>
      <c r="O125">
        <v>6</v>
      </c>
      <c r="P125">
        <v>7</v>
      </c>
      <c r="Q125">
        <f t="shared" si="1"/>
        <v>0</v>
      </c>
    </row>
    <row r="126" spans="1:17" x14ac:dyDescent="0.25">
      <c r="A126" s="1">
        <v>125</v>
      </c>
      <c r="B126" s="4">
        <v>43600</v>
      </c>
      <c r="C126" s="1">
        <v>1038</v>
      </c>
      <c r="D126" t="s">
        <v>82</v>
      </c>
      <c r="E126" t="s">
        <v>31</v>
      </c>
      <c r="F126" t="s">
        <v>32</v>
      </c>
      <c r="G126" t="s">
        <v>33</v>
      </c>
      <c r="H126" t="s">
        <v>144</v>
      </c>
      <c r="I126" s="1">
        <v>2</v>
      </c>
      <c r="J126" t="s">
        <v>21</v>
      </c>
      <c r="K126" t="s">
        <v>22</v>
      </c>
      <c r="L126"/>
      <c r="M126">
        <v>200000</v>
      </c>
      <c r="N126">
        <v>10</v>
      </c>
      <c r="O126">
        <v>7</v>
      </c>
      <c r="P126">
        <v>7</v>
      </c>
      <c r="Q126">
        <f t="shared" si="1"/>
        <v>0</v>
      </c>
    </row>
    <row r="127" spans="1:17" x14ac:dyDescent="0.25">
      <c r="A127" s="1">
        <v>126</v>
      </c>
      <c r="B127" s="4">
        <v>43600</v>
      </c>
      <c r="C127" s="1">
        <v>1039</v>
      </c>
      <c r="D127" t="s">
        <v>83</v>
      </c>
      <c r="E127" t="s">
        <v>31</v>
      </c>
      <c r="F127" t="s">
        <v>32</v>
      </c>
      <c r="G127" t="s">
        <v>33</v>
      </c>
      <c r="H127" t="s">
        <v>144</v>
      </c>
      <c r="I127" s="1">
        <v>2</v>
      </c>
      <c r="J127" t="s">
        <v>21</v>
      </c>
      <c r="K127" t="s">
        <v>22</v>
      </c>
      <c r="L127"/>
      <c r="M127">
        <v>200000</v>
      </c>
      <c r="N127">
        <v>10</v>
      </c>
      <c r="O127">
        <v>5</v>
      </c>
      <c r="P127">
        <v>7</v>
      </c>
      <c r="Q127">
        <f t="shared" si="1"/>
        <v>0</v>
      </c>
    </row>
    <row r="128" spans="1:17" x14ac:dyDescent="0.25">
      <c r="A128" s="1">
        <v>127</v>
      </c>
      <c r="B128" s="4">
        <v>43600</v>
      </c>
      <c r="C128" s="1">
        <v>1040</v>
      </c>
      <c r="D128" t="s">
        <v>84</v>
      </c>
      <c r="E128" t="s">
        <v>31</v>
      </c>
      <c r="F128" t="s">
        <v>32</v>
      </c>
      <c r="G128" t="s">
        <v>33</v>
      </c>
      <c r="H128" t="s">
        <v>144</v>
      </c>
      <c r="I128" s="1">
        <v>2</v>
      </c>
      <c r="J128" t="s">
        <v>21</v>
      </c>
      <c r="K128" t="s">
        <v>22</v>
      </c>
      <c r="L128"/>
      <c r="M128">
        <v>200000</v>
      </c>
      <c r="N128">
        <v>10</v>
      </c>
      <c r="O128">
        <v>6</v>
      </c>
      <c r="P128">
        <v>7</v>
      </c>
      <c r="Q128">
        <f t="shared" si="1"/>
        <v>0</v>
      </c>
    </row>
    <row r="129" spans="1:17" x14ac:dyDescent="0.25">
      <c r="A129" s="1">
        <v>128</v>
      </c>
      <c r="B129" s="4">
        <v>43600</v>
      </c>
      <c r="C129" s="1">
        <v>1041</v>
      </c>
      <c r="D129" t="s">
        <v>85</v>
      </c>
      <c r="E129" t="s">
        <v>31</v>
      </c>
      <c r="F129" t="s">
        <v>32</v>
      </c>
      <c r="G129" t="s">
        <v>33</v>
      </c>
      <c r="H129" t="s">
        <v>144</v>
      </c>
      <c r="I129" s="1">
        <v>2</v>
      </c>
      <c r="J129" t="s">
        <v>21</v>
      </c>
      <c r="K129" t="s">
        <v>22</v>
      </c>
      <c r="L129"/>
      <c r="M129">
        <v>200000</v>
      </c>
      <c r="N129">
        <v>10</v>
      </c>
      <c r="O129">
        <v>9</v>
      </c>
      <c r="P129">
        <v>7</v>
      </c>
      <c r="Q129">
        <f t="shared" si="1"/>
        <v>1</v>
      </c>
    </row>
    <row r="130" spans="1:17" x14ac:dyDescent="0.25">
      <c r="A130" s="1">
        <v>129</v>
      </c>
      <c r="B130" s="4">
        <v>43600</v>
      </c>
      <c r="C130" s="1">
        <v>1060</v>
      </c>
      <c r="D130" t="s">
        <v>38</v>
      </c>
      <c r="E130" t="s">
        <v>39</v>
      </c>
      <c r="F130" t="s">
        <v>32</v>
      </c>
      <c r="G130" t="s">
        <v>33</v>
      </c>
      <c r="H130" t="s">
        <v>144</v>
      </c>
      <c r="I130" s="1">
        <v>2</v>
      </c>
      <c r="J130" t="s">
        <v>21</v>
      </c>
      <c r="K130" t="s">
        <v>22</v>
      </c>
      <c r="L130"/>
      <c r="M130">
        <v>200000</v>
      </c>
      <c r="N130">
        <v>10</v>
      </c>
      <c r="O130">
        <v>7</v>
      </c>
      <c r="P130">
        <v>7</v>
      </c>
      <c r="Q130">
        <f t="shared" si="1"/>
        <v>0</v>
      </c>
    </row>
    <row r="131" spans="1:17" x14ac:dyDescent="0.25">
      <c r="A131" s="1">
        <v>130</v>
      </c>
      <c r="B131" s="4">
        <v>43600</v>
      </c>
      <c r="C131" s="1">
        <v>1061</v>
      </c>
      <c r="D131" t="s">
        <v>40</v>
      </c>
      <c r="E131" t="s">
        <v>39</v>
      </c>
      <c r="F131" t="s">
        <v>32</v>
      </c>
      <c r="G131" t="s">
        <v>33</v>
      </c>
      <c r="H131" t="s">
        <v>144</v>
      </c>
      <c r="I131" s="1">
        <v>2</v>
      </c>
      <c r="J131" t="s">
        <v>21</v>
      </c>
      <c r="K131" t="s">
        <v>22</v>
      </c>
      <c r="L131"/>
      <c r="M131">
        <v>200000</v>
      </c>
      <c r="N131">
        <v>10</v>
      </c>
      <c r="O131">
        <v>8</v>
      </c>
      <c r="P131">
        <v>7</v>
      </c>
      <c r="Q131">
        <f t="shared" ref="Q131:Q194" si="2">IF(O131&gt;P131,1,0)</f>
        <v>1</v>
      </c>
    </row>
    <row r="132" spans="1:17" x14ac:dyDescent="0.25">
      <c r="A132" s="1">
        <v>131</v>
      </c>
      <c r="B132" s="4">
        <v>43600</v>
      </c>
      <c r="C132" s="1">
        <v>1062</v>
      </c>
      <c r="D132" t="s">
        <v>41</v>
      </c>
      <c r="E132" t="s">
        <v>39</v>
      </c>
      <c r="F132" t="s">
        <v>32</v>
      </c>
      <c r="G132" t="s">
        <v>33</v>
      </c>
      <c r="H132" t="s">
        <v>144</v>
      </c>
      <c r="I132" s="1">
        <v>2</v>
      </c>
      <c r="J132" t="s">
        <v>21</v>
      </c>
      <c r="K132" t="s">
        <v>22</v>
      </c>
      <c r="L132"/>
      <c r="M132">
        <v>200000</v>
      </c>
      <c r="N132">
        <v>10</v>
      </c>
      <c r="O132">
        <v>6</v>
      </c>
      <c r="P132">
        <v>7</v>
      </c>
      <c r="Q132">
        <f t="shared" si="2"/>
        <v>0</v>
      </c>
    </row>
    <row r="133" spans="1:17" x14ac:dyDescent="0.25">
      <c r="A133" s="1">
        <v>132</v>
      </c>
      <c r="B133" s="4">
        <v>43600</v>
      </c>
      <c r="C133" s="1">
        <v>1063</v>
      </c>
      <c r="D133" t="s">
        <v>42</v>
      </c>
      <c r="E133" t="s">
        <v>39</v>
      </c>
      <c r="F133" t="s">
        <v>32</v>
      </c>
      <c r="G133" t="s">
        <v>33</v>
      </c>
      <c r="H133" t="s">
        <v>144</v>
      </c>
      <c r="I133" s="1">
        <v>2</v>
      </c>
      <c r="J133" t="s">
        <v>21</v>
      </c>
      <c r="K133" t="s">
        <v>22</v>
      </c>
      <c r="L133"/>
      <c r="M133">
        <v>200000</v>
      </c>
      <c r="N133">
        <v>10</v>
      </c>
      <c r="O133">
        <v>7</v>
      </c>
      <c r="P133">
        <v>7</v>
      </c>
      <c r="Q133">
        <f t="shared" si="2"/>
        <v>0</v>
      </c>
    </row>
    <row r="134" spans="1:17" x14ac:dyDescent="0.25">
      <c r="A134" s="1">
        <v>133</v>
      </c>
      <c r="B134" s="4">
        <v>43600</v>
      </c>
      <c r="C134" s="1">
        <v>1064</v>
      </c>
      <c r="D134" t="s">
        <v>86</v>
      </c>
      <c r="E134" t="s">
        <v>39</v>
      </c>
      <c r="F134" t="s">
        <v>32</v>
      </c>
      <c r="G134" t="s">
        <v>33</v>
      </c>
      <c r="H134" t="s">
        <v>144</v>
      </c>
      <c r="I134" s="1">
        <v>2</v>
      </c>
      <c r="J134" t="s">
        <v>21</v>
      </c>
      <c r="K134" t="s">
        <v>22</v>
      </c>
      <c r="L134"/>
      <c r="M134">
        <v>200000</v>
      </c>
      <c r="N134">
        <v>10</v>
      </c>
      <c r="O134">
        <v>8</v>
      </c>
      <c r="P134">
        <v>7</v>
      </c>
      <c r="Q134">
        <f t="shared" si="2"/>
        <v>1</v>
      </c>
    </row>
    <row r="135" spans="1:17" x14ac:dyDescent="0.25">
      <c r="A135" s="1">
        <v>134</v>
      </c>
      <c r="B135" s="4">
        <v>43600</v>
      </c>
      <c r="C135" s="1">
        <v>1078</v>
      </c>
      <c r="D135" t="s">
        <v>87</v>
      </c>
      <c r="E135" t="s">
        <v>43</v>
      </c>
      <c r="F135" t="s">
        <v>32</v>
      </c>
      <c r="G135" t="s">
        <v>33</v>
      </c>
      <c r="H135" t="s">
        <v>144</v>
      </c>
      <c r="I135" s="1">
        <v>2</v>
      </c>
      <c r="J135" t="s">
        <v>21</v>
      </c>
      <c r="K135" t="s">
        <v>22</v>
      </c>
      <c r="L135"/>
      <c r="M135">
        <v>200000</v>
      </c>
      <c r="N135">
        <v>10</v>
      </c>
      <c r="O135">
        <v>6</v>
      </c>
      <c r="P135">
        <v>7</v>
      </c>
      <c r="Q135">
        <f t="shared" si="2"/>
        <v>0</v>
      </c>
    </row>
    <row r="136" spans="1:17" x14ac:dyDescent="0.25">
      <c r="A136" s="1">
        <v>135</v>
      </c>
      <c r="B136" s="4">
        <v>43600</v>
      </c>
      <c r="C136" s="1">
        <v>1079</v>
      </c>
      <c r="D136" t="s">
        <v>88</v>
      </c>
      <c r="E136" t="s">
        <v>43</v>
      </c>
      <c r="F136" t="s">
        <v>32</v>
      </c>
      <c r="G136" t="s">
        <v>33</v>
      </c>
      <c r="H136" t="s">
        <v>144</v>
      </c>
      <c r="I136" s="1">
        <v>2</v>
      </c>
      <c r="J136" t="s">
        <v>21</v>
      </c>
      <c r="K136" t="s">
        <v>22</v>
      </c>
      <c r="L136"/>
      <c r="M136">
        <v>200000</v>
      </c>
      <c r="N136">
        <v>10</v>
      </c>
      <c r="O136">
        <v>9</v>
      </c>
      <c r="P136">
        <v>7</v>
      </c>
      <c r="Q136">
        <f t="shared" si="2"/>
        <v>1</v>
      </c>
    </row>
    <row r="137" spans="1:17" x14ac:dyDescent="0.25">
      <c r="A137" s="1">
        <v>136</v>
      </c>
      <c r="B137" s="4">
        <v>43600</v>
      </c>
      <c r="C137" s="1">
        <v>1080</v>
      </c>
      <c r="D137" t="s">
        <v>89</v>
      </c>
      <c r="E137" t="s">
        <v>43</v>
      </c>
      <c r="F137" t="s">
        <v>32</v>
      </c>
      <c r="G137" t="s">
        <v>33</v>
      </c>
      <c r="H137" t="s">
        <v>144</v>
      </c>
      <c r="I137" s="1">
        <v>2</v>
      </c>
      <c r="J137" t="s">
        <v>21</v>
      </c>
      <c r="K137" t="s">
        <v>22</v>
      </c>
      <c r="L137"/>
      <c r="M137">
        <v>200000</v>
      </c>
      <c r="N137">
        <v>10</v>
      </c>
      <c r="O137">
        <v>10</v>
      </c>
      <c r="P137">
        <v>7</v>
      </c>
      <c r="Q137">
        <f t="shared" si="2"/>
        <v>1</v>
      </c>
    </row>
    <row r="138" spans="1:17" x14ac:dyDescent="0.25">
      <c r="A138" s="1">
        <v>137</v>
      </c>
      <c r="B138" s="4">
        <v>43600</v>
      </c>
      <c r="C138" s="1">
        <v>1081</v>
      </c>
      <c r="D138" t="s">
        <v>38</v>
      </c>
      <c r="E138" t="s">
        <v>43</v>
      </c>
      <c r="F138" t="s">
        <v>32</v>
      </c>
      <c r="G138" t="s">
        <v>33</v>
      </c>
      <c r="H138" t="s">
        <v>144</v>
      </c>
      <c r="I138" s="1">
        <v>2</v>
      </c>
      <c r="J138" t="s">
        <v>21</v>
      </c>
      <c r="K138" t="s">
        <v>22</v>
      </c>
      <c r="L138"/>
      <c r="M138">
        <v>200000</v>
      </c>
      <c r="N138">
        <v>10</v>
      </c>
      <c r="O138">
        <v>6</v>
      </c>
      <c r="P138">
        <v>7</v>
      </c>
      <c r="Q138">
        <f t="shared" si="2"/>
        <v>0</v>
      </c>
    </row>
    <row r="139" spans="1:17" x14ac:dyDescent="0.25">
      <c r="A139" s="1">
        <v>138</v>
      </c>
      <c r="B139" s="4">
        <v>43600</v>
      </c>
      <c r="C139" s="1">
        <v>1082</v>
      </c>
      <c r="D139" t="s">
        <v>40</v>
      </c>
      <c r="E139" t="s">
        <v>43</v>
      </c>
      <c r="F139" t="s">
        <v>32</v>
      </c>
      <c r="G139" t="s">
        <v>33</v>
      </c>
      <c r="H139" t="s">
        <v>144</v>
      </c>
      <c r="I139" s="1">
        <v>2</v>
      </c>
      <c r="J139" t="s">
        <v>21</v>
      </c>
      <c r="K139" t="s">
        <v>22</v>
      </c>
      <c r="L139"/>
      <c r="M139">
        <v>200000</v>
      </c>
      <c r="N139">
        <v>10</v>
      </c>
      <c r="O139">
        <v>7</v>
      </c>
      <c r="P139">
        <v>7</v>
      </c>
      <c r="Q139">
        <f t="shared" si="2"/>
        <v>0</v>
      </c>
    </row>
    <row r="140" spans="1:17" x14ac:dyDescent="0.25">
      <c r="A140" s="1">
        <v>139</v>
      </c>
      <c r="B140" s="4">
        <v>43600</v>
      </c>
      <c r="C140" s="1">
        <v>1083</v>
      </c>
      <c r="D140" t="s">
        <v>44</v>
      </c>
      <c r="E140" t="s">
        <v>43</v>
      </c>
      <c r="F140" t="s">
        <v>32</v>
      </c>
      <c r="G140" t="s">
        <v>33</v>
      </c>
      <c r="H140" t="s">
        <v>144</v>
      </c>
      <c r="I140" s="1">
        <v>2</v>
      </c>
      <c r="J140" t="s">
        <v>21</v>
      </c>
      <c r="K140" t="s">
        <v>22</v>
      </c>
      <c r="L140"/>
      <c r="M140">
        <v>200000</v>
      </c>
      <c r="N140">
        <v>10</v>
      </c>
      <c r="O140">
        <v>9</v>
      </c>
      <c r="P140">
        <v>7</v>
      </c>
      <c r="Q140">
        <f t="shared" si="2"/>
        <v>1</v>
      </c>
    </row>
    <row r="141" spans="1:17" x14ac:dyDescent="0.25">
      <c r="A141" s="1">
        <v>140</v>
      </c>
      <c r="B141" s="4">
        <v>43600</v>
      </c>
      <c r="C141" s="1">
        <v>1084</v>
      </c>
      <c r="D141" t="s">
        <v>42</v>
      </c>
      <c r="E141" t="s">
        <v>43</v>
      </c>
      <c r="F141" t="s">
        <v>32</v>
      </c>
      <c r="G141" t="s">
        <v>33</v>
      </c>
      <c r="H141" t="s">
        <v>144</v>
      </c>
      <c r="I141" s="1">
        <v>2</v>
      </c>
      <c r="J141" t="s">
        <v>21</v>
      </c>
      <c r="K141" t="s">
        <v>22</v>
      </c>
      <c r="L141"/>
      <c r="M141">
        <v>200000</v>
      </c>
      <c r="N141">
        <v>10</v>
      </c>
      <c r="O141">
        <v>10</v>
      </c>
      <c r="P141">
        <v>7</v>
      </c>
      <c r="Q141">
        <f t="shared" si="2"/>
        <v>1</v>
      </c>
    </row>
    <row r="142" spans="1:17" x14ac:dyDescent="0.25">
      <c r="A142" s="1">
        <v>141</v>
      </c>
      <c r="B142" s="4">
        <v>43600</v>
      </c>
      <c r="C142" s="1">
        <v>1099</v>
      </c>
      <c r="D142" t="s">
        <v>90</v>
      </c>
      <c r="E142" t="s">
        <v>46</v>
      </c>
      <c r="F142" t="s">
        <v>32</v>
      </c>
      <c r="G142" t="s">
        <v>33</v>
      </c>
      <c r="H142" t="s">
        <v>144</v>
      </c>
      <c r="I142" s="1">
        <v>2</v>
      </c>
      <c r="J142" t="s">
        <v>21</v>
      </c>
      <c r="K142" t="s">
        <v>22</v>
      </c>
      <c r="L142"/>
      <c r="M142">
        <v>200000</v>
      </c>
      <c r="N142">
        <v>10</v>
      </c>
      <c r="O142">
        <v>8</v>
      </c>
      <c r="P142">
        <v>7</v>
      </c>
      <c r="Q142">
        <f t="shared" si="2"/>
        <v>1</v>
      </c>
    </row>
    <row r="143" spans="1:17" x14ac:dyDescent="0.25">
      <c r="A143" s="1">
        <v>142</v>
      </c>
      <c r="B143" s="4">
        <v>43600</v>
      </c>
      <c r="C143" s="1">
        <v>1100</v>
      </c>
      <c r="D143" t="s">
        <v>91</v>
      </c>
      <c r="E143" t="s">
        <v>46</v>
      </c>
      <c r="F143" t="s">
        <v>32</v>
      </c>
      <c r="G143" t="s">
        <v>33</v>
      </c>
      <c r="H143" t="s">
        <v>144</v>
      </c>
      <c r="I143" s="1">
        <v>2</v>
      </c>
      <c r="J143" t="s">
        <v>21</v>
      </c>
      <c r="K143" t="s">
        <v>22</v>
      </c>
      <c r="L143"/>
      <c r="M143">
        <v>200000</v>
      </c>
      <c r="N143">
        <v>10</v>
      </c>
      <c r="O143">
        <v>8</v>
      </c>
      <c r="P143">
        <v>7</v>
      </c>
      <c r="Q143">
        <f t="shared" si="2"/>
        <v>1</v>
      </c>
    </row>
    <row r="144" spans="1:17" x14ac:dyDescent="0.25">
      <c r="A144" s="1">
        <v>143</v>
      </c>
      <c r="B144" s="4">
        <v>43600</v>
      </c>
      <c r="C144" s="1">
        <v>1101</v>
      </c>
      <c r="D144" t="s">
        <v>45</v>
      </c>
      <c r="E144" t="s">
        <v>46</v>
      </c>
      <c r="F144" t="s">
        <v>32</v>
      </c>
      <c r="G144" t="s">
        <v>33</v>
      </c>
      <c r="H144" t="s">
        <v>144</v>
      </c>
      <c r="I144" s="1">
        <v>2</v>
      </c>
      <c r="J144" t="s">
        <v>21</v>
      </c>
      <c r="K144" t="s">
        <v>22</v>
      </c>
      <c r="L144"/>
      <c r="M144">
        <v>200000</v>
      </c>
      <c r="N144">
        <v>10</v>
      </c>
      <c r="O144">
        <v>9</v>
      </c>
      <c r="P144">
        <v>7</v>
      </c>
      <c r="Q144">
        <f t="shared" si="2"/>
        <v>1</v>
      </c>
    </row>
    <row r="145" spans="1:17" x14ac:dyDescent="0.25">
      <c r="A145" s="1">
        <v>144</v>
      </c>
      <c r="B145" s="4">
        <v>43600</v>
      </c>
      <c r="C145" s="1">
        <v>1102</v>
      </c>
      <c r="D145" t="s">
        <v>47</v>
      </c>
      <c r="E145" t="s">
        <v>46</v>
      </c>
      <c r="F145" t="s">
        <v>32</v>
      </c>
      <c r="G145" t="s">
        <v>33</v>
      </c>
      <c r="H145" t="s">
        <v>144</v>
      </c>
      <c r="I145" s="1">
        <v>2</v>
      </c>
      <c r="J145" t="s">
        <v>21</v>
      </c>
      <c r="K145" t="s">
        <v>22</v>
      </c>
      <c r="L145"/>
      <c r="M145">
        <v>200000</v>
      </c>
      <c r="N145">
        <v>10</v>
      </c>
      <c r="O145">
        <v>10</v>
      </c>
      <c r="P145">
        <v>7</v>
      </c>
      <c r="Q145">
        <f t="shared" si="2"/>
        <v>1</v>
      </c>
    </row>
    <row r="146" spans="1:17" x14ac:dyDescent="0.25">
      <c r="A146" s="1">
        <v>145</v>
      </c>
      <c r="B146" s="4">
        <v>43600</v>
      </c>
      <c r="C146" s="1">
        <v>1103</v>
      </c>
      <c r="D146" t="s">
        <v>48</v>
      </c>
      <c r="E146" t="s">
        <v>46</v>
      </c>
      <c r="F146" t="s">
        <v>32</v>
      </c>
      <c r="G146" t="s">
        <v>33</v>
      </c>
      <c r="H146" t="s">
        <v>144</v>
      </c>
      <c r="I146" s="1">
        <v>2</v>
      </c>
      <c r="J146" t="s">
        <v>21</v>
      </c>
      <c r="K146" t="s">
        <v>22</v>
      </c>
      <c r="L146"/>
      <c r="M146">
        <v>200000</v>
      </c>
      <c r="N146">
        <v>10</v>
      </c>
      <c r="O146">
        <v>7</v>
      </c>
      <c r="P146">
        <v>7</v>
      </c>
      <c r="Q146">
        <f t="shared" si="2"/>
        <v>0</v>
      </c>
    </row>
    <row r="147" spans="1:17" x14ac:dyDescent="0.25">
      <c r="A147" s="1">
        <v>146</v>
      </c>
      <c r="B147" s="4">
        <v>43600</v>
      </c>
      <c r="C147" s="1">
        <v>1104</v>
      </c>
      <c r="D147" t="s">
        <v>49</v>
      </c>
      <c r="E147" t="s">
        <v>46</v>
      </c>
      <c r="F147" t="s">
        <v>32</v>
      </c>
      <c r="G147" t="s">
        <v>33</v>
      </c>
      <c r="H147" t="s">
        <v>144</v>
      </c>
      <c r="I147" s="1">
        <v>2</v>
      </c>
      <c r="J147" t="s">
        <v>21</v>
      </c>
      <c r="K147" t="s">
        <v>22</v>
      </c>
      <c r="L147"/>
      <c r="M147">
        <v>200000</v>
      </c>
      <c r="N147">
        <v>10</v>
      </c>
      <c r="O147">
        <v>8</v>
      </c>
      <c r="P147">
        <v>7</v>
      </c>
      <c r="Q147">
        <f t="shared" si="2"/>
        <v>1</v>
      </c>
    </row>
    <row r="148" spans="1:17" x14ac:dyDescent="0.25">
      <c r="A148" s="1">
        <v>147</v>
      </c>
      <c r="B148" s="4">
        <v>43600</v>
      </c>
      <c r="C148" s="1">
        <v>1105</v>
      </c>
      <c r="D148" t="s">
        <v>92</v>
      </c>
      <c r="E148" t="s">
        <v>46</v>
      </c>
      <c r="F148" t="s">
        <v>32</v>
      </c>
      <c r="G148" t="s">
        <v>33</v>
      </c>
      <c r="H148" t="s">
        <v>144</v>
      </c>
      <c r="I148" s="1">
        <v>2</v>
      </c>
      <c r="J148" t="s">
        <v>21</v>
      </c>
      <c r="K148" t="s">
        <v>22</v>
      </c>
      <c r="L148"/>
      <c r="M148">
        <v>200000</v>
      </c>
      <c r="N148">
        <v>10</v>
      </c>
      <c r="O148">
        <v>9</v>
      </c>
      <c r="P148">
        <v>7</v>
      </c>
      <c r="Q148">
        <f t="shared" si="2"/>
        <v>1</v>
      </c>
    </row>
    <row r="149" spans="1:17" x14ac:dyDescent="0.25">
      <c r="A149" s="1">
        <v>148</v>
      </c>
      <c r="B149" s="4">
        <v>43636</v>
      </c>
      <c r="C149" s="1">
        <v>1002</v>
      </c>
      <c r="D149" t="s">
        <v>117</v>
      </c>
      <c r="E149" t="s">
        <v>17</v>
      </c>
      <c r="F149" t="s">
        <v>118</v>
      </c>
      <c r="G149" t="s">
        <v>119</v>
      </c>
      <c r="H149" t="s">
        <v>145</v>
      </c>
      <c r="I149" s="1">
        <v>3</v>
      </c>
      <c r="J149" t="s">
        <v>21</v>
      </c>
      <c r="K149" t="s">
        <v>55</v>
      </c>
      <c r="L149"/>
      <c r="M149">
        <v>1000000</v>
      </c>
      <c r="N149">
        <v>10</v>
      </c>
      <c r="O149">
        <v>8</v>
      </c>
      <c r="P149">
        <v>7</v>
      </c>
      <c r="Q149">
        <f t="shared" si="2"/>
        <v>1</v>
      </c>
    </row>
    <row r="150" spans="1:17" x14ac:dyDescent="0.25">
      <c r="A150" s="1">
        <v>149</v>
      </c>
      <c r="B150" s="4">
        <v>43636</v>
      </c>
      <c r="C150" s="1">
        <v>1005</v>
      </c>
      <c r="D150" t="s">
        <v>121</v>
      </c>
      <c r="E150" t="s">
        <v>17</v>
      </c>
      <c r="F150" t="s">
        <v>18</v>
      </c>
      <c r="G150" t="s">
        <v>122</v>
      </c>
      <c r="H150" t="s">
        <v>145</v>
      </c>
      <c r="I150" s="1">
        <v>3</v>
      </c>
      <c r="J150" t="s">
        <v>21</v>
      </c>
      <c r="K150" t="s">
        <v>55</v>
      </c>
      <c r="L150"/>
      <c r="M150">
        <v>1000000</v>
      </c>
      <c r="N150">
        <v>10</v>
      </c>
      <c r="O150">
        <v>6</v>
      </c>
      <c r="P150">
        <v>7</v>
      </c>
      <c r="Q150">
        <f t="shared" si="2"/>
        <v>0</v>
      </c>
    </row>
    <row r="151" spans="1:17" x14ac:dyDescent="0.25">
      <c r="A151" s="1">
        <v>150</v>
      </c>
      <c r="B151" s="4">
        <v>43636</v>
      </c>
      <c r="C151" s="1">
        <v>1010</v>
      </c>
      <c r="D151" t="s">
        <v>123</v>
      </c>
      <c r="E151" t="s">
        <v>17</v>
      </c>
      <c r="F151" t="s">
        <v>26</v>
      </c>
      <c r="G151" t="s">
        <v>124</v>
      </c>
      <c r="H151" t="s">
        <v>145</v>
      </c>
      <c r="I151" s="1">
        <v>3</v>
      </c>
      <c r="J151" t="s">
        <v>21</v>
      </c>
      <c r="K151" t="s">
        <v>55</v>
      </c>
      <c r="L151"/>
      <c r="M151">
        <v>1000000</v>
      </c>
      <c r="N151">
        <v>10</v>
      </c>
      <c r="O151">
        <v>7</v>
      </c>
      <c r="P151">
        <v>7</v>
      </c>
      <c r="Q151">
        <f t="shared" si="2"/>
        <v>0</v>
      </c>
    </row>
    <row r="152" spans="1:17" x14ac:dyDescent="0.25">
      <c r="A152" s="1">
        <v>151</v>
      </c>
      <c r="B152" s="4">
        <v>43636</v>
      </c>
      <c r="C152" s="1">
        <v>1011</v>
      </c>
      <c r="D152" t="s">
        <v>125</v>
      </c>
      <c r="E152" t="s">
        <v>17</v>
      </c>
      <c r="F152" t="s">
        <v>26</v>
      </c>
      <c r="G152" t="s">
        <v>126</v>
      </c>
      <c r="H152" t="s">
        <v>145</v>
      </c>
      <c r="I152" s="1">
        <v>3</v>
      </c>
      <c r="J152" t="s">
        <v>21</v>
      </c>
      <c r="K152" t="s">
        <v>55</v>
      </c>
      <c r="L152"/>
      <c r="M152">
        <v>1000000</v>
      </c>
      <c r="N152">
        <v>10</v>
      </c>
      <c r="O152">
        <v>5</v>
      </c>
      <c r="P152">
        <v>7</v>
      </c>
      <c r="Q152">
        <f t="shared" si="2"/>
        <v>0</v>
      </c>
    </row>
    <row r="153" spans="1:17" x14ac:dyDescent="0.25">
      <c r="A153" s="1">
        <v>152</v>
      </c>
      <c r="B153" s="4">
        <v>43636</v>
      </c>
      <c r="C153" s="1">
        <v>1022</v>
      </c>
      <c r="D153" t="s">
        <v>127</v>
      </c>
      <c r="E153" t="s">
        <v>17</v>
      </c>
      <c r="F153" t="s">
        <v>69</v>
      </c>
      <c r="G153" t="s">
        <v>128</v>
      </c>
      <c r="H153" t="s">
        <v>145</v>
      </c>
      <c r="I153" s="1">
        <v>3</v>
      </c>
      <c r="J153" t="s">
        <v>21</v>
      </c>
      <c r="K153" t="s">
        <v>55</v>
      </c>
      <c r="L153"/>
      <c r="M153">
        <v>1000000</v>
      </c>
      <c r="N153">
        <v>10</v>
      </c>
      <c r="O153">
        <v>7</v>
      </c>
      <c r="P153">
        <v>7</v>
      </c>
      <c r="Q153">
        <f t="shared" si="2"/>
        <v>0</v>
      </c>
    </row>
    <row r="154" spans="1:17" x14ac:dyDescent="0.25">
      <c r="A154" s="1">
        <v>153</v>
      </c>
      <c r="B154" s="4">
        <v>43636</v>
      </c>
      <c r="C154" s="1">
        <v>1031</v>
      </c>
      <c r="D154" t="s">
        <v>129</v>
      </c>
      <c r="E154" t="s">
        <v>31</v>
      </c>
      <c r="F154" t="s">
        <v>130</v>
      </c>
      <c r="G154" t="s">
        <v>131</v>
      </c>
      <c r="H154" t="s">
        <v>145</v>
      </c>
      <c r="I154" s="1">
        <v>3</v>
      </c>
      <c r="J154" t="s">
        <v>21</v>
      </c>
      <c r="K154" t="s">
        <v>55</v>
      </c>
      <c r="L154"/>
      <c r="M154">
        <v>1000000</v>
      </c>
      <c r="N154">
        <v>10</v>
      </c>
      <c r="O154">
        <v>8</v>
      </c>
      <c r="P154">
        <v>7</v>
      </c>
      <c r="Q154">
        <f t="shared" si="2"/>
        <v>1</v>
      </c>
    </row>
    <row r="155" spans="1:17" x14ac:dyDescent="0.25">
      <c r="A155" s="1">
        <v>154</v>
      </c>
      <c r="B155" s="4">
        <v>43636</v>
      </c>
      <c r="C155" s="1">
        <v>1032</v>
      </c>
      <c r="D155" t="s">
        <v>132</v>
      </c>
      <c r="E155" t="s">
        <v>31</v>
      </c>
      <c r="F155" t="s">
        <v>32</v>
      </c>
      <c r="G155" t="s">
        <v>133</v>
      </c>
      <c r="H155" t="s">
        <v>145</v>
      </c>
      <c r="I155" s="1">
        <v>3</v>
      </c>
      <c r="J155" t="s">
        <v>21</v>
      </c>
      <c r="K155" t="s">
        <v>55</v>
      </c>
      <c r="L155"/>
      <c r="M155">
        <v>1000000</v>
      </c>
      <c r="N155">
        <v>10</v>
      </c>
      <c r="O155">
        <v>6</v>
      </c>
      <c r="P155">
        <v>7</v>
      </c>
      <c r="Q155">
        <f t="shared" si="2"/>
        <v>0</v>
      </c>
    </row>
    <row r="156" spans="1:17" x14ac:dyDescent="0.25">
      <c r="A156" s="1">
        <v>155</v>
      </c>
      <c r="B156" s="4">
        <v>43636</v>
      </c>
      <c r="C156" s="1">
        <v>1033</v>
      </c>
      <c r="D156" t="s">
        <v>134</v>
      </c>
      <c r="E156" t="s">
        <v>31</v>
      </c>
      <c r="F156" t="s">
        <v>32</v>
      </c>
      <c r="G156" t="s">
        <v>135</v>
      </c>
      <c r="H156" t="s">
        <v>145</v>
      </c>
      <c r="I156" s="1">
        <v>3</v>
      </c>
      <c r="J156" t="s">
        <v>21</v>
      </c>
      <c r="K156" t="s">
        <v>55</v>
      </c>
      <c r="L156"/>
      <c r="M156">
        <v>1000000</v>
      </c>
      <c r="N156">
        <v>10</v>
      </c>
      <c r="O156">
        <v>9</v>
      </c>
      <c r="P156">
        <v>7</v>
      </c>
      <c r="Q156">
        <f t="shared" si="2"/>
        <v>1</v>
      </c>
    </row>
    <row r="157" spans="1:17" x14ac:dyDescent="0.25">
      <c r="A157" s="1">
        <v>156</v>
      </c>
      <c r="B157" s="4">
        <v>43636</v>
      </c>
      <c r="C157" s="1">
        <v>1057</v>
      </c>
      <c r="D157" t="s">
        <v>87</v>
      </c>
      <c r="E157" t="s">
        <v>39</v>
      </c>
      <c r="F157" t="s">
        <v>130</v>
      </c>
      <c r="G157" t="s">
        <v>136</v>
      </c>
      <c r="H157" t="s">
        <v>145</v>
      </c>
      <c r="I157" s="1">
        <v>3</v>
      </c>
      <c r="J157" t="s">
        <v>21</v>
      </c>
      <c r="K157" t="s">
        <v>55</v>
      </c>
      <c r="L157"/>
      <c r="M157">
        <v>1000000</v>
      </c>
      <c r="N157">
        <v>10</v>
      </c>
      <c r="O157">
        <v>7</v>
      </c>
      <c r="P157">
        <v>7</v>
      </c>
      <c r="Q157">
        <f t="shared" si="2"/>
        <v>0</v>
      </c>
    </row>
    <row r="158" spans="1:17" x14ac:dyDescent="0.25">
      <c r="A158" s="1">
        <v>157</v>
      </c>
      <c r="B158" s="4">
        <v>43636</v>
      </c>
      <c r="C158" s="1">
        <v>1058</v>
      </c>
      <c r="D158" t="s">
        <v>88</v>
      </c>
      <c r="E158" t="s">
        <v>39</v>
      </c>
      <c r="F158" t="s">
        <v>32</v>
      </c>
      <c r="G158" t="s">
        <v>133</v>
      </c>
      <c r="H158" t="s">
        <v>145</v>
      </c>
      <c r="I158" s="1">
        <v>3</v>
      </c>
      <c r="J158" t="s">
        <v>21</v>
      </c>
      <c r="K158" t="s">
        <v>55</v>
      </c>
      <c r="L158"/>
      <c r="M158">
        <v>1000000</v>
      </c>
      <c r="N158">
        <v>10</v>
      </c>
      <c r="O158">
        <v>8</v>
      </c>
      <c r="P158">
        <v>7</v>
      </c>
      <c r="Q158">
        <f t="shared" si="2"/>
        <v>1</v>
      </c>
    </row>
    <row r="159" spans="1:17" x14ac:dyDescent="0.25">
      <c r="A159" s="1">
        <v>158</v>
      </c>
      <c r="B159" s="4">
        <v>43636</v>
      </c>
      <c r="C159" s="1">
        <v>1059</v>
      </c>
      <c r="D159" t="s">
        <v>137</v>
      </c>
      <c r="E159" t="s">
        <v>39</v>
      </c>
      <c r="F159" t="s">
        <v>32</v>
      </c>
      <c r="G159" t="s">
        <v>135</v>
      </c>
      <c r="H159" t="s">
        <v>145</v>
      </c>
      <c r="I159" s="1">
        <v>3</v>
      </c>
      <c r="J159" t="s">
        <v>21</v>
      </c>
      <c r="K159" t="s">
        <v>55</v>
      </c>
      <c r="L159"/>
      <c r="M159">
        <v>1000000</v>
      </c>
      <c r="N159">
        <v>10</v>
      </c>
      <c r="O159">
        <v>6</v>
      </c>
      <c r="P159">
        <v>7</v>
      </c>
      <c r="Q159">
        <f t="shared" si="2"/>
        <v>0</v>
      </c>
    </row>
    <row r="160" spans="1:17" x14ac:dyDescent="0.25">
      <c r="A160" s="1">
        <v>159</v>
      </c>
      <c r="B160" s="4">
        <v>43636</v>
      </c>
      <c r="C160" s="1">
        <v>1075</v>
      </c>
      <c r="D160" t="s">
        <v>138</v>
      </c>
      <c r="E160" t="s">
        <v>43</v>
      </c>
      <c r="F160" t="s">
        <v>130</v>
      </c>
      <c r="G160" t="s">
        <v>131</v>
      </c>
      <c r="H160" t="s">
        <v>145</v>
      </c>
      <c r="I160" s="1">
        <v>3</v>
      </c>
      <c r="J160" t="s">
        <v>21</v>
      </c>
      <c r="K160" t="s">
        <v>55</v>
      </c>
      <c r="L160"/>
      <c r="M160">
        <v>1000000</v>
      </c>
      <c r="N160">
        <v>10</v>
      </c>
      <c r="O160">
        <v>5</v>
      </c>
      <c r="P160">
        <v>7</v>
      </c>
      <c r="Q160">
        <f t="shared" si="2"/>
        <v>0</v>
      </c>
    </row>
    <row r="161" spans="1:17" x14ac:dyDescent="0.25">
      <c r="A161" s="1">
        <v>160</v>
      </c>
      <c r="B161" s="4">
        <v>43636</v>
      </c>
      <c r="C161" s="1">
        <v>1076</v>
      </c>
      <c r="D161" t="s">
        <v>139</v>
      </c>
      <c r="E161" t="s">
        <v>43</v>
      </c>
      <c r="F161" t="s">
        <v>32</v>
      </c>
      <c r="G161" t="s">
        <v>133</v>
      </c>
      <c r="H161" t="s">
        <v>145</v>
      </c>
      <c r="I161" s="1">
        <v>3</v>
      </c>
      <c r="J161" t="s">
        <v>21</v>
      </c>
      <c r="K161" t="s">
        <v>55</v>
      </c>
      <c r="L161"/>
      <c r="M161">
        <v>1000000</v>
      </c>
      <c r="N161">
        <v>10</v>
      </c>
      <c r="O161">
        <v>8</v>
      </c>
      <c r="P161">
        <v>7</v>
      </c>
      <c r="Q161">
        <f t="shared" si="2"/>
        <v>1</v>
      </c>
    </row>
    <row r="162" spans="1:17" x14ac:dyDescent="0.25">
      <c r="A162" s="1">
        <v>161</v>
      </c>
      <c r="B162" s="4">
        <v>43636</v>
      </c>
      <c r="C162" s="1">
        <v>1077</v>
      </c>
      <c r="D162" t="s">
        <v>140</v>
      </c>
      <c r="E162" t="s">
        <v>43</v>
      </c>
      <c r="F162" t="s">
        <v>32</v>
      </c>
      <c r="G162" t="s">
        <v>135</v>
      </c>
      <c r="H162" t="s">
        <v>145</v>
      </c>
      <c r="I162" s="1">
        <v>3</v>
      </c>
      <c r="J162" t="s">
        <v>21</v>
      </c>
      <c r="K162" t="s">
        <v>55</v>
      </c>
      <c r="L162"/>
      <c r="M162">
        <v>1000000</v>
      </c>
      <c r="N162">
        <v>10</v>
      </c>
      <c r="O162">
        <v>9</v>
      </c>
      <c r="P162">
        <v>7</v>
      </c>
      <c r="Q162">
        <f t="shared" si="2"/>
        <v>1</v>
      </c>
    </row>
    <row r="163" spans="1:17" x14ac:dyDescent="0.25">
      <c r="A163" s="1">
        <v>162</v>
      </c>
      <c r="B163" s="4">
        <v>43636</v>
      </c>
      <c r="C163" s="1">
        <v>1096</v>
      </c>
      <c r="D163" t="s">
        <v>141</v>
      </c>
      <c r="E163" t="s">
        <v>46</v>
      </c>
      <c r="F163" t="s">
        <v>130</v>
      </c>
      <c r="G163" t="s">
        <v>131</v>
      </c>
      <c r="H163" t="s">
        <v>145</v>
      </c>
      <c r="I163" s="1">
        <v>3</v>
      </c>
      <c r="J163" t="s">
        <v>21</v>
      </c>
      <c r="K163" t="s">
        <v>55</v>
      </c>
      <c r="L163"/>
      <c r="M163">
        <v>1000000</v>
      </c>
      <c r="N163">
        <v>10</v>
      </c>
      <c r="O163">
        <v>5</v>
      </c>
      <c r="P163">
        <v>7</v>
      </c>
      <c r="Q163">
        <f t="shared" si="2"/>
        <v>0</v>
      </c>
    </row>
    <row r="164" spans="1:17" x14ac:dyDescent="0.25">
      <c r="A164" s="1">
        <v>163</v>
      </c>
      <c r="B164" s="4">
        <v>43636</v>
      </c>
      <c r="C164" s="1">
        <v>1097</v>
      </c>
      <c r="D164" t="s">
        <v>142</v>
      </c>
      <c r="E164" t="s">
        <v>46</v>
      </c>
      <c r="F164" t="s">
        <v>32</v>
      </c>
      <c r="G164" t="s">
        <v>133</v>
      </c>
      <c r="H164" t="s">
        <v>145</v>
      </c>
      <c r="I164" s="1">
        <v>3</v>
      </c>
      <c r="J164" t="s">
        <v>21</v>
      </c>
      <c r="K164" t="s">
        <v>55</v>
      </c>
      <c r="L164"/>
      <c r="M164">
        <v>1000000</v>
      </c>
      <c r="N164">
        <v>10</v>
      </c>
      <c r="O164">
        <v>8</v>
      </c>
      <c r="P164">
        <v>7</v>
      </c>
      <c r="Q164">
        <f t="shared" si="2"/>
        <v>1</v>
      </c>
    </row>
    <row r="165" spans="1:17" x14ac:dyDescent="0.25">
      <c r="A165" s="1">
        <v>164</v>
      </c>
      <c r="B165" s="4">
        <v>43636</v>
      </c>
      <c r="C165" s="1">
        <v>1098</v>
      </c>
      <c r="D165" t="s">
        <v>143</v>
      </c>
      <c r="E165" t="s">
        <v>46</v>
      </c>
      <c r="F165" t="s">
        <v>32</v>
      </c>
      <c r="G165" t="s">
        <v>135</v>
      </c>
      <c r="H165" t="s">
        <v>145</v>
      </c>
      <c r="I165" s="1">
        <v>3</v>
      </c>
      <c r="J165" t="s">
        <v>21</v>
      </c>
      <c r="K165" t="s">
        <v>55</v>
      </c>
      <c r="L165"/>
      <c r="M165">
        <v>1000000</v>
      </c>
      <c r="N165">
        <v>10</v>
      </c>
      <c r="O165">
        <v>7</v>
      </c>
      <c r="P165">
        <v>7</v>
      </c>
      <c r="Q165">
        <f t="shared" si="2"/>
        <v>0</v>
      </c>
    </row>
    <row r="166" spans="1:17" x14ac:dyDescent="0.25">
      <c r="A166" s="1">
        <v>165</v>
      </c>
      <c r="B166" s="4">
        <v>43661</v>
      </c>
      <c r="C166" s="1">
        <v>1005</v>
      </c>
      <c r="D166" t="s">
        <v>121</v>
      </c>
      <c r="E166" t="s">
        <v>17</v>
      </c>
      <c r="F166" t="s">
        <v>18</v>
      </c>
      <c r="G166" t="s">
        <v>122</v>
      </c>
      <c r="H166" t="s">
        <v>146</v>
      </c>
      <c r="I166" s="1">
        <v>3</v>
      </c>
      <c r="J166" t="s">
        <v>21</v>
      </c>
      <c r="K166" t="s">
        <v>22</v>
      </c>
      <c r="L166"/>
      <c r="M166">
        <v>100000</v>
      </c>
      <c r="N166">
        <v>10</v>
      </c>
      <c r="O166">
        <v>7</v>
      </c>
      <c r="P166">
        <v>7</v>
      </c>
      <c r="Q166">
        <f t="shared" si="2"/>
        <v>0</v>
      </c>
    </row>
    <row r="167" spans="1:17" x14ac:dyDescent="0.25">
      <c r="A167" s="1">
        <v>166</v>
      </c>
      <c r="B167" s="4">
        <v>43661</v>
      </c>
      <c r="C167" s="1">
        <v>1006</v>
      </c>
      <c r="D167" t="s">
        <v>16</v>
      </c>
      <c r="E167" t="s">
        <v>17</v>
      </c>
      <c r="F167" t="s">
        <v>18</v>
      </c>
      <c r="G167" t="s">
        <v>19</v>
      </c>
      <c r="H167" t="s">
        <v>146</v>
      </c>
      <c r="I167" s="1">
        <v>3</v>
      </c>
      <c r="J167" t="s">
        <v>21</v>
      </c>
      <c r="K167" t="s">
        <v>22</v>
      </c>
      <c r="L167"/>
      <c r="M167">
        <v>100000</v>
      </c>
      <c r="N167">
        <v>10</v>
      </c>
      <c r="O167">
        <v>7</v>
      </c>
      <c r="P167">
        <v>7</v>
      </c>
      <c r="Q167">
        <f t="shared" si="2"/>
        <v>0</v>
      </c>
    </row>
    <row r="168" spans="1:17" x14ac:dyDescent="0.25">
      <c r="A168" s="1">
        <v>167</v>
      </c>
      <c r="B168" s="4">
        <v>43661</v>
      </c>
      <c r="C168" s="1">
        <v>1007</v>
      </c>
      <c r="D168" t="s">
        <v>23</v>
      </c>
      <c r="E168" t="s">
        <v>17</v>
      </c>
      <c r="F168" t="s">
        <v>18</v>
      </c>
      <c r="G168" t="s">
        <v>19</v>
      </c>
      <c r="H168" t="s">
        <v>146</v>
      </c>
      <c r="I168" s="1">
        <v>3</v>
      </c>
      <c r="J168" t="s">
        <v>21</v>
      </c>
      <c r="K168" t="s">
        <v>22</v>
      </c>
      <c r="L168"/>
      <c r="M168">
        <v>100000</v>
      </c>
      <c r="N168">
        <v>10</v>
      </c>
      <c r="O168">
        <v>8</v>
      </c>
      <c r="P168">
        <v>7</v>
      </c>
      <c r="Q168">
        <f t="shared" si="2"/>
        <v>1</v>
      </c>
    </row>
    <row r="169" spans="1:17" x14ac:dyDescent="0.25">
      <c r="A169" s="1">
        <v>168</v>
      </c>
      <c r="B169" s="4">
        <v>43661</v>
      </c>
      <c r="C169" s="1">
        <v>1008</v>
      </c>
      <c r="D169" t="s">
        <v>24</v>
      </c>
      <c r="E169" t="s">
        <v>17</v>
      </c>
      <c r="F169" t="s">
        <v>18</v>
      </c>
      <c r="G169" t="s">
        <v>19</v>
      </c>
      <c r="H169" t="s">
        <v>146</v>
      </c>
      <c r="I169" s="1">
        <v>3</v>
      </c>
      <c r="J169" t="s">
        <v>21</v>
      </c>
      <c r="K169" t="s">
        <v>22</v>
      </c>
      <c r="L169"/>
      <c r="M169">
        <v>100000</v>
      </c>
      <c r="N169">
        <v>10</v>
      </c>
      <c r="O169">
        <v>6</v>
      </c>
      <c r="P169">
        <v>7</v>
      </c>
      <c r="Q169">
        <f t="shared" si="2"/>
        <v>0</v>
      </c>
    </row>
    <row r="170" spans="1:17" x14ac:dyDescent="0.25">
      <c r="A170" s="1">
        <v>169</v>
      </c>
      <c r="B170" s="4">
        <v>43661</v>
      </c>
      <c r="C170" s="1">
        <v>1009</v>
      </c>
      <c r="D170" t="s">
        <v>147</v>
      </c>
      <c r="E170" t="s">
        <v>17</v>
      </c>
      <c r="F170" t="s">
        <v>18</v>
      </c>
      <c r="G170" t="s">
        <v>19</v>
      </c>
      <c r="H170" t="s">
        <v>146</v>
      </c>
      <c r="I170" s="1">
        <v>3</v>
      </c>
      <c r="J170" t="s">
        <v>21</v>
      </c>
      <c r="K170" t="s">
        <v>22</v>
      </c>
      <c r="L170"/>
      <c r="M170">
        <v>100000</v>
      </c>
      <c r="N170">
        <v>10</v>
      </c>
      <c r="O170">
        <v>7</v>
      </c>
      <c r="P170">
        <v>7</v>
      </c>
      <c r="Q170">
        <f t="shared" si="2"/>
        <v>0</v>
      </c>
    </row>
    <row r="171" spans="1:17" x14ac:dyDescent="0.25">
      <c r="A171" s="1">
        <v>170</v>
      </c>
      <c r="B171" s="4">
        <v>43661</v>
      </c>
      <c r="C171" s="1">
        <v>1010</v>
      </c>
      <c r="D171" t="s">
        <v>123</v>
      </c>
      <c r="E171" t="s">
        <v>17</v>
      </c>
      <c r="F171" t="s">
        <v>26</v>
      </c>
      <c r="G171" t="s">
        <v>124</v>
      </c>
      <c r="H171" t="s">
        <v>146</v>
      </c>
      <c r="I171" s="1">
        <v>3</v>
      </c>
      <c r="J171" t="s">
        <v>21</v>
      </c>
      <c r="K171" t="s">
        <v>22</v>
      </c>
      <c r="L171"/>
      <c r="M171">
        <v>100000</v>
      </c>
      <c r="N171">
        <v>10</v>
      </c>
      <c r="O171">
        <v>8</v>
      </c>
      <c r="P171">
        <v>7</v>
      </c>
      <c r="Q171">
        <f t="shared" si="2"/>
        <v>1</v>
      </c>
    </row>
    <row r="172" spans="1:17" x14ac:dyDescent="0.25">
      <c r="A172" s="1">
        <v>171</v>
      </c>
      <c r="B172" s="4">
        <v>43661</v>
      </c>
      <c r="C172" s="1">
        <v>1011</v>
      </c>
      <c r="D172" t="s">
        <v>125</v>
      </c>
      <c r="E172" t="s">
        <v>17</v>
      </c>
      <c r="F172" t="s">
        <v>26</v>
      </c>
      <c r="G172" t="s">
        <v>126</v>
      </c>
      <c r="H172" t="s">
        <v>146</v>
      </c>
      <c r="I172" s="1">
        <v>3</v>
      </c>
      <c r="J172" t="s">
        <v>21</v>
      </c>
      <c r="K172" t="s">
        <v>22</v>
      </c>
      <c r="L172"/>
      <c r="M172">
        <v>100000</v>
      </c>
      <c r="N172">
        <v>10</v>
      </c>
      <c r="O172">
        <v>6</v>
      </c>
      <c r="P172">
        <v>7</v>
      </c>
      <c r="Q172">
        <f t="shared" si="2"/>
        <v>0</v>
      </c>
    </row>
    <row r="173" spans="1:17" x14ac:dyDescent="0.25">
      <c r="A173" s="1">
        <v>172</v>
      </c>
      <c r="B173" s="4">
        <v>43661</v>
      </c>
      <c r="C173" s="1">
        <v>1012</v>
      </c>
      <c r="D173" t="s">
        <v>25</v>
      </c>
      <c r="E173" t="s">
        <v>17</v>
      </c>
      <c r="F173" t="s">
        <v>26</v>
      </c>
      <c r="G173" t="s">
        <v>27</v>
      </c>
      <c r="H173" t="s">
        <v>146</v>
      </c>
      <c r="I173" s="1">
        <v>3</v>
      </c>
      <c r="J173" t="s">
        <v>21</v>
      </c>
      <c r="K173" t="s">
        <v>22</v>
      </c>
      <c r="L173"/>
      <c r="M173">
        <v>100000</v>
      </c>
      <c r="N173">
        <v>10</v>
      </c>
      <c r="O173">
        <v>7</v>
      </c>
      <c r="P173">
        <v>7</v>
      </c>
      <c r="Q173">
        <f t="shared" si="2"/>
        <v>0</v>
      </c>
    </row>
    <row r="174" spans="1:17" x14ac:dyDescent="0.25">
      <c r="A174" s="1">
        <v>173</v>
      </c>
      <c r="B174" s="4">
        <v>43661</v>
      </c>
      <c r="C174" s="1">
        <v>1013</v>
      </c>
      <c r="D174" t="s">
        <v>28</v>
      </c>
      <c r="E174" t="s">
        <v>17</v>
      </c>
      <c r="F174" t="s">
        <v>26</v>
      </c>
      <c r="G174" t="s">
        <v>27</v>
      </c>
      <c r="H174" t="s">
        <v>146</v>
      </c>
      <c r="I174" s="1">
        <v>3</v>
      </c>
      <c r="J174" t="s">
        <v>21</v>
      </c>
      <c r="K174" t="s">
        <v>22</v>
      </c>
      <c r="L174"/>
      <c r="M174">
        <v>100000</v>
      </c>
      <c r="N174">
        <v>10</v>
      </c>
      <c r="O174">
        <v>8</v>
      </c>
      <c r="P174">
        <v>7</v>
      </c>
      <c r="Q174">
        <f t="shared" si="2"/>
        <v>1</v>
      </c>
    </row>
    <row r="175" spans="1:17" x14ac:dyDescent="0.25">
      <c r="A175" s="1">
        <v>174</v>
      </c>
      <c r="B175" s="4">
        <v>43661</v>
      </c>
      <c r="C175" s="1">
        <v>1014</v>
      </c>
      <c r="D175" t="s">
        <v>29</v>
      </c>
      <c r="E175" t="s">
        <v>17</v>
      </c>
      <c r="F175" t="s">
        <v>26</v>
      </c>
      <c r="G175" t="s">
        <v>27</v>
      </c>
      <c r="H175" t="s">
        <v>146</v>
      </c>
      <c r="I175" s="1">
        <v>3</v>
      </c>
      <c r="J175" t="s">
        <v>21</v>
      </c>
      <c r="K175" t="s">
        <v>22</v>
      </c>
      <c r="L175"/>
      <c r="M175">
        <v>100000</v>
      </c>
      <c r="N175">
        <v>10</v>
      </c>
      <c r="O175">
        <v>8</v>
      </c>
      <c r="P175">
        <v>7</v>
      </c>
      <c r="Q175">
        <f t="shared" si="2"/>
        <v>1</v>
      </c>
    </row>
    <row r="176" spans="1:17" x14ac:dyDescent="0.25">
      <c r="A176" s="1">
        <v>175</v>
      </c>
      <c r="B176" s="4">
        <v>43661</v>
      </c>
      <c r="C176" s="1">
        <v>1015</v>
      </c>
      <c r="D176" t="s">
        <v>148</v>
      </c>
      <c r="E176" t="s">
        <v>17</v>
      </c>
      <c r="F176" t="s">
        <v>26</v>
      </c>
      <c r="G176" t="s">
        <v>149</v>
      </c>
      <c r="H176" t="s">
        <v>146</v>
      </c>
      <c r="I176" s="1">
        <v>3</v>
      </c>
      <c r="J176" t="s">
        <v>21</v>
      </c>
      <c r="K176" t="s">
        <v>22</v>
      </c>
      <c r="L176"/>
      <c r="M176">
        <v>100000</v>
      </c>
      <c r="N176">
        <v>10</v>
      </c>
      <c r="O176">
        <v>7</v>
      </c>
      <c r="P176">
        <v>7</v>
      </c>
      <c r="Q176">
        <f t="shared" si="2"/>
        <v>0</v>
      </c>
    </row>
    <row r="177" spans="1:17" x14ac:dyDescent="0.25">
      <c r="A177" s="1">
        <v>176</v>
      </c>
      <c r="B177" s="4">
        <v>43661</v>
      </c>
      <c r="C177" s="1">
        <v>1016</v>
      </c>
      <c r="D177" t="s">
        <v>150</v>
      </c>
      <c r="E177" t="s">
        <v>17</v>
      </c>
      <c r="F177" t="s">
        <v>26</v>
      </c>
      <c r="G177" t="s">
        <v>57</v>
      </c>
      <c r="H177" t="s">
        <v>146</v>
      </c>
      <c r="I177" s="1">
        <v>3</v>
      </c>
      <c r="J177" t="s">
        <v>21</v>
      </c>
      <c r="K177" t="s">
        <v>22</v>
      </c>
      <c r="L177"/>
      <c r="M177">
        <v>100000</v>
      </c>
      <c r="N177">
        <v>10</v>
      </c>
      <c r="O177">
        <v>6</v>
      </c>
      <c r="P177">
        <v>7</v>
      </c>
      <c r="Q177">
        <f t="shared" si="2"/>
        <v>0</v>
      </c>
    </row>
    <row r="178" spans="1:17" x14ac:dyDescent="0.25">
      <c r="A178" s="1">
        <v>177</v>
      </c>
      <c r="B178" s="4">
        <v>43661</v>
      </c>
      <c r="C178" s="1">
        <v>1017</v>
      </c>
      <c r="D178" t="s">
        <v>151</v>
      </c>
      <c r="E178" t="s">
        <v>17</v>
      </c>
      <c r="F178" t="s">
        <v>26</v>
      </c>
      <c r="G178" t="s">
        <v>57</v>
      </c>
      <c r="H178" t="s">
        <v>146</v>
      </c>
      <c r="I178" s="1">
        <v>3</v>
      </c>
      <c r="J178" t="s">
        <v>21</v>
      </c>
      <c r="K178" t="s">
        <v>22</v>
      </c>
      <c r="L178"/>
      <c r="M178">
        <v>100000</v>
      </c>
      <c r="N178">
        <v>10</v>
      </c>
      <c r="O178">
        <v>8</v>
      </c>
      <c r="P178">
        <v>7</v>
      </c>
      <c r="Q178">
        <f t="shared" si="2"/>
        <v>1</v>
      </c>
    </row>
    <row r="179" spans="1:17" x14ac:dyDescent="0.25">
      <c r="A179" s="1">
        <v>178</v>
      </c>
      <c r="B179" s="4">
        <v>43685</v>
      </c>
      <c r="C179" s="1">
        <v>1003</v>
      </c>
      <c r="D179" t="s">
        <v>152</v>
      </c>
      <c r="E179" t="s">
        <v>17</v>
      </c>
      <c r="F179" t="s">
        <v>118</v>
      </c>
      <c r="G179" t="s">
        <v>153</v>
      </c>
      <c r="H179" t="s">
        <v>154</v>
      </c>
      <c r="I179" s="1">
        <v>3</v>
      </c>
      <c r="J179" t="s">
        <v>21</v>
      </c>
      <c r="K179" t="s">
        <v>22</v>
      </c>
      <c r="L179"/>
      <c r="M179">
        <v>100000</v>
      </c>
      <c r="N179">
        <v>10</v>
      </c>
      <c r="O179">
        <v>8</v>
      </c>
      <c r="P179">
        <v>7</v>
      </c>
      <c r="Q179">
        <f t="shared" si="2"/>
        <v>1</v>
      </c>
    </row>
    <row r="180" spans="1:17" x14ac:dyDescent="0.25">
      <c r="A180" s="1">
        <v>179</v>
      </c>
      <c r="B180" s="4">
        <v>43685</v>
      </c>
      <c r="C180" s="1">
        <v>1004</v>
      </c>
      <c r="D180" t="s">
        <v>155</v>
      </c>
      <c r="E180" t="s">
        <v>17</v>
      </c>
      <c r="F180" t="s">
        <v>118</v>
      </c>
      <c r="G180" t="s">
        <v>156</v>
      </c>
      <c r="H180" t="s">
        <v>154</v>
      </c>
      <c r="I180" s="1">
        <v>3</v>
      </c>
      <c r="J180" t="s">
        <v>21</v>
      </c>
      <c r="K180" t="s">
        <v>22</v>
      </c>
      <c r="L180"/>
      <c r="M180">
        <v>100000</v>
      </c>
      <c r="N180">
        <v>10</v>
      </c>
      <c r="O180">
        <v>9</v>
      </c>
      <c r="P180">
        <v>7</v>
      </c>
      <c r="Q180">
        <f t="shared" si="2"/>
        <v>1</v>
      </c>
    </row>
    <row r="181" spans="1:17" x14ac:dyDescent="0.25">
      <c r="A181" s="1">
        <v>180</v>
      </c>
      <c r="B181" s="4">
        <v>43685</v>
      </c>
      <c r="C181" s="1">
        <v>1005</v>
      </c>
      <c r="D181" t="s">
        <v>121</v>
      </c>
      <c r="E181" t="s">
        <v>17</v>
      </c>
      <c r="F181" t="s">
        <v>18</v>
      </c>
      <c r="G181" t="s">
        <v>122</v>
      </c>
      <c r="H181" t="s">
        <v>154</v>
      </c>
      <c r="I181" s="1">
        <v>3</v>
      </c>
      <c r="J181" t="s">
        <v>21</v>
      </c>
      <c r="K181" t="s">
        <v>22</v>
      </c>
      <c r="L181"/>
      <c r="M181">
        <v>100000</v>
      </c>
      <c r="N181">
        <v>10</v>
      </c>
      <c r="O181">
        <v>10</v>
      </c>
      <c r="P181">
        <v>7</v>
      </c>
      <c r="Q181">
        <f t="shared" si="2"/>
        <v>1</v>
      </c>
    </row>
    <row r="182" spans="1:17" x14ac:dyDescent="0.25">
      <c r="A182" s="1">
        <v>181</v>
      </c>
      <c r="B182" s="4">
        <v>43685</v>
      </c>
      <c r="C182" s="1">
        <v>1006</v>
      </c>
      <c r="D182" t="s">
        <v>16</v>
      </c>
      <c r="E182" t="s">
        <v>17</v>
      </c>
      <c r="F182" t="s">
        <v>18</v>
      </c>
      <c r="G182" t="s">
        <v>19</v>
      </c>
      <c r="H182" t="s">
        <v>154</v>
      </c>
      <c r="I182" s="1">
        <v>3</v>
      </c>
      <c r="J182" t="s">
        <v>21</v>
      </c>
      <c r="K182" t="s">
        <v>22</v>
      </c>
      <c r="L182"/>
      <c r="M182">
        <v>100000</v>
      </c>
      <c r="N182">
        <v>10</v>
      </c>
      <c r="O182">
        <v>7</v>
      </c>
      <c r="P182">
        <v>7</v>
      </c>
      <c r="Q182">
        <f t="shared" si="2"/>
        <v>0</v>
      </c>
    </row>
    <row r="183" spans="1:17" x14ac:dyDescent="0.25">
      <c r="A183" s="1">
        <v>182</v>
      </c>
      <c r="B183" s="4">
        <v>43685</v>
      </c>
      <c r="C183" s="1">
        <v>1007</v>
      </c>
      <c r="D183" t="s">
        <v>23</v>
      </c>
      <c r="E183" t="s">
        <v>17</v>
      </c>
      <c r="F183" t="s">
        <v>18</v>
      </c>
      <c r="G183" t="s">
        <v>19</v>
      </c>
      <c r="H183" t="s">
        <v>154</v>
      </c>
      <c r="I183" s="1">
        <v>3</v>
      </c>
      <c r="J183" t="s">
        <v>21</v>
      </c>
      <c r="K183" t="s">
        <v>22</v>
      </c>
      <c r="L183"/>
      <c r="M183">
        <v>100000</v>
      </c>
      <c r="N183">
        <v>10</v>
      </c>
      <c r="O183">
        <v>8</v>
      </c>
      <c r="P183">
        <v>7</v>
      </c>
      <c r="Q183">
        <f t="shared" si="2"/>
        <v>1</v>
      </c>
    </row>
    <row r="184" spans="1:17" x14ac:dyDescent="0.25">
      <c r="A184" s="1">
        <v>183</v>
      </c>
      <c r="B184" s="4">
        <v>43685</v>
      </c>
      <c r="C184" s="1">
        <v>1008</v>
      </c>
      <c r="D184" t="s">
        <v>24</v>
      </c>
      <c r="E184" t="s">
        <v>17</v>
      </c>
      <c r="F184" t="s">
        <v>18</v>
      </c>
      <c r="G184" t="s">
        <v>19</v>
      </c>
      <c r="H184" t="s">
        <v>154</v>
      </c>
      <c r="I184" s="1">
        <v>3</v>
      </c>
      <c r="J184" t="s">
        <v>21</v>
      </c>
      <c r="K184" t="s">
        <v>22</v>
      </c>
      <c r="L184"/>
      <c r="M184">
        <v>100000</v>
      </c>
      <c r="N184">
        <v>10</v>
      </c>
      <c r="O184">
        <v>9</v>
      </c>
      <c r="P184">
        <v>7</v>
      </c>
      <c r="Q184">
        <f t="shared" si="2"/>
        <v>1</v>
      </c>
    </row>
    <row r="185" spans="1:17" x14ac:dyDescent="0.25">
      <c r="A185" s="1">
        <v>184</v>
      </c>
      <c r="B185" s="4">
        <v>43685</v>
      </c>
      <c r="C185" s="1">
        <v>1009</v>
      </c>
      <c r="D185" t="s">
        <v>147</v>
      </c>
      <c r="E185" t="s">
        <v>17</v>
      </c>
      <c r="F185" t="s">
        <v>18</v>
      </c>
      <c r="G185" t="s">
        <v>19</v>
      </c>
      <c r="H185" t="s">
        <v>154</v>
      </c>
      <c r="I185" s="1">
        <v>3</v>
      </c>
      <c r="J185" t="s">
        <v>21</v>
      </c>
      <c r="K185" t="s">
        <v>22</v>
      </c>
      <c r="L185"/>
      <c r="M185">
        <v>100000</v>
      </c>
      <c r="N185">
        <v>10</v>
      </c>
      <c r="O185">
        <v>7</v>
      </c>
      <c r="P185">
        <v>7</v>
      </c>
      <c r="Q185">
        <f t="shared" si="2"/>
        <v>0</v>
      </c>
    </row>
    <row r="186" spans="1:17" x14ac:dyDescent="0.25">
      <c r="A186" s="1">
        <v>185</v>
      </c>
      <c r="B186" s="4">
        <v>43685</v>
      </c>
      <c r="C186" s="1">
        <v>1011</v>
      </c>
      <c r="D186" t="s">
        <v>125</v>
      </c>
      <c r="E186" t="s">
        <v>17</v>
      </c>
      <c r="F186" t="s">
        <v>26</v>
      </c>
      <c r="G186" t="s">
        <v>126</v>
      </c>
      <c r="H186" t="s">
        <v>154</v>
      </c>
      <c r="I186" s="1">
        <v>3</v>
      </c>
      <c r="J186" t="s">
        <v>21</v>
      </c>
      <c r="K186" t="s">
        <v>22</v>
      </c>
      <c r="L186"/>
      <c r="M186">
        <v>100000</v>
      </c>
      <c r="N186">
        <v>10</v>
      </c>
      <c r="O186">
        <v>6</v>
      </c>
      <c r="P186">
        <v>7</v>
      </c>
      <c r="Q186">
        <f t="shared" si="2"/>
        <v>0</v>
      </c>
    </row>
    <row r="187" spans="1:17" x14ac:dyDescent="0.25">
      <c r="A187" s="1">
        <v>186</v>
      </c>
      <c r="B187" s="4">
        <v>43685</v>
      </c>
      <c r="C187" s="1">
        <v>1012</v>
      </c>
      <c r="D187" t="s">
        <v>25</v>
      </c>
      <c r="E187" t="s">
        <v>17</v>
      </c>
      <c r="F187" t="s">
        <v>26</v>
      </c>
      <c r="G187" t="s">
        <v>27</v>
      </c>
      <c r="H187" t="s">
        <v>154</v>
      </c>
      <c r="I187" s="1">
        <v>3</v>
      </c>
      <c r="J187" t="s">
        <v>21</v>
      </c>
      <c r="K187" t="s">
        <v>22</v>
      </c>
      <c r="L187"/>
      <c r="M187">
        <v>100000</v>
      </c>
      <c r="N187">
        <v>10</v>
      </c>
      <c r="O187">
        <v>4</v>
      </c>
      <c r="P187">
        <v>7</v>
      </c>
      <c r="Q187">
        <f t="shared" si="2"/>
        <v>0</v>
      </c>
    </row>
    <row r="188" spans="1:17" x14ac:dyDescent="0.25">
      <c r="A188" s="1">
        <v>187</v>
      </c>
      <c r="B188" s="4">
        <v>43685</v>
      </c>
      <c r="C188" s="1">
        <v>1013</v>
      </c>
      <c r="D188" t="s">
        <v>28</v>
      </c>
      <c r="E188" t="s">
        <v>17</v>
      </c>
      <c r="F188" t="s">
        <v>26</v>
      </c>
      <c r="G188" t="s">
        <v>27</v>
      </c>
      <c r="H188" t="s">
        <v>154</v>
      </c>
      <c r="I188" s="1">
        <v>3</v>
      </c>
      <c r="J188" t="s">
        <v>21</v>
      </c>
      <c r="K188" t="s">
        <v>22</v>
      </c>
      <c r="L188"/>
      <c r="M188">
        <v>100000</v>
      </c>
      <c r="N188">
        <v>10</v>
      </c>
      <c r="O188">
        <v>7</v>
      </c>
      <c r="P188">
        <v>7</v>
      </c>
      <c r="Q188">
        <f t="shared" si="2"/>
        <v>0</v>
      </c>
    </row>
    <row r="189" spans="1:17" x14ac:dyDescent="0.25">
      <c r="A189" s="1">
        <v>188</v>
      </c>
      <c r="B189" s="4">
        <v>43685</v>
      </c>
      <c r="C189" s="1">
        <v>1014</v>
      </c>
      <c r="D189" t="s">
        <v>29</v>
      </c>
      <c r="E189" t="s">
        <v>17</v>
      </c>
      <c r="F189" t="s">
        <v>26</v>
      </c>
      <c r="G189" t="s">
        <v>27</v>
      </c>
      <c r="H189" t="s">
        <v>154</v>
      </c>
      <c r="I189" s="1">
        <v>3</v>
      </c>
      <c r="J189" t="s">
        <v>21</v>
      </c>
      <c r="K189" t="s">
        <v>22</v>
      </c>
      <c r="L189"/>
      <c r="M189">
        <v>100000</v>
      </c>
      <c r="N189">
        <v>10</v>
      </c>
      <c r="O189">
        <v>8</v>
      </c>
      <c r="P189">
        <v>7</v>
      </c>
      <c r="Q189">
        <f t="shared" si="2"/>
        <v>1</v>
      </c>
    </row>
    <row r="190" spans="1:17" x14ac:dyDescent="0.25">
      <c r="A190" s="1">
        <v>189</v>
      </c>
      <c r="B190" s="4">
        <v>43685</v>
      </c>
      <c r="C190" s="1">
        <v>1015</v>
      </c>
      <c r="D190" t="s">
        <v>148</v>
      </c>
      <c r="E190" t="s">
        <v>17</v>
      </c>
      <c r="F190" t="s">
        <v>26</v>
      </c>
      <c r="G190" t="s">
        <v>149</v>
      </c>
      <c r="H190" t="s">
        <v>154</v>
      </c>
      <c r="I190" s="1">
        <v>3</v>
      </c>
      <c r="J190" t="s">
        <v>21</v>
      </c>
      <c r="K190" t="s">
        <v>22</v>
      </c>
      <c r="L190"/>
      <c r="M190">
        <v>100000</v>
      </c>
      <c r="N190">
        <v>10</v>
      </c>
      <c r="O190">
        <v>9</v>
      </c>
      <c r="P190">
        <v>7</v>
      </c>
      <c r="Q190">
        <f t="shared" si="2"/>
        <v>1</v>
      </c>
    </row>
    <row r="191" spans="1:17" x14ac:dyDescent="0.25">
      <c r="A191" s="1">
        <v>190</v>
      </c>
      <c r="B191" s="4">
        <v>43685</v>
      </c>
      <c r="C191" s="1">
        <v>1018</v>
      </c>
      <c r="D191" t="s">
        <v>157</v>
      </c>
      <c r="E191" t="s">
        <v>17</v>
      </c>
      <c r="F191" t="s">
        <v>158</v>
      </c>
      <c r="G191" t="s">
        <v>159</v>
      </c>
      <c r="H191" t="s">
        <v>154</v>
      </c>
      <c r="I191" s="1">
        <v>3</v>
      </c>
      <c r="J191" t="s">
        <v>21</v>
      </c>
      <c r="K191" t="s">
        <v>22</v>
      </c>
      <c r="L191"/>
      <c r="M191">
        <v>100000</v>
      </c>
      <c r="N191">
        <v>10</v>
      </c>
      <c r="O191">
        <v>9</v>
      </c>
      <c r="P191">
        <v>7</v>
      </c>
      <c r="Q191">
        <f t="shared" si="2"/>
        <v>1</v>
      </c>
    </row>
    <row r="192" spans="1:17" x14ac:dyDescent="0.25">
      <c r="A192" s="1">
        <v>191</v>
      </c>
      <c r="B192" s="4">
        <v>43685</v>
      </c>
      <c r="C192" s="1">
        <v>1019</v>
      </c>
      <c r="D192" t="s">
        <v>160</v>
      </c>
      <c r="E192" t="s">
        <v>17</v>
      </c>
      <c r="F192" t="s">
        <v>158</v>
      </c>
      <c r="G192" t="s">
        <v>161</v>
      </c>
      <c r="H192" t="s">
        <v>154</v>
      </c>
      <c r="I192" s="1">
        <v>3</v>
      </c>
      <c r="J192" t="s">
        <v>21</v>
      </c>
      <c r="K192" t="s">
        <v>22</v>
      </c>
      <c r="L192"/>
      <c r="M192">
        <v>100000</v>
      </c>
      <c r="N192">
        <v>10</v>
      </c>
      <c r="O192">
        <v>8</v>
      </c>
      <c r="P192">
        <v>7</v>
      </c>
      <c r="Q192">
        <f t="shared" si="2"/>
        <v>1</v>
      </c>
    </row>
    <row r="193" spans="1:17" x14ac:dyDescent="0.25">
      <c r="A193" s="1">
        <v>192</v>
      </c>
      <c r="B193" s="4">
        <v>43685</v>
      </c>
      <c r="C193" s="1">
        <v>1020</v>
      </c>
      <c r="D193" t="s">
        <v>162</v>
      </c>
      <c r="E193" t="s">
        <v>17</v>
      </c>
      <c r="F193" t="s">
        <v>163</v>
      </c>
      <c r="G193" t="s">
        <v>164</v>
      </c>
      <c r="H193" t="s">
        <v>154</v>
      </c>
      <c r="I193" s="1">
        <v>3</v>
      </c>
      <c r="J193" t="s">
        <v>21</v>
      </c>
      <c r="K193" t="s">
        <v>22</v>
      </c>
      <c r="L193"/>
      <c r="M193">
        <v>100000</v>
      </c>
      <c r="N193">
        <v>10</v>
      </c>
      <c r="O193">
        <v>6</v>
      </c>
      <c r="P193">
        <v>7</v>
      </c>
      <c r="Q193">
        <f t="shared" si="2"/>
        <v>0</v>
      </c>
    </row>
    <row r="194" spans="1:17" x14ac:dyDescent="0.25">
      <c r="A194" s="1">
        <v>193</v>
      </c>
      <c r="B194" s="4">
        <v>43685</v>
      </c>
      <c r="C194" s="1">
        <v>1021</v>
      </c>
      <c r="D194" t="s">
        <v>165</v>
      </c>
      <c r="E194" t="s">
        <v>17</v>
      </c>
      <c r="F194" t="s">
        <v>163</v>
      </c>
      <c r="G194" t="s">
        <v>164</v>
      </c>
      <c r="H194" t="s">
        <v>154</v>
      </c>
      <c r="I194" s="1">
        <v>3</v>
      </c>
      <c r="J194" t="s">
        <v>21</v>
      </c>
      <c r="K194" t="s">
        <v>22</v>
      </c>
      <c r="L194"/>
      <c r="M194">
        <v>100000</v>
      </c>
      <c r="N194">
        <v>10</v>
      </c>
      <c r="O194">
        <v>7</v>
      </c>
      <c r="P194">
        <v>7</v>
      </c>
      <c r="Q194">
        <f t="shared" si="2"/>
        <v>0</v>
      </c>
    </row>
    <row r="195" spans="1:17" x14ac:dyDescent="0.25">
      <c r="A195" s="1">
        <v>194</v>
      </c>
      <c r="B195" s="4">
        <v>43685</v>
      </c>
      <c r="C195" s="1">
        <v>1022</v>
      </c>
      <c r="D195" t="s">
        <v>127</v>
      </c>
      <c r="E195" t="s">
        <v>17</v>
      </c>
      <c r="F195" t="s">
        <v>69</v>
      </c>
      <c r="G195" t="s">
        <v>128</v>
      </c>
      <c r="H195" t="s">
        <v>154</v>
      </c>
      <c r="I195" s="1">
        <v>3</v>
      </c>
      <c r="J195" t="s">
        <v>21</v>
      </c>
      <c r="K195" t="s">
        <v>22</v>
      </c>
      <c r="L195"/>
      <c r="M195">
        <v>100000</v>
      </c>
      <c r="N195">
        <v>10</v>
      </c>
      <c r="O195">
        <v>8</v>
      </c>
      <c r="P195">
        <v>7</v>
      </c>
      <c r="Q195">
        <f t="shared" ref="Q195:Q258" si="3">IF(O195&gt;P195,1,0)</f>
        <v>1</v>
      </c>
    </row>
    <row r="196" spans="1:17" x14ac:dyDescent="0.25">
      <c r="A196" s="1">
        <v>195</v>
      </c>
      <c r="B196" s="4">
        <v>43685</v>
      </c>
      <c r="C196" s="1">
        <v>1023</v>
      </c>
      <c r="D196" t="s">
        <v>68</v>
      </c>
      <c r="E196" t="s">
        <v>17</v>
      </c>
      <c r="F196" t="s">
        <v>69</v>
      </c>
      <c r="G196" t="s">
        <v>70</v>
      </c>
      <c r="H196" t="s">
        <v>154</v>
      </c>
      <c r="I196" s="1">
        <v>3</v>
      </c>
      <c r="J196" t="s">
        <v>21</v>
      </c>
      <c r="K196" t="s">
        <v>22</v>
      </c>
      <c r="L196"/>
      <c r="M196">
        <v>100000</v>
      </c>
      <c r="N196">
        <v>10</v>
      </c>
      <c r="O196">
        <v>9</v>
      </c>
      <c r="P196">
        <v>7</v>
      </c>
      <c r="Q196">
        <f t="shared" si="3"/>
        <v>1</v>
      </c>
    </row>
    <row r="197" spans="1:17" x14ac:dyDescent="0.25">
      <c r="A197" s="1">
        <v>196</v>
      </c>
      <c r="B197" s="4">
        <v>43685</v>
      </c>
      <c r="C197" s="1">
        <v>1024</v>
      </c>
      <c r="D197" t="s">
        <v>72</v>
      </c>
      <c r="E197" t="s">
        <v>17</v>
      </c>
      <c r="F197" t="s">
        <v>69</v>
      </c>
      <c r="G197" t="s">
        <v>70</v>
      </c>
      <c r="H197" t="s">
        <v>154</v>
      </c>
      <c r="I197" s="1">
        <v>3</v>
      </c>
      <c r="J197" t="s">
        <v>21</v>
      </c>
      <c r="K197" t="s">
        <v>22</v>
      </c>
      <c r="L197"/>
      <c r="M197">
        <v>100000</v>
      </c>
      <c r="N197">
        <v>10</v>
      </c>
      <c r="O197">
        <v>4</v>
      </c>
      <c r="P197">
        <v>7</v>
      </c>
      <c r="Q197">
        <f t="shared" si="3"/>
        <v>0</v>
      </c>
    </row>
    <row r="198" spans="1:17" x14ac:dyDescent="0.25">
      <c r="A198" s="1">
        <v>197</v>
      </c>
      <c r="B198" s="4">
        <v>43685</v>
      </c>
      <c r="C198" s="1">
        <v>1025</v>
      </c>
      <c r="D198" t="s">
        <v>73</v>
      </c>
      <c r="E198" t="s">
        <v>17</v>
      </c>
      <c r="F198" t="s">
        <v>69</v>
      </c>
      <c r="G198" t="s">
        <v>74</v>
      </c>
      <c r="H198" t="s">
        <v>154</v>
      </c>
      <c r="I198" s="1">
        <v>3</v>
      </c>
      <c r="J198" t="s">
        <v>21</v>
      </c>
      <c r="K198" t="s">
        <v>22</v>
      </c>
      <c r="L198"/>
      <c r="M198">
        <v>100000</v>
      </c>
      <c r="N198">
        <v>10</v>
      </c>
      <c r="O198">
        <v>8</v>
      </c>
      <c r="P198">
        <v>7</v>
      </c>
      <c r="Q198">
        <f t="shared" si="3"/>
        <v>1</v>
      </c>
    </row>
    <row r="199" spans="1:17" x14ac:dyDescent="0.25">
      <c r="A199" s="1">
        <v>198</v>
      </c>
      <c r="B199" s="4">
        <v>43685</v>
      </c>
      <c r="C199" s="1">
        <v>1026</v>
      </c>
      <c r="D199" t="s">
        <v>75</v>
      </c>
      <c r="E199" t="s">
        <v>17</v>
      </c>
      <c r="F199" t="s">
        <v>69</v>
      </c>
      <c r="G199" t="s">
        <v>74</v>
      </c>
      <c r="H199" t="s">
        <v>154</v>
      </c>
      <c r="I199" s="1">
        <v>3</v>
      </c>
      <c r="J199" t="s">
        <v>21</v>
      </c>
      <c r="K199" t="s">
        <v>22</v>
      </c>
      <c r="L199"/>
      <c r="M199">
        <v>100000</v>
      </c>
      <c r="N199">
        <v>10</v>
      </c>
      <c r="O199">
        <v>8</v>
      </c>
      <c r="P199">
        <v>7</v>
      </c>
      <c r="Q199">
        <f t="shared" si="3"/>
        <v>1</v>
      </c>
    </row>
    <row r="200" spans="1:17" x14ac:dyDescent="0.25">
      <c r="A200" s="1">
        <v>199</v>
      </c>
      <c r="B200" s="4">
        <v>43685</v>
      </c>
      <c r="C200" s="1">
        <v>1027</v>
      </c>
      <c r="D200" t="s">
        <v>76</v>
      </c>
      <c r="E200" t="s">
        <v>17</v>
      </c>
      <c r="F200" t="s">
        <v>69</v>
      </c>
      <c r="G200" t="s">
        <v>74</v>
      </c>
      <c r="H200" t="s">
        <v>154</v>
      </c>
      <c r="I200" s="1">
        <v>3</v>
      </c>
      <c r="J200" t="s">
        <v>21</v>
      </c>
      <c r="K200" t="s">
        <v>22</v>
      </c>
      <c r="L200"/>
      <c r="M200">
        <v>100000</v>
      </c>
      <c r="N200">
        <v>10</v>
      </c>
      <c r="O200">
        <v>9</v>
      </c>
      <c r="P200">
        <v>7</v>
      </c>
      <c r="Q200">
        <f t="shared" si="3"/>
        <v>1</v>
      </c>
    </row>
    <row r="201" spans="1:17" x14ac:dyDescent="0.25">
      <c r="A201" s="1">
        <v>200</v>
      </c>
      <c r="B201" s="4">
        <v>43685</v>
      </c>
      <c r="C201" s="1">
        <v>1028</v>
      </c>
      <c r="D201" t="s">
        <v>77</v>
      </c>
      <c r="E201" t="s">
        <v>17</v>
      </c>
      <c r="F201" t="s">
        <v>69</v>
      </c>
      <c r="G201" t="s">
        <v>78</v>
      </c>
      <c r="H201" t="s">
        <v>154</v>
      </c>
      <c r="I201" s="1">
        <v>3</v>
      </c>
      <c r="J201" t="s">
        <v>21</v>
      </c>
      <c r="K201" t="s">
        <v>22</v>
      </c>
      <c r="L201"/>
      <c r="M201">
        <v>100000</v>
      </c>
      <c r="N201">
        <v>10</v>
      </c>
      <c r="O201">
        <v>7</v>
      </c>
      <c r="P201">
        <v>7</v>
      </c>
      <c r="Q201">
        <f t="shared" si="3"/>
        <v>0</v>
      </c>
    </row>
    <row r="202" spans="1:17" x14ac:dyDescent="0.25">
      <c r="A202" s="1">
        <v>201</v>
      </c>
      <c r="B202" s="4">
        <v>43685</v>
      </c>
      <c r="C202" s="1">
        <v>1029</v>
      </c>
      <c r="D202" t="s">
        <v>79</v>
      </c>
      <c r="E202" t="s">
        <v>17</v>
      </c>
      <c r="F202" t="s">
        <v>69</v>
      </c>
      <c r="G202" t="s">
        <v>74</v>
      </c>
      <c r="H202" t="s">
        <v>154</v>
      </c>
      <c r="I202" s="1">
        <v>3</v>
      </c>
      <c r="J202" t="s">
        <v>21</v>
      </c>
      <c r="K202" t="s">
        <v>22</v>
      </c>
      <c r="L202"/>
      <c r="M202">
        <v>100000</v>
      </c>
      <c r="N202">
        <v>10</v>
      </c>
      <c r="O202">
        <v>8</v>
      </c>
      <c r="P202">
        <v>7</v>
      </c>
      <c r="Q202">
        <f t="shared" si="3"/>
        <v>1</v>
      </c>
    </row>
    <row r="203" spans="1:17" x14ac:dyDescent="0.25">
      <c r="A203" s="1">
        <v>202</v>
      </c>
      <c r="B203" s="4">
        <v>43685</v>
      </c>
      <c r="C203" s="1">
        <v>1030</v>
      </c>
      <c r="D203" t="s">
        <v>80</v>
      </c>
      <c r="E203" t="s">
        <v>17</v>
      </c>
      <c r="F203" t="s">
        <v>69</v>
      </c>
      <c r="G203" t="s">
        <v>81</v>
      </c>
      <c r="H203" t="s">
        <v>154</v>
      </c>
      <c r="I203" s="1">
        <v>3</v>
      </c>
      <c r="J203" t="s">
        <v>21</v>
      </c>
      <c r="K203" t="s">
        <v>22</v>
      </c>
      <c r="L203"/>
      <c r="M203">
        <v>100000</v>
      </c>
      <c r="N203">
        <v>10</v>
      </c>
      <c r="O203">
        <v>9</v>
      </c>
      <c r="P203">
        <v>7</v>
      </c>
      <c r="Q203">
        <f t="shared" si="3"/>
        <v>1</v>
      </c>
    </row>
    <row r="204" spans="1:17" x14ac:dyDescent="0.25">
      <c r="A204" s="1">
        <v>203</v>
      </c>
      <c r="B204" s="4">
        <v>43689</v>
      </c>
      <c r="C204" s="1">
        <v>1032</v>
      </c>
      <c r="D204" t="s">
        <v>132</v>
      </c>
      <c r="E204" t="s">
        <v>31</v>
      </c>
      <c r="F204" t="s">
        <v>32</v>
      </c>
      <c r="G204" t="s">
        <v>133</v>
      </c>
      <c r="H204" t="s">
        <v>154</v>
      </c>
      <c r="I204" s="1">
        <v>3</v>
      </c>
      <c r="J204" t="s">
        <v>21</v>
      </c>
      <c r="K204" t="s">
        <v>22</v>
      </c>
      <c r="L204"/>
      <c r="M204">
        <v>100000</v>
      </c>
      <c r="N204">
        <v>10</v>
      </c>
      <c r="O204">
        <v>8</v>
      </c>
      <c r="P204">
        <v>7</v>
      </c>
      <c r="Q204">
        <f t="shared" si="3"/>
        <v>1</v>
      </c>
    </row>
    <row r="205" spans="1:17" x14ac:dyDescent="0.25">
      <c r="A205" s="1">
        <v>204</v>
      </c>
      <c r="B205" s="4">
        <v>43689</v>
      </c>
      <c r="C205" s="1">
        <v>1033</v>
      </c>
      <c r="D205" t="s">
        <v>134</v>
      </c>
      <c r="E205" t="s">
        <v>31</v>
      </c>
      <c r="F205" t="s">
        <v>32</v>
      </c>
      <c r="G205" t="s">
        <v>135</v>
      </c>
      <c r="H205" t="s">
        <v>154</v>
      </c>
      <c r="I205" s="1">
        <v>3</v>
      </c>
      <c r="J205" t="s">
        <v>21</v>
      </c>
      <c r="K205" t="s">
        <v>22</v>
      </c>
      <c r="L205"/>
      <c r="M205">
        <v>100000</v>
      </c>
      <c r="N205">
        <v>10</v>
      </c>
      <c r="O205">
        <v>7</v>
      </c>
      <c r="P205">
        <v>7</v>
      </c>
      <c r="Q205">
        <f t="shared" si="3"/>
        <v>0</v>
      </c>
    </row>
    <row r="206" spans="1:17" x14ac:dyDescent="0.25">
      <c r="A206" s="1">
        <v>205</v>
      </c>
      <c r="B206" s="4">
        <v>43689</v>
      </c>
      <c r="C206" s="1">
        <v>1034</v>
      </c>
      <c r="D206" t="s">
        <v>30</v>
      </c>
      <c r="E206" t="s">
        <v>31</v>
      </c>
      <c r="F206" t="s">
        <v>32</v>
      </c>
      <c r="G206" t="s">
        <v>33</v>
      </c>
      <c r="H206" t="s">
        <v>154</v>
      </c>
      <c r="I206" s="1">
        <v>3</v>
      </c>
      <c r="J206" t="s">
        <v>21</v>
      </c>
      <c r="K206" t="s">
        <v>22</v>
      </c>
      <c r="L206"/>
      <c r="M206">
        <v>100000</v>
      </c>
      <c r="N206">
        <v>10</v>
      </c>
      <c r="O206">
        <v>9</v>
      </c>
      <c r="P206">
        <v>7</v>
      </c>
      <c r="Q206">
        <f t="shared" si="3"/>
        <v>1</v>
      </c>
    </row>
    <row r="207" spans="1:17" x14ac:dyDescent="0.25">
      <c r="A207" s="1">
        <v>206</v>
      </c>
      <c r="B207" s="4">
        <v>43689</v>
      </c>
      <c r="C207" s="1">
        <v>1035</v>
      </c>
      <c r="D207" t="s">
        <v>35</v>
      </c>
      <c r="E207" t="s">
        <v>31</v>
      </c>
      <c r="F207" t="s">
        <v>32</v>
      </c>
      <c r="G207" t="s">
        <v>33</v>
      </c>
      <c r="H207" t="s">
        <v>154</v>
      </c>
      <c r="I207" s="1">
        <v>3</v>
      </c>
      <c r="J207" t="s">
        <v>21</v>
      </c>
      <c r="K207" t="s">
        <v>22</v>
      </c>
      <c r="L207"/>
      <c r="M207">
        <v>100000</v>
      </c>
      <c r="N207">
        <v>10</v>
      </c>
      <c r="O207">
        <v>7</v>
      </c>
      <c r="P207">
        <v>7</v>
      </c>
      <c r="Q207">
        <f t="shared" si="3"/>
        <v>0</v>
      </c>
    </row>
    <row r="208" spans="1:17" x14ac:dyDescent="0.25">
      <c r="A208" s="1">
        <v>207</v>
      </c>
      <c r="B208" s="4">
        <v>43689</v>
      </c>
      <c r="C208" s="1">
        <v>1036</v>
      </c>
      <c r="D208" t="s">
        <v>36</v>
      </c>
      <c r="E208" t="s">
        <v>31</v>
      </c>
      <c r="F208" t="s">
        <v>32</v>
      </c>
      <c r="G208" t="s">
        <v>33</v>
      </c>
      <c r="H208" t="s">
        <v>154</v>
      </c>
      <c r="I208" s="1">
        <v>3</v>
      </c>
      <c r="J208" t="s">
        <v>21</v>
      </c>
      <c r="K208" t="s">
        <v>22</v>
      </c>
      <c r="L208"/>
      <c r="M208">
        <v>100000</v>
      </c>
      <c r="N208">
        <v>10</v>
      </c>
      <c r="O208">
        <v>7</v>
      </c>
      <c r="P208">
        <v>7</v>
      </c>
      <c r="Q208">
        <f t="shared" si="3"/>
        <v>0</v>
      </c>
    </row>
    <row r="209" spans="1:17" x14ac:dyDescent="0.25">
      <c r="A209" s="1">
        <v>208</v>
      </c>
      <c r="B209" s="4">
        <v>43689</v>
      </c>
      <c r="C209" s="1">
        <v>1037</v>
      </c>
      <c r="D209" t="s">
        <v>37</v>
      </c>
      <c r="E209" t="s">
        <v>31</v>
      </c>
      <c r="F209" t="s">
        <v>32</v>
      </c>
      <c r="G209" t="s">
        <v>33</v>
      </c>
      <c r="H209" t="s">
        <v>154</v>
      </c>
      <c r="I209" s="1">
        <v>3</v>
      </c>
      <c r="J209" t="s">
        <v>21</v>
      </c>
      <c r="K209" t="s">
        <v>22</v>
      </c>
      <c r="L209"/>
      <c r="M209">
        <v>100000</v>
      </c>
      <c r="N209">
        <v>10</v>
      </c>
      <c r="O209">
        <v>4</v>
      </c>
      <c r="P209">
        <v>7</v>
      </c>
      <c r="Q209">
        <f t="shared" si="3"/>
        <v>0</v>
      </c>
    </row>
    <row r="210" spans="1:17" x14ac:dyDescent="0.25">
      <c r="A210" s="1">
        <v>209</v>
      </c>
      <c r="B210" s="4">
        <v>43689</v>
      </c>
      <c r="C210" s="1">
        <v>1038</v>
      </c>
      <c r="D210" t="s">
        <v>82</v>
      </c>
      <c r="E210" t="s">
        <v>31</v>
      </c>
      <c r="F210" t="s">
        <v>32</v>
      </c>
      <c r="G210" t="s">
        <v>33</v>
      </c>
      <c r="H210" t="s">
        <v>154</v>
      </c>
      <c r="I210" s="1">
        <v>3</v>
      </c>
      <c r="J210" t="s">
        <v>21</v>
      </c>
      <c r="K210" t="s">
        <v>22</v>
      </c>
      <c r="L210"/>
      <c r="M210">
        <v>100000</v>
      </c>
      <c r="N210">
        <v>10</v>
      </c>
      <c r="O210">
        <v>4</v>
      </c>
      <c r="P210">
        <v>7</v>
      </c>
      <c r="Q210">
        <f t="shared" si="3"/>
        <v>0</v>
      </c>
    </row>
    <row r="211" spans="1:17" x14ac:dyDescent="0.25">
      <c r="A211" s="1">
        <v>210</v>
      </c>
      <c r="B211" s="4">
        <v>43689</v>
      </c>
      <c r="C211" s="1">
        <v>1039</v>
      </c>
      <c r="D211" t="s">
        <v>83</v>
      </c>
      <c r="E211" t="s">
        <v>31</v>
      </c>
      <c r="F211" t="s">
        <v>32</v>
      </c>
      <c r="G211" t="s">
        <v>33</v>
      </c>
      <c r="H211" t="s">
        <v>154</v>
      </c>
      <c r="I211" s="1">
        <v>3</v>
      </c>
      <c r="J211" t="s">
        <v>21</v>
      </c>
      <c r="K211" t="s">
        <v>22</v>
      </c>
      <c r="L211"/>
      <c r="M211">
        <v>100000</v>
      </c>
      <c r="N211">
        <v>10</v>
      </c>
      <c r="O211">
        <v>8</v>
      </c>
      <c r="P211">
        <v>7</v>
      </c>
      <c r="Q211">
        <f t="shared" si="3"/>
        <v>1</v>
      </c>
    </row>
    <row r="212" spans="1:17" x14ac:dyDescent="0.25">
      <c r="A212" s="1">
        <v>211</v>
      </c>
      <c r="B212" s="4">
        <v>43689</v>
      </c>
      <c r="C212" s="1">
        <v>1040</v>
      </c>
      <c r="D212" t="s">
        <v>84</v>
      </c>
      <c r="E212" t="s">
        <v>31</v>
      </c>
      <c r="F212" t="s">
        <v>32</v>
      </c>
      <c r="G212" t="s">
        <v>33</v>
      </c>
      <c r="H212" t="s">
        <v>154</v>
      </c>
      <c r="I212" s="1">
        <v>3</v>
      </c>
      <c r="J212" t="s">
        <v>21</v>
      </c>
      <c r="K212" t="s">
        <v>22</v>
      </c>
      <c r="L212"/>
      <c r="M212">
        <v>100000</v>
      </c>
      <c r="N212">
        <v>10</v>
      </c>
      <c r="O212">
        <v>9</v>
      </c>
      <c r="P212">
        <v>7</v>
      </c>
      <c r="Q212">
        <f t="shared" si="3"/>
        <v>1</v>
      </c>
    </row>
    <row r="213" spans="1:17" x14ac:dyDescent="0.25">
      <c r="A213" s="1">
        <v>212</v>
      </c>
      <c r="B213" s="4">
        <v>43689</v>
      </c>
      <c r="C213" s="1">
        <v>1041</v>
      </c>
      <c r="D213" t="s">
        <v>85</v>
      </c>
      <c r="E213" t="s">
        <v>31</v>
      </c>
      <c r="F213" t="s">
        <v>32</v>
      </c>
      <c r="G213" t="s">
        <v>33</v>
      </c>
      <c r="H213" t="s">
        <v>154</v>
      </c>
      <c r="I213" s="1">
        <v>3</v>
      </c>
      <c r="J213" t="s">
        <v>21</v>
      </c>
      <c r="K213" t="s">
        <v>22</v>
      </c>
      <c r="L213"/>
      <c r="M213">
        <v>100000</v>
      </c>
      <c r="N213">
        <v>10</v>
      </c>
      <c r="O213">
        <v>7</v>
      </c>
      <c r="P213">
        <v>7</v>
      </c>
      <c r="Q213">
        <f t="shared" si="3"/>
        <v>0</v>
      </c>
    </row>
    <row r="214" spans="1:17" x14ac:dyDescent="0.25">
      <c r="A214" s="1">
        <v>213</v>
      </c>
      <c r="B214" s="4">
        <v>43689</v>
      </c>
      <c r="C214" s="1">
        <v>1042</v>
      </c>
      <c r="D214" t="s">
        <v>93</v>
      </c>
      <c r="E214" t="s">
        <v>31</v>
      </c>
      <c r="F214" t="s">
        <v>94</v>
      </c>
      <c r="G214" t="s">
        <v>10</v>
      </c>
      <c r="H214" t="s">
        <v>154</v>
      </c>
      <c r="I214" s="1">
        <v>3</v>
      </c>
      <c r="J214" t="s">
        <v>21</v>
      </c>
      <c r="K214" t="s">
        <v>22</v>
      </c>
      <c r="L214"/>
      <c r="M214">
        <v>100000</v>
      </c>
      <c r="N214">
        <v>10</v>
      </c>
      <c r="O214">
        <v>8</v>
      </c>
      <c r="P214">
        <v>7</v>
      </c>
      <c r="Q214">
        <f t="shared" si="3"/>
        <v>1</v>
      </c>
    </row>
    <row r="215" spans="1:17" x14ac:dyDescent="0.25">
      <c r="A215" s="1">
        <v>214</v>
      </c>
      <c r="B215" s="4">
        <v>43689</v>
      </c>
      <c r="C215" s="1">
        <v>1043</v>
      </c>
      <c r="D215" t="s">
        <v>96</v>
      </c>
      <c r="E215" t="s">
        <v>31</v>
      </c>
      <c r="F215" t="s">
        <v>94</v>
      </c>
      <c r="G215" t="s">
        <v>10</v>
      </c>
      <c r="H215" t="s">
        <v>154</v>
      </c>
      <c r="I215" s="1">
        <v>3</v>
      </c>
      <c r="J215" t="s">
        <v>21</v>
      </c>
      <c r="K215" t="s">
        <v>22</v>
      </c>
      <c r="L215"/>
      <c r="M215">
        <v>100000</v>
      </c>
      <c r="N215">
        <v>10</v>
      </c>
      <c r="O215">
        <v>9</v>
      </c>
      <c r="P215">
        <v>7</v>
      </c>
      <c r="Q215">
        <f t="shared" si="3"/>
        <v>1</v>
      </c>
    </row>
    <row r="216" spans="1:17" x14ac:dyDescent="0.25">
      <c r="A216" s="1">
        <v>215</v>
      </c>
      <c r="B216" s="4">
        <v>43689</v>
      </c>
      <c r="C216" s="1">
        <v>1044</v>
      </c>
      <c r="D216" t="s">
        <v>97</v>
      </c>
      <c r="E216" t="s">
        <v>31</v>
      </c>
      <c r="F216" t="s">
        <v>94</v>
      </c>
      <c r="G216" t="s">
        <v>10</v>
      </c>
      <c r="H216" t="s">
        <v>154</v>
      </c>
      <c r="I216" s="1">
        <v>3</v>
      </c>
      <c r="J216" t="s">
        <v>21</v>
      </c>
      <c r="K216" t="s">
        <v>22</v>
      </c>
      <c r="L216"/>
      <c r="M216">
        <v>100000</v>
      </c>
      <c r="N216">
        <v>10</v>
      </c>
      <c r="O216">
        <v>7</v>
      </c>
      <c r="P216">
        <v>7</v>
      </c>
      <c r="Q216">
        <f t="shared" si="3"/>
        <v>0</v>
      </c>
    </row>
    <row r="217" spans="1:17" x14ac:dyDescent="0.25">
      <c r="A217" s="1">
        <v>216</v>
      </c>
      <c r="B217" s="4">
        <v>43689</v>
      </c>
      <c r="C217" s="1">
        <v>1045</v>
      </c>
      <c r="D217" t="s">
        <v>98</v>
      </c>
      <c r="E217" t="s">
        <v>31</v>
      </c>
      <c r="F217" t="s">
        <v>94</v>
      </c>
      <c r="G217" t="s">
        <v>10</v>
      </c>
      <c r="H217" t="s">
        <v>154</v>
      </c>
      <c r="I217" s="1">
        <v>3</v>
      </c>
      <c r="J217" t="s">
        <v>21</v>
      </c>
      <c r="K217" t="s">
        <v>22</v>
      </c>
      <c r="L217"/>
      <c r="M217">
        <v>100000</v>
      </c>
      <c r="N217">
        <v>10</v>
      </c>
      <c r="O217">
        <v>9</v>
      </c>
      <c r="P217">
        <v>7</v>
      </c>
      <c r="Q217">
        <f t="shared" si="3"/>
        <v>1</v>
      </c>
    </row>
    <row r="218" spans="1:17" x14ac:dyDescent="0.25">
      <c r="A218" s="1">
        <v>217</v>
      </c>
      <c r="B218" s="4">
        <v>43689</v>
      </c>
      <c r="C218" s="1">
        <v>1046</v>
      </c>
      <c r="D218" t="s">
        <v>99</v>
      </c>
      <c r="E218" t="s">
        <v>31</v>
      </c>
      <c r="F218" t="s">
        <v>94</v>
      </c>
      <c r="G218" t="s">
        <v>10</v>
      </c>
      <c r="H218" t="s">
        <v>154</v>
      </c>
      <c r="I218" s="1">
        <v>3</v>
      </c>
      <c r="J218" t="s">
        <v>21</v>
      </c>
      <c r="K218" t="s">
        <v>22</v>
      </c>
      <c r="L218"/>
      <c r="M218">
        <v>100000</v>
      </c>
      <c r="N218">
        <v>10</v>
      </c>
      <c r="O218">
        <v>8</v>
      </c>
      <c r="P218">
        <v>7</v>
      </c>
      <c r="Q218">
        <f t="shared" si="3"/>
        <v>1</v>
      </c>
    </row>
    <row r="219" spans="1:17" x14ac:dyDescent="0.25">
      <c r="A219" s="1">
        <v>218</v>
      </c>
      <c r="B219" s="4">
        <v>43689</v>
      </c>
      <c r="C219" s="1">
        <v>1047</v>
      </c>
      <c r="D219" t="s">
        <v>100</v>
      </c>
      <c r="E219" t="s">
        <v>31</v>
      </c>
      <c r="F219" t="s">
        <v>94</v>
      </c>
      <c r="G219" t="s">
        <v>10</v>
      </c>
      <c r="H219" t="s">
        <v>154</v>
      </c>
      <c r="I219" s="1">
        <v>3</v>
      </c>
      <c r="J219" t="s">
        <v>21</v>
      </c>
      <c r="K219" t="s">
        <v>22</v>
      </c>
      <c r="L219"/>
      <c r="M219">
        <v>100000</v>
      </c>
      <c r="N219">
        <v>10</v>
      </c>
      <c r="O219">
        <v>6</v>
      </c>
      <c r="P219">
        <v>7</v>
      </c>
      <c r="Q219">
        <f t="shared" si="3"/>
        <v>0</v>
      </c>
    </row>
    <row r="220" spans="1:17" x14ac:dyDescent="0.25">
      <c r="A220" s="1">
        <v>219</v>
      </c>
      <c r="B220" s="4">
        <v>43689</v>
      </c>
      <c r="C220" s="1">
        <v>1048</v>
      </c>
      <c r="D220" t="s">
        <v>101</v>
      </c>
      <c r="E220" t="s">
        <v>31</v>
      </c>
      <c r="F220" t="s">
        <v>94</v>
      </c>
      <c r="G220" t="s">
        <v>10</v>
      </c>
      <c r="H220" t="s">
        <v>154</v>
      </c>
      <c r="I220" s="1">
        <v>3</v>
      </c>
      <c r="J220" t="s">
        <v>21</v>
      </c>
      <c r="K220" t="s">
        <v>22</v>
      </c>
      <c r="L220"/>
      <c r="M220">
        <v>100000</v>
      </c>
      <c r="N220">
        <v>10</v>
      </c>
      <c r="O220">
        <v>7</v>
      </c>
      <c r="P220">
        <v>7</v>
      </c>
      <c r="Q220">
        <f t="shared" si="3"/>
        <v>0</v>
      </c>
    </row>
    <row r="221" spans="1:17" x14ac:dyDescent="0.25">
      <c r="A221" s="1">
        <v>220</v>
      </c>
      <c r="B221" s="4">
        <v>43689</v>
      </c>
      <c r="C221" s="1">
        <v>1049</v>
      </c>
      <c r="D221" t="s">
        <v>102</v>
      </c>
      <c r="E221" t="s">
        <v>31</v>
      </c>
      <c r="F221" t="s">
        <v>94</v>
      </c>
      <c r="G221" t="s">
        <v>10</v>
      </c>
      <c r="H221" t="s">
        <v>154</v>
      </c>
      <c r="I221" s="1">
        <v>3</v>
      </c>
      <c r="J221" t="s">
        <v>21</v>
      </c>
      <c r="K221" t="s">
        <v>22</v>
      </c>
      <c r="L221"/>
      <c r="M221">
        <v>100000</v>
      </c>
      <c r="N221">
        <v>10</v>
      </c>
      <c r="O221">
        <v>8</v>
      </c>
      <c r="P221">
        <v>7</v>
      </c>
      <c r="Q221">
        <f t="shared" si="3"/>
        <v>1</v>
      </c>
    </row>
    <row r="222" spans="1:17" x14ac:dyDescent="0.25">
      <c r="A222" s="1">
        <v>221</v>
      </c>
      <c r="B222" s="4">
        <v>43689</v>
      </c>
      <c r="C222" s="1">
        <v>1050</v>
      </c>
      <c r="D222" t="s">
        <v>103</v>
      </c>
      <c r="E222" t="s">
        <v>31</v>
      </c>
      <c r="F222" t="s">
        <v>94</v>
      </c>
      <c r="G222" t="s">
        <v>10</v>
      </c>
      <c r="H222" t="s">
        <v>154</v>
      </c>
      <c r="I222" s="1">
        <v>3</v>
      </c>
      <c r="J222" t="s">
        <v>21</v>
      </c>
      <c r="K222" t="s">
        <v>22</v>
      </c>
      <c r="L222"/>
      <c r="M222">
        <v>100000</v>
      </c>
      <c r="N222">
        <v>10</v>
      </c>
      <c r="O222">
        <v>9</v>
      </c>
      <c r="P222">
        <v>7</v>
      </c>
      <c r="Q222">
        <f t="shared" si="3"/>
        <v>1</v>
      </c>
    </row>
    <row r="223" spans="1:17" x14ac:dyDescent="0.25">
      <c r="A223" s="1">
        <v>222</v>
      </c>
      <c r="B223" s="4">
        <v>43689</v>
      </c>
      <c r="C223" s="1">
        <v>1051</v>
      </c>
      <c r="D223" t="s">
        <v>104</v>
      </c>
      <c r="E223" t="s">
        <v>31</v>
      </c>
      <c r="F223" t="s">
        <v>94</v>
      </c>
      <c r="G223" t="s">
        <v>10</v>
      </c>
      <c r="H223" t="s">
        <v>154</v>
      </c>
      <c r="I223" s="1">
        <v>3</v>
      </c>
      <c r="J223" t="s">
        <v>21</v>
      </c>
      <c r="K223" t="s">
        <v>22</v>
      </c>
      <c r="L223"/>
      <c r="M223">
        <v>100000</v>
      </c>
      <c r="N223">
        <v>10</v>
      </c>
      <c r="O223">
        <v>8</v>
      </c>
      <c r="P223">
        <v>7</v>
      </c>
      <c r="Q223">
        <f t="shared" si="3"/>
        <v>1</v>
      </c>
    </row>
    <row r="224" spans="1:17" x14ac:dyDescent="0.25">
      <c r="A224" s="1">
        <v>223</v>
      </c>
      <c r="B224" s="4">
        <v>43689</v>
      </c>
      <c r="C224" s="1">
        <v>1052</v>
      </c>
      <c r="D224" t="s">
        <v>50</v>
      </c>
      <c r="E224" t="s">
        <v>31</v>
      </c>
      <c r="F224" t="s">
        <v>51</v>
      </c>
      <c r="G224" t="s">
        <v>52</v>
      </c>
      <c r="H224" t="s">
        <v>154</v>
      </c>
      <c r="I224" s="1">
        <v>3</v>
      </c>
      <c r="J224" t="s">
        <v>21</v>
      </c>
      <c r="K224" t="s">
        <v>22</v>
      </c>
      <c r="L224"/>
      <c r="M224">
        <v>100000</v>
      </c>
      <c r="N224">
        <v>10</v>
      </c>
      <c r="O224">
        <v>9</v>
      </c>
      <c r="P224">
        <v>7</v>
      </c>
      <c r="Q224">
        <f t="shared" si="3"/>
        <v>1</v>
      </c>
    </row>
    <row r="225" spans="1:17" x14ac:dyDescent="0.25">
      <c r="A225" s="1">
        <v>224</v>
      </c>
      <c r="B225" s="4">
        <v>43693</v>
      </c>
      <c r="C225" s="1">
        <v>1058</v>
      </c>
      <c r="D225" t="s">
        <v>88</v>
      </c>
      <c r="E225" t="s">
        <v>39</v>
      </c>
      <c r="F225" t="s">
        <v>32</v>
      </c>
      <c r="G225" t="s">
        <v>133</v>
      </c>
      <c r="H225" t="s">
        <v>154</v>
      </c>
      <c r="I225" s="1">
        <v>3</v>
      </c>
      <c r="J225" t="s">
        <v>21</v>
      </c>
      <c r="K225" t="s">
        <v>22</v>
      </c>
      <c r="L225"/>
      <c r="M225">
        <v>100000</v>
      </c>
      <c r="N225">
        <v>10</v>
      </c>
      <c r="O225">
        <v>7</v>
      </c>
      <c r="P225">
        <v>7</v>
      </c>
      <c r="Q225">
        <f t="shared" si="3"/>
        <v>0</v>
      </c>
    </row>
    <row r="226" spans="1:17" x14ac:dyDescent="0.25">
      <c r="A226" s="1">
        <v>225</v>
      </c>
      <c r="B226" s="4">
        <v>43693</v>
      </c>
      <c r="C226" s="1">
        <v>1059</v>
      </c>
      <c r="D226" t="s">
        <v>137</v>
      </c>
      <c r="E226" t="s">
        <v>39</v>
      </c>
      <c r="F226" t="s">
        <v>32</v>
      </c>
      <c r="G226" t="s">
        <v>135</v>
      </c>
      <c r="H226" t="s">
        <v>154</v>
      </c>
      <c r="I226" s="1">
        <v>3</v>
      </c>
      <c r="J226" t="s">
        <v>21</v>
      </c>
      <c r="K226" t="s">
        <v>22</v>
      </c>
      <c r="L226"/>
      <c r="M226">
        <v>100000</v>
      </c>
      <c r="N226">
        <v>10</v>
      </c>
      <c r="O226">
        <v>8</v>
      </c>
      <c r="P226">
        <v>7</v>
      </c>
      <c r="Q226">
        <f t="shared" si="3"/>
        <v>1</v>
      </c>
    </row>
    <row r="227" spans="1:17" x14ac:dyDescent="0.25">
      <c r="A227" s="1">
        <v>226</v>
      </c>
      <c r="B227" s="4">
        <v>43693</v>
      </c>
      <c r="C227" s="1">
        <v>1060</v>
      </c>
      <c r="D227" t="s">
        <v>38</v>
      </c>
      <c r="E227" t="s">
        <v>39</v>
      </c>
      <c r="F227" t="s">
        <v>32</v>
      </c>
      <c r="G227" t="s">
        <v>33</v>
      </c>
      <c r="H227" t="s">
        <v>154</v>
      </c>
      <c r="I227" s="1">
        <v>3</v>
      </c>
      <c r="J227" t="s">
        <v>21</v>
      </c>
      <c r="K227" t="s">
        <v>22</v>
      </c>
      <c r="L227"/>
      <c r="M227">
        <v>100000</v>
      </c>
      <c r="N227">
        <v>10</v>
      </c>
      <c r="O227">
        <v>9</v>
      </c>
      <c r="P227">
        <v>7</v>
      </c>
      <c r="Q227">
        <f t="shared" si="3"/>
        <v>1</v>
      </c>
    </row>
    <row r="228" spans="1:17" x14ac:dyDescent="0.25">
      <c r="A228" s="1">
        <v>227</v>
      </c>
      <c r="B228" s="4">
        <v>43693</v>
      </c>
      <c r="C228" s="1">
        <v>1061</v>
      </c>
      <c r="D228" t="s">
        <v>40</v>
      </c>
      <c r="E228" t="s">
        <v>39</v>
      </c>
      <c r="F228" t="s">
        <v>32</v>
      </c>
      <c r="G228" t="s">
        <v>33</v>
      </c>
      <c r="H228" t="s">
        <v>154</v>
      </c>
      <c r="I228" s="1">
        <v>3</v>
      </c>
      <c r="J228" t="s">
        <v>21</v>
      </c>
      <c r="K228" t="s">
        <v>22</v>
      </c>
      <c r="L228"/>
      <c r="M228">
        <v>100000</v>
      </c>
      <c r="N228">
        <v>10</v>
      </c>
      <c r="O228">
        <v>6</v>
      </c>
      <c r="P228">
        <v>7</v>
      </c>
      <c r="Q228">
        <f t="shared" si="3"/>
        <v>0</v>
      </c>
    </row>
    <row r="229" spans="1:17" x14ac:dyDescent="0.25">
      <c r="A229" s="1">
        <v>228</v>
      </c>
      <c r="B229" s="4">
        <v>43693</v>
      </c>
      <c r="C229" s="1">
        <v>1062</v>
      </c>
      <c r="D229" t="s">
        <v>41</v>
      </c>
      <c r="E229" t="s">
        <v>39</v>
      </c>
      <c r="F229" t="s">
        <v>32</v>
      </c>
      <c r="G229" t="s">
        <v>33</v>
      </c>
      <c r="H229" t="s">
        <v>154</v>
      </c>
      <c r="I229" s="1">
        <v>3</v>
      </c>
      <c r="J229" t="s">
        <v>21</v>
      </c>
      <c r="K229" t="s">
        <v>22</v>
      </c>
      <c r="L229"/>
      <c r="M229">
        <v>100000</v>
      </c>
      <c r="N229">
        <v>10</v>
      </c>
      <c r="O229">
        <v>7</v>
      </c>
      <c r="P229">
        <v>7</v>
      </c>
      <c r="Q229">
        <f t="shared" si="3"/>
        <v>0</v>
      </c>
    </row>
    <row r="230" spans="1:17" x14ac:dyDescent="0.25">
      <c r="A230" s="1">
        <v>229</v>
      </c>
      <c r="B230" s="4">
        <v>43693</v>
      </c>
      <c r="C230" s="1">
        <v>1063</v>
      </c>
      <c r="D230" t="s">
        <v>42</v>
      </c>
      <c r="E230" t="s">
        <v>39</v>
      </c>
      <c r="F230" t="s">
        <v>32</v>
      </c>
      <c r="G230" t="s">
        <v>33</v>
      </c>
      <c r="H230" t="s">
        <v>154</v>
      </c>
      <c r="I230" s="1">
        <v>3</v>
      </c>
      <c r="J230" t="s">
        <v>21</v>
      </c>
      <c r="K230" t="s">
        <v>22</v>
      </c>
      <c r="L230"/>
      <c r="M230">
        <v>100000</v>
      </c>
      <c r="N230">
        <v>10</v>
      </c>
      <c r="O230">
        <v>8</v>
      </c>
      <c r="P230">
        <v>7</v>
      </c>
      <c r="Q230">
        <f t="shared" si="3"/>
        <v>1</v>
      </c>
    </row>
    <row r="231" spans="1:17" x14ac:dyDescent="0.25">
      <c r="A231" s="1">
        <v>230</v>
      </c>
      <c r="B231" s="4">
        <v>43693</v>
      </c>
      <c r="C231" s="1">
        <v>1064</v>
      </c>
      <c r="D231" t="s">
        <v>86</v>
      </c>
      <c r="E231" t="s">
        <v>39</v>
      </c>
      <c r="F231" t="s">
        <v>32</v>
      </c>
      <c r="G231" t="s">
        <v>33</v>
      </c>
      <c r="H231" t="s">
        <v>154</v>
      </c>
      <c r="I231" s="1">
        <v>3</v>
      </c>
      <c r="J231" t="s">
        <v>21</v>
      </c>
      <c r="K231" t="s">
        <v>22</v>
      </c>
      <c r="L231"/>
      <c r="M231">
        <v>100000</v>
      </c>
      <c r="N231">
        <v>10</v>
      </c>
      <c r="O231">
        <v>5</v>
      </c>
      <c r="P231">
        <v>7</v>
      </c>
      <c r="Q231">
        <f t="shared" si="3"/>
        <v>0</v>
      </c>
    </row>
    <row r="232" spans="1:17" x14ac:dyDescent="0.25">
      <c r="A232" s="1">
        <v>231</v>
      </c>
      <c r="B232" s="4">
        <v>43693</v>
      </c>
      <c r="C232" s="1">
        <v>1065</v>
      </c>
      <c r="D232" t="s">
        <v>105</v>
      </c>
      <c r="E232" t="s">
        <v>39</v>
      </c>
      <c r="F232" t="s">
        <v>94</v>
      </c>
      <c r="G232" t="s">
        <v>10</v>
      </c>
      <c r="H232" t="s">
        <v>154</v>
      </c>
      <c r="I232" s="1">
        <v>3</v>
      </c>
      <c r="J232" t="s">
        <v>21</v>
      </c>
      <c r="K232" t="s">
        <v>22</v>
      </c>
      <c r="L232"/>
      <c r="M232">
        <v>100000</v>
      </c>
      <c r="N232">
        <v>10</v>
      </c>
      <c r="O232">
        <v>6</v>
      </c>
      <c r="P232">
        <v>7</v>
      </c>
      <c r="Q232">
        <f t="shared" si="3"/>
        <v>0</v>
      </c>
    </row>
    <row r="233" spans="1:17" x14ac:dyDescent="0.25">
      <c r="A233" s="1">
        <v>232</v>
      </c>
      <c r="B233" s="4">
        <v>43693</v>
      </c>
      <c r="C233" s="1">
        <v>1066</v>
      </c>
      <c r="D233" t="s">
        <v>106</v>
      </c>
      <c r="E233" t="s">
        <v>39</v>
      </c>
      <c r="F233" t="s">
        <v>94</v>
      </c>
      <c r="G233" t="s">
        <v>10</v>
      </c>
      <c r="H233" t="s">
        <v>154</v>
      </c>
      <c r="I233" s="1">
        <v>3</v>
      </c>
      <c r="J233" t="s">
        <v>21</v>
      </c>
      <c r="K233" t="s">
        <v>22</v>
      </c>
      <c r="L233"/>
      <c r="M233">
        <v>100000</v>
      </c>
      <c r="N233">
        <v>10</v>
      </c>
      <c r="O233">
        <v>7</v>
      </c>
      <c r="P233">
        <v>7</v>
      </c>
      <c r="Q233">
        <f t="shared" si="3"/>
        <v>0</v>
      </c>
    </row>
    <row r="234" spans="1:17" x14ac:dyDescent="0.25">
      <c r="A234" s="1">
        <v>233</v>
      </c>
      <c r="B234" s="4">
        <v>43693</v>
      </c>
      <c r="C234" s="1">
        <v>1067</v>
      </c>
      <c r="D234" t="s">
        <v>107</v>
      </c>
      <c r="E234" t="s">
        <v>39</v>
      </c>
      <c r="F234" t="s">
        <v>94</v>
      </c>
      <c r="G234" t="s">
        <v>10</v>
      </c>
      <c r="H234" t="s">
        <v>154</v>
      </c>
      <c r="I234" s="1">
        <v>3</v>
      </c>
      <c r="J234" t="s">
        <v>21</v>
      </c>
      <c r="K234" t="s">
        <v>22</v>
      </c>
      <c r="L234"/>
      <c r="M234">
        <v>100000</v>
      </c>
      <c r="N234">
        <v>10</v>
      </c>
      <c r="O234">
        <v>8</v>
      </c>
      <c r="P234">
        <v>7</v>
      </c>
      <c r="Q234">
        <f t="shared" si="3"/>
        <v>1</v>
      </c>
    </row>
    <row r="235" spans="1:17" x14ac:dyDescent="0.25">
      <c r="A235" s="1">
        <v>234</v>
      </c>
      <c r="B235" s="4">
        <v>43693</v>
      </c>
      <c r="C235" s="1">
        <v>1068</v>
      </c>
      <c r="D235" t="s">
        <v>108</v>
      </c>
      <c r="E235" t="s">
        <v>39</v>
      </c>
      <c r="F235" t="s">
        <v>94</v>
      </c>
      <c r="G235" t="s">
        <v>10</v>
      </c>
      <c r="H235" t="s">
        <v>154</v>
      </c>
      <c r="I235" s="1">
        <v>3</v>
      </c>
      <c r="J235" t="s">
        <v>21</v>
      </c>
      <c r="K235" t="s">
        <v>22</v>
      </c>
      <c r="L235"/>
      <c r="M235">
        <v>100000</v>
      </c>
      <c r="N235">
        <v>10</v>
      </c>
      <c r="O235">
        <v>9</v>
      </c>
      <c r="P235">
        <v>7</v>
      </c>
      <c r="Q235">
        <f t="shared" si="3"/>
        <v>1</v>
      </c>
    </row>
    <row r="236" spans="1:17" x14ac:dyDescent="0.25">
      <c r="A236" s="1">
        <v>235</v>
      </c>
      <c r="B236" s="4">
        <v>43693</v>
      </c>
      <c r="C236" s="1">
        <v>1069</v>
      </c>
      <c r="D236" t="s">
        <v>109</v>
      </c>
      <c r="E236" t="s">
        <v>39</v>
      </c>
      <c r="F236" t="s">
        <v>94</v>
      </c>
      <c r="G236" t="s">
        <v>10</v>
      </c>
      <c r="H236" t="s">
        <v>154</v>
      </c>
      <c r="I236" s="1">
        <v>3</v>
      </c>
      <c r="J236" t="s">
        <v>21</v>
      </c>
      <c r="K236" t="s">
        <v>22</v>
      </c>
      <c r="L236"/>
      <c r="M236">
        <v>100000</v>
      </c>
      <c r="N236">
        <v>10</v>
      </c>
      <c r="O236">
        <v>9</v>
      </c>
      <c r="P236">
        <v>7</v>
      </c>
      <c r="Q236">
        <f t="shared" si="3"/>
        <v>1</v>
      </c>
    </row>
    <row r="237" spans="1:17" x14ac:dyDescent="0.25">
      <c r="A237" s="1">
        <v>236</v>
      </c>
      <c r="B237" s="4">
        <v>43693</v>
      </c>
      <c r="C237" s="1">
        <v>1070</v>
      </c>
      <c r="D237" t="s">
        <v>110</v>
      </c>
      <c r="E237" t="s">
        <v>39</v>
      </c>
      <c r="F237" t="s">
        <v>94</v>
      </c>
      <c r="G237" t="s">
        <v>10</v>
      </c>
      <c r="H237" t="s">
        <v>154</v>
      </c>
      <c r="I237" s="1">
        <v>3</v>
      </c>
      <c r="J237" t="s">
        <v>21</v>
      </c>
      <c r="K237" t="s">
        <v>22</v>
      </c>
      <c r="L237"/>
      <c r="M237">
        <v>100000</v>
      </c>
      <c r="N237">
        <v>10</v>
      </c>
      <c r="O237">
        <v>10</v>
      </c>
      <c r="P237">
        <v>7</v>
      </c>
      <c r="Q237">
        <f t="shared" si="3"/>
        <v>1</v>
      </c>
    </row>
    <row r="238" spans="1:17" x14ac:dyDescent="0.25">
      <c r="A238" s="1">
        <v>237</v>
      </c>
      <c r="B238" s="4">
        <v>43693</v>
      </c>
      <c r="C238" s="1">
        <v>1071</v>
      </c>
      <c r="D238" t="s">
        <v>62</v>
      </c>
      <c r="E238" t="s">
        <v>39</v>
      </c>
      <c r="F238" t="s">
        <v>94</v>
      </c>
      <c r="G238" t="s">
        <v>10</v>
      </c>
      <c r="H238" t="s">
        <v>154</v>
      </c>
      <c r="I238" s="1">
        <v>3</v>
      </c>
      <c r="J238" t="s">
        <v>21</v>
      </c>
      <c r="K238" t="s">
        <v>22</v>
      </c>
      <c r="L238"/>
      <c r="M238">
        <v>100000</v>
      </c>
      <c r="N238">
        <v>10</v>
      </c>
      <c r="O238">
        <v>8</v>
      </c>
      <c r="P238">
        <v>7</v>
      </c>
      <c r="Q238">
        <f t="shared" si="3"/>
        <v>1</v>
      </c>
    </row>
    <row r="239" spans="1:17" x14ac:dyDescent="0.25">
      <c r="A239" s="1">
        <v>238</v>
      </c>
      <c r="B239" s="4">
        <v>43693</v>
      </c>
      <c r="C239" s="1">
        <v>1072</v>
      </c>
      <c r="D239" t="s">
        <v>25</v>
      </c>
      <c r="E239" t="s">
        <v>39</v>
      </c>
      <c r="F239" t="s">
        <v>51</v>
      </c>
      <c r="G239" t="s">
        <v>52</v>
      </c>
      <c r="H239" t="s">
        <v>154</v>
      </c>
      <c r="I239" s="1">
        <v>3</v>
      </c>
      <c r="J239" t="s">
        <v>21</v>
      </c>
      <c r="K239" t="s">
        <v>22</v>
      </c>
      <c r="L239"/>
      <c r="M239">
        <v>100000</v>
      </c>
      <c r="N239">
        <v>10</v>
      </c>
      <c r="O239">
        <v>7</v>
      </c>
      <c r="P239">
        <v>7</v>
      </c>
      <c r="Q239">
        <f t="shared" si="3"/>
        <v>0</v>
      </c>
    </row>
    <row r="240" spans="1:17" x14ac:dyDescent="0.25">
      <c r="A240" s="1">
        <v>239</v>
      </c>
      <c r="B240" s="4">
        <v>43697</v>
      </c>
      <c r="C240" s="1">
        <v>1076</v>
      </c>
      <c r="D240" t="s">
        <v>139</v>
      </c>
      <c r="E240" t="s">
        <v>43</v>
      </c>
      <c r="F240" t="s">
        <v>32</v>
      </c>
      <c r="G240" t="s">
        <v>133</v>
      </c>
      <c r="H240" t="s">
        <v>154</v>
      </c>
      <c r="I240" s="1">
        <v>3</v>
      </c>
      <c r="J240" t="s">
        <v>21</v>
      </c>
      <c r="K240" t="s">
        <v>22</v>
      </c>
      <c r="L240"/>
      <c r="M240">
        <v>100000</v>
      </c>
      <c r="N240">
        <v>10</v>
      </c>
      <c r="O240">
        <v>9</v>
      </c>
      <c r="P240">
        <v>7</v>
      </c>
      <c r="Q240">
        <f t="shared" si="3"/>
        <v>1</v>
      </c>
    </row>
    <row r="241" spans="1:17" x14ac:dyDescent="0.25">
      <c r="A241" s="1">
        <v>240</v>
      </c>
      <c r="B241" s="4">
        <v>43697</v>
      </c>
      <c r="C241" s="1">
        <v>1077</v>
      </c>
      <c r="D241" t="s">
        <v>140</v>
      </c>
      <c r="E241" t="s">
        <v>43</v>
      </c>
      <c r="F241" t="s">
        <v>32</v>
      </c>
      <c r="G241" t="s">
        <v>135</v>
      </c>
      <c r="H241" t="s">
        <v>154</v>
      </c>
      <c r="I241" s="1">
        <v>3</v>
      </c>
      <c r="J241" t="s">
        <v>21</v>
      </c>
      <c r="K241" t="s">
        <v>22</v>
      </c>
      <c r="L241"/>
      <c r="M241">
        <v>100000</v>
      </c>
      <c r="N241">
        <v>10</v>
      </c>
      <c r="O241">
        <v>6</v>
      </c>
      <c r="P241">
        <v>7</v>
      </c>
      <c r="Q241">
        <f t="shared" si="3"/>
        <v>0</v>
      </c>
    </row>
    <row r="242" spans="1:17" x14ac:dyDescent="0.25">
      <c r="A242" s="1">
        <v>241</v>
      </c>
      <c r="B242" s="4">
        <v>43697</v>
      </c>
      <c r="C242" s="1">
        <v>1078</v>
      </c>
      <c r="D242" t="s">
        <v>87</v>
      </c>
      <c r="E242" t="s">
        <v>43</v>
      </c>
      <c r="F242" t="s">
        <v>32</v>
      </c>
      <c r="G242" t="s">
        <v>33</v>
      </c>
      <c r="H242" t="s">
        <v>154</v>
      </c>
      <c r="I242" s="1">
        <v>3</v>
      </c>
      <c r="J242" t="s">
        <v>21</v>
      </c>
      <c r="K242" t="s">
        <v>22</v>
      </c>
      <c r="L242"/>
      <c r="M242">
        <v>100000</v>
      </c>
      <c r="N242">
        <v>10</v>
      </c>
      <c r="O242">
        <v>7</v>
      </c>
      <c r="P242">
        <v>7</v>
      </c>
      <c r="Q242">
        <f t="shared" si="3"/>
        <v>0</v>
      </c>
    </row>
    <row r="243" spans="1:17" x14ac:dyDescent="0.25">
      <c r="A243" s="1">
        <v>242</v>
      </c>
      <c r="B243" s="4">
        <v>43697</v>
      </c>
      <c r="C243" s="1">
        <v>1079</v>
      </c>
      <c r="D243" t="s">
        <v>88</v>
      </c>
      <c r="E243" t="s">
        <v>43</v>
      </c>
      <c r="F243" t="s">
        <v>32</v>
      </c>
      <c r="G243" t="s">
        <v>33</v>
      </c>
      <c r="H243" t="s">
        <v>154</v>
      </c>
      <c r="I243" s="1">
        <v>3</v>
      </c>
      <c r="J243" t="s">
        <v>21</v>
      </c>
      <c r="K243" t="s">
        <v>22</v>
      </c>
      <c r="L243"/>
      <c r="M243">
        <v>100000</v>
      </c>
      <c r="N243">
        <v>10</v>
      </c>
      <c r="O243">
        <v>5</v>
      </c>
      <c r="P243">
        <v>7</v>
      </c>
      <c r="Q243">
        <f t="shared" si="3"/>
        <v>0</v>
      </c>
    </row>
    <row r="244" spans="1:17" x14ac:dyDescent="0.25">
      <c r="A244" s="1">
        <v>243</v>
      </c>
      <c r="B244" s="4">
        <v>43697</v>
      </c>
      <c r="C244" s="1">
        <v>1080</v>
      </c>
      <c r="D244" t="s">
        <v>89</v>
      </c>
      <c r="E244" t="s">
        <v>43</v>
      </c>
      <c r="F244" t="s">
        <v>32</v>
      </c>
      <c r="G244" t="s">
        <v>33</v>
      </c>
      <c r="H244" t="s">
        <v>154</v>
      </c>
      <c r="I244" s="1">
        <v>3</v>
      </c>
      <c r="J244" t="s">
        <v>21</v>
      </c>
      <c r="K244" t="s">
        <v>22</v>
      </c>
      <c r="L244"/>
      <c r="M244">
        <v>100000</v>
      </c>
      <c r="N244">
        <v>10</v>
      </c>
      <c r="O244">
        <v>8</v>
      </c>
      <c r="P244">
        <v>7</v>
      </c>
      <c r="Q244">
        <f t="shared" si="3"/>
        <v>1</v>
      </c>
    </row>
    <row r="245" spans="1:17" x14ac:dyDescent="0.25">
      <c r="A245" s="1">
        <v>244</v>
      </c>
      <c r="B245" s="4">
        <v>43697</v>
      </c>
      <c r="C245" s="1">
        <v>1081</v>
      </c>
      <c r="D245" t="s">
        <v>38</v>
      </c>
      <c r="E245" t="s">
        <v>43</v>
      </c>
      <c r="F245" t="s">
        <v>32</v>
      </c>
      <c r="G245" t="s">
        <v>33</v>
      </c>
      <c r="H245" t="s">
        <v>154</v>
      </c>
      <c r="I245" s="1">
        <v>3</v>
      </c>
      <c r="J245" t="s">
        <v>21</v>
      </c>
      <c r="K245" t="s">
        <v>22</v>
      </c>
      <c r="L245"/>
      <c r="M245">
        <v>100000</v>
      </c>
      <c r="N245">
        <v>10</v>
      </c>
      <c r="O245">
        <v>9</v>
      </c>
      <c r="P245">
        <v>7</v>
      </c>
      <c r="Q245">
        <f t="shared" si="3"/>
        <v>1</v>
      </c>
    </row>
    <row r="246" spans="1:17" x14ac:dyDescent="0.25">
      <c r="A246" s="1">
        <v>245</v>
      </c>
      <c r="B246" s="4">
        <v>43697</v>
      </c>
      <c r="C246" s="1">
        <v>1082</v>
      </c>
      <c r="D246" t="s">
        <v>40</v>
      </c>
      <c r="E246" t="s">
        <v>43</v>
      </c>
      <c r="F246" t="s">
        <v>32</v>
      </c>
      <c r="G246" t="s">
        <v>33</v>
      </c>
      <c r="H246" t="s">
        <v>154</v>
      </c>
      <c r="I246" s="1">
        <v>3</v>
      </c>
      <c r="J246" t="s">
        <v>21</v>
      </c>
      <c r="K246" t="s">
        <v>22</v>
      </c>
      <c r="L246"/>
      <c r="M246">
        <v>100000</v>
      </c>
      <c r="N246">
        <v>10</v>
      </c>
      <c r="O246">
        <v>8</v>
      </c>
      <c r="P246">
        <v>7</v>
      </c>
      <c r="Q246">
        <f t="shared" si="3"/>
        <v>1</v>
      </c>
    </row>
    <row r="247" spans="1:17" x14ac:dyDescent="0.25">
      <c r="A247" s="1">
        <v>246</v>
      </c>
      <c r="B247" s="4">
        <v>43697</v>
      </c>
      <c r="C247" s="1">
        <v>1083</v>
      </c>
      <c r="D247" t="s">
        <v>44</v>
      </c>
      <c r="E247" t="s">
        <v>43</v>
      </c>
      <c r="F247" t="s">
        <v>32</v>
      </c>
      <c r="G247" t="s">
        <v>33</v>
      </c>
      <c r="H247" t="s">
        <v>154</v>
      </c>
      <c r="I247" s="1">
        <v>3</v>
      </c>
      <c r="J247" t="s">
        <v>21</v>
      </c>
      <c r="K247" t="s">
        <v>22</v>
      </c>
      <c r="L247"/>
      <c r="M247">
        <v>100000</v>
      </c>
      <c r="N247">
        <v>10</v>
      </c>
      <c r="O247">
        <v>7</v>
      </c>
      <c r="P247">
        <v>7</v>
      </c>
      <c r="Q247">
        <f t="shared" si="3"/>
        <v>0</v>
      </c>
    </row>
    <row r="248" spans="1:17" x14ac:dyDescent="0.25">
      <c r="A248" s="1">
        <v>247</v>
      </c>
      <c r="B248" s="4">
        <v>43697</v>
      </c>
      <c r="C248" s="1">
        <v>1084</v>
      </c>
      <c r="D248" t="s">
        <v>42</v>
      </c>
      <c r="E248" t="s">
        <v>43</v>
      </c>
      <c r="F248" t="s">
        <v>32</v>
      </c>
      <c r="G248" t="s">
        <v>33</v>
      </c>
      <c r="H248" t="s">
        <v>154</v>
      </c>
      <c r="I248" s="1">
        <v>3</v>
      </c>
      <c r="J248" t="s">
        <v>21</v>
      </c>
      <c r="K248" t="s">
        <v>22</v>
      </c>
      <c r="L248"/>
      <c r="M248">
        <v>100000</v>
      </c>
      <c r="N248">
        <v>10</v>
      </c>
      <c r="O248">
        <v>7</v>
      </c>
      <c r="P248">
        <v>7</v>
      </c>
      <c r="Q248">
        <f t="shared" si="3"/>
        <v>0</v>
      </c>
    </row>
    <row r="249" spans="1:17" x14ac:dyDescent="0.25">
      <c r="A249" s="1">
        <v>248</v>
      </c>
      <c r="B249" s="4">
        <v>43697</v>
      </c>
      <c r="C249" s="1">
        <v>1085</v>
      </c>
      <c r="D249" t="s">
        <v>86</v>
      </c>
      <c r="E249" t="s">
        <v>43</v>
      </c>
      <c r="F249" t="s">
        <v>94</v>
      </c>
      <c r="G249" t="s">
        <v>10</v>
      </c>
      <c r="H249" t="s">
        <v>154</v>
      </c>
      <c r="I249" s="1">
        <v>3</v>
      </c>
      <c r="J249" t="s">
        <v>21</v>
      </c>
      <c r="K249" t="s">
        <v>22</v>
      </c>
      <c r="L249"/>
      <c r="M249">
        <v>100000</v>
      </c>
      <c r="N249">
        <v>10</v>
      </c>
      <c r="O249">
        <v>8</v>
      </c>
      <c r="P249">
        <v>7</v>
      </c>
      <c r="Q249">
        <f t="shared" si="3"/>
        <v>1</v>
      </c>
    </row>
    <row r="250" spans="1:17" x14ac:dyDescent="0.25">
      <c r="A250" s="1">
        <v>249</v>
      </c>
      <c r="B250" s="4">
        <v>43697</v>
      </c>
      <c r="C250" s="1">
        <v>1086</v>
      </c>
      <c r="D250" t="s">
        <v>105</v>
      </c>
      <c r="E250" t="s">
        <v>43</v>
      </c>
      <c r="F250" t="s">
        <v>94</v>
      </c>
      <c r="G250" t="s">
        <v>10</v>
      </c>
      <c r="H250" t="s">
        <v>154</v>
      </c>
      <c r="I250" s="1">
        <v>3</v>
      </c>
      <c r="J250" t="s">
        <v>21</v>
      </c>
      <c r="K250" t="s">
        <v>22</v>
      </c>
      <c r="L250"/>
      <c r="M250">
        <v>100000</v>
      </c>
      <c r="N250">
        <v>10</v>
      </c>
      <c r="O250">
        <v>8</v>
      </c>
      <c r="P250">
        <v>7</v>
      </c>
      <c r="Q250">
        <f t="shared" si="3"/>
        <v>1</v>
      </c>
    </row>
    <row r="251" spans="1:17" x14ac:dyDescent="0.25">
      <c r="A251" s="1">
        <v>250</v>
      </c>
      <c r="B251" s="4">
        <v>43697</v>
      </c>
      <c r="C251" s="1">
        <v>1087</v>
      </c>
      <c r="D251" t="s">
        <v>106</v>
      </c>
      <c r="E251" t="s">
        <v>43</v>
      </c>
      <c r="F251" t="s">
        <v>94</v>
      </c>
      <c r="G251" t="s">
        <v>10</v>
      </c>
      <c r="H251" t="s">
        <v>154</v>
      </c>
      <c r="I251" s="1">
        <v>3</v>
      </c>
      <c r="J251" t="s">
        <v>21</v>
      </c>
      <c r="K251" t="s">
        <v>22</v>
      </c>
      <c r="L251"/>
      <c r="M251">
        <v>100000</v>
      </c>
      <c r="N251">
        <v>10</v>
      </c>
      <c r="O251">
        <v>7</v>
      </c>
      <c r="P251">
        <v>7</v>
      </c>
      <c r="Q251">
        <f t="shared" si="3"/>
        <v>0</v>
      </c>
    </row>
    <row r="252" spans="1:17" x14ac:dyDescent="0.25">
      <c r="A252" s="1">
        <v>251</v>
      </c>
      <c r="B252" s="4">
        <v>43697</v>
      </c>
      <c r="C252" s="1">
        <v>1088</v>
      </c>
      <c r="D252" t="s">
        <v>107</v>
      </c>
      <c r="E252" t="s">
        <v>43</v>
      </c>
      <c r="F252" t="s">
        <v>94</v>
      </c>
      <c r="G252" t="s">
        <v>10</v>
      </c>
      <c r="H252" t="s">
        <v>154</v>
      </c>
      <c r="I252" s="1">
        <v>3</v>
      </c>
      <c r="J252" t="s">
        <v>21</v>
      </c>
      <c r="K252" t="s">
        <v>22</v>
      </c>
      <c r="L252"/>
      <c r="M252">
        <v>100000</v>
      </c>
      <c r="N252">
        <v>10</v>
      </c>
      <c r="O252">
        <v>9</v>
      </c>
      <c r="P252">
        <v>7</v>
      </c>
      <c r="Q252">
        <f t="shared" si="3"/>
        <v>1</v>
      </c>
    </row>
    <row r="253" spans="1:17" x14ac:dyDescent="0.25">
      <c r="A253" s="1">
        <v>252</v>
      </c>
      <c r="B253" s="4">
        <v>43697</v>
      </c>
      <c r="C253" s="1">
        <v>1089</v>
      </c>
      <c r="D253" t="s">
        <v>108</v>
      </c>
      <c r="E253" t="s">
        <v>43</v>
      </c>
      <c r="F253" t="s">
        <v>94</v>
      </c>
      <c r="G253" t="s">
        <v>10</v>
      </c>
      <c r="H253" t="s">
        <v>154</v>
      </c>
      <c r="I253" s="1">
        <v>3</v>
      </c>
      <c r="J253" t="s">
        <v>21</v>
      </c>
      <c r="K253" t="s">
        <v>22</v>
      </c>
      <c r="L253"/>
      <c r="M253">
        <v>100000</v>
      </c>
      <c r="N253">
        <v>10</v>
      </c>
      <c r="O253">
        <v>7</v>
      </c>
      <c r="P253">
        <v>7</v>
      </c>
      <c r="Q253">
        <f t="shared" si="3"/>
        <v>0</v>
      </c>
    </row>
    <row r="254" spans="1:17" x14ac:dyDescent="0.25">
      <c r="A254" s="1">
        <v>253</v>
      </c>
      <c r="B254" s="4">
        <v>43697</v>
      </c>
      <c r="C254" s="1">
        <v>1090</v>
      </c>
      <c r="D254" t="s">
        <v>109</v>
      </c>
      <c r="E254" t="s">
        <v>43</v>
      </c>
      <c r="F254" t="s">
        <v>94</v>
      </c>
      <c r="G254" t="s">
        <v>10</v>
      </c>
      <c r="H254" t="s">
        <v>154</v>
      </c>
      <c r="I254" s="1">
        <v>3</v>
      </c>
      <c r="J254" t="s">
        <v>21</v>
      </c>
      <c r="K254" t="s">
        <v>22</v>
      </c>
      <c r="L254"/>
      <c r="M254">
        <v>100000</v>
      </c>
      <c r="N254">
        <v>10</v>
      </c>
      <c r="O254">
        <v>8</v>
      </c>
      <c r="P254">
        <v>7</v>
      </c>
      <c r="Q254">
        <f t="shared" si="3"/>
        <v>1</v>
      </c>
    </row>
    <row r="255" spans="1:17" x14ac:dyDescent="0.25">
      <c r="A255" s="1">
        <v>254</v>
      </c>
      <c r="B255" s="4">
        <v>43697</v>
      </c>
      <c r="C255" s="1">
        <v>1091</v>
      </c>
      <c r="D255" t="s">
        <v>110</v>
      </c>
      <c r="E255" t="s">
        <v>43</v>
      </c>
      <c r="F255" t="s">
        <v>94</v>
      </c>
      <c r="G255" t="s">
        <v>10</v>
      </c>
      <c r="H255" t="s">
        <v>154</v>
      </c>
      <c r="I255" s="1">
        <v>3</v>
      </c>
      <c r="J255" t="s">
        <v>21</v>
      </c>
      <c r="K255" t="s">
        <v>22</v>
      </c>
      <c r="L255"/>
      <c r="M255">
        <v>100000</v>
      </c>
      <c r="N255">
        <v>10</v>
      </c>
      <c r="O255">
        <v>6</v>
      </c>
      <c r="P255">
        <v>7</v>
      </c>
      <c r="Q255">
        <f t="shared" si="3"/>
        <v>0</v>
      </c>
    </row>
    <row r="256" spans="1:17" x14ac:dyDescent="0.25">
      <c r="A256" s="1">
        <v>255</v>
      </c>
      <c r="B256" s="4">
        <v>43697</v>
      </c>
      <c r="C256" s="1">
        <v>1092</v>
      </c>
      <c r="D256" t="s">
        <v>62</v>
      </c>
      <c r="E256" t="s">
        <v>43</v>
      </c>
      <c r="F256" t="s">
        <v>51</v>
      </c>
      <c r="G256" t="s">
        <v>52</v>
      </c>
      <c r="H256" t="s">
        <v>154</v>
      </c>
      <c r="I256" s="1">
        <v>3</v>
      </c>
      <c r="J256" t="s">
        <v>21</v>
      </c>
      <c r="K256" t="s">
        <v>22</v>
      </c>
      <c r="L256"/>
      <c r="M256">
        <v>100000</v>
      </c>
      <c r="N256">
        <v>10</v>
      </c>
      <c r="O256">
        <v>7</v>
      </c>
      <c r="P256">
        <v>7</v>
      </c>
      <c r="Q256">
        <f t="shared" si="3"/>
        <v>0</v>
      </c>
    </row>
    <row r="257" spans="1:17" x14ac:dyDescent="0.25">
      <c r="A257" s="1">
        <v>256</v>
      </c>
      <c r="B257" s="4">
        <v>43701</v>
      </c>
      <c r="C257" s="1">
        <v>1097</v>
      </c>
      <c r="D257" t="s">
        <v>142</v>
      </c>
      <c r="E257" t="s">
        <v>46</v>
      </c>
      <c r="F257" t="s">
        <v>32</v>
      </c>
      <c r="G257" t="s">
        <v>133</v>
      </c>
      <c r="H257" t="s">
        <v>154</v>
      </c>
      <c r="I257" s="1">
        <v>3</v>
      </c>
      <c r="J257" t="s">
        <v>21</v>
      </c>
      <c r="K257" t="s">
        <v>22</v>
      </c>
      <c r="L257"/>
      <c r="M257">
        <v>100000</v>
      </c>
      <c r="N257">
        <v>10</v>
      </c>
      <c r="O257">
        <v>7</v>
      </c>
      <c r="P257">
        <v>7</v>
      </c>
      <c r="Q257">
        <f t="shared" si="3"/>
        <v>0</v>
      </c>
    </row>
    <row r="258" spans="1:17" x14ac:dyDescent="0.25">
      <c r="A258" s="1">
        <v>257</v>
      </c>
      <c r="B258" s="4">
        <v>43701</v>
      </c>
      <c r="C258" s="1">
        <v>1098</v>
      </c>
      <c r="D258" t="s">
        <v>143</v>
      </c>
      <c r="E258" t="s">
        <v>46</v>
      </c>
      <c r="F258" t="s">
        <v>32</v>
      </c>
      <c r="G258" t="s">
        <v>135</v>
      </c>
      <c r="H258" t="s">
        <v>154</v>
      </c>
      <c r="I258" s="1">
        <v>3</v>
      </c>
      <c r="J258" t="s">
        <v>21</v>
      </c>
      <c r="K258" t="s">
        <v>22</v>
      </c>
      <c r="L258"/>
      <c r="M258">
        <v>100000</v>
      </c>
      <c r="N258">
        <v>10</v>
      </c>
      <c r="O258">
        <v>6</v>
      </c>
      <c r="P258">
        <v>7</v>
      </c>
      <c r="Q258">
        <f t="shared" si="3"/>
        <v>0</v>
      </c>
    </row>
    <row r="259" spans="1:17" x14ac:dyDescent="0.25">
      <c r="A259" s="1">
        <v>258</v>
      </c>
      <c r="B259" s="4">
        <v>43701</v>
      </c>
      <c r="C259" s="1">
        <v>1099</v>
      </c>
      <c r="D259" t="s">
        <v>90</v>
      </c>
      <c r="E259" t="s">
        <v>46</v>
      </c>
      <c r="F259" t="s">
        <v>32</v>
      </c>
      <c r="G259" t="s">
        <v>33</v>
      </c>
      <c r="H259" t="s">
        <v>154</v>
      </c>
      <c r="I259" s="1">
        <v>3</v>
      </c>
      <c r="J259" t="s">
        <v>21</v>
      </c>
      <c r="K259" t="s">
        <v>22</v>
      </c>
      <c r="L259"/>
      <c r="M259">
        <v>100000</v>
      </c>
      <c r="N259">
        <v>10</v>
      </c>
      <c r="O259">
        <v>7</v>
      </c>
      <c r="P259">
        <v>7</v>
      </c>
      <c r="Q259">
        <f t="shared" ref="Q259:Q322" si="4">IF(O259&gt;P259,1,0)</f>
        <v>0</v>
      </c>
    </row>
    <row r="260" spans="1:17" x14ac:dyDescent="0.25">
      <c r="A260" s="1">
        <v>259</v>
      </c>
      <c r="B260" s="4">
        <v>43701</v>
      </c>
      <c r="C260" s="1">
        <v>1100</v>
      </c>
      <c r="D260" t="s">
        <v>91</v>
      </c>
      <c r="E260" t="s">
        <v>46</v>
      </c>
      <c r="F260" t="s">
        <v>32</v>
      </c>
      <c r="G260" t="s">
        <v>33</v>
      </c>
      <c r="H260" t="s">
        <v>154</v>
      </c>
      <c r="I260" s="1">
        <v>3</v>
      </c>
      <c r="J260" t="s">
        <v>21</v>
      </c>
      <c r="K260" t="s">
        <v>22</v>
      </c>
      <c r="L260"/>
      <c r="M260">
        <v>100000</v>
      </c>
      <c r="N260">
        <v>10</v>
      </c>
      <c r="O260">
        <v>8</v>
      </c>
      <c r="P260">
        <v>7</v>
      </c>
      <c r="Q260">
        <f t="shared" si="4"/>
        <v>1</v>
      </c>
    </row>
    <row r="261" spans="1:17" x14ac:dyDescent="0.25">
      <c r="A261" s="1">
        <v>260</v>
      </c>
      <c r="B261" s="4">
        <v>43701</v>
      </c>
      <c r="C261" s="1">
        <v>1101</v>
      </c>
      <c r="D261" t="s">
        <v>45</v>
      </c>
      <c r="E261" t="s">
        <v>46</v>
      </c>
      <c r="F261" t="s">
        <v>32</v>
      </c>
      <c r="G261" t="s">
        <v>33</v>
      </c>
      <c r="H261" t="s">
        <v>154</v>
      </c>
      <c r="I261" s="1">
        <v>3</v>
      </c>
      <c r="J261" t="s">
        <v>21</v>
      </c>
      <c r="K261" t="s">
        <v>22</v>
      </c>
      <c r="L261"/>
      <c r="M261">
        <v>100000</v>
      </c>
      <c r="N261">
        <v>10</v>
      </c>
      <c r="O261">
        <v>9</v>
      </c>
      <c r="P261">
        <v>7</v>
      </c>
      <c r="Q261">
        <f t="shared" si="4"/>
        <v>1</v>
      </c>
    </row>
    <row r="262" spans="1:17" x14ac:dyDescent="0.25">
      <c r="A262" s="1">
        <v>261</v>
      </c>
      <c r="B262" s="4">
        <v>43701</v>
      </c>
      <c r="C262" s="1">
        <v>1102</v>
      </c>
      <c r="D262" t="s">
        <v>47</v>
      </c>
      <c r="E262" t="s">
        <v>46</v>
      </c>
      <c r="F262" t="s">
        <v>32</v>
      </c>
      <c r="G262" t="s">
        <v>33</v>
      </c>
      <c r="H262" t="s">
        <v>154</v>
      </c>
      <c r="I262" s="1">
        <v>3</v>
      </c>
      <c r="J262" t="s">
        <v>21</v>
      </c>
      <c r="K262" t="s">
        <v>22</v>
      </c>
      <c r="L262"/>
      <c r="M262">
        <v>100000</v>
      </c>
      <c r="N262">
        <v>10</v>
      </c>
      <c r="O262">
        <v>7</v>
      </c>
      <c r="P262">
        <v>7</v>
      </c>
      <c r="Q262">
        <f t="shared" si="4"/>
        <v>0</v>
      </c>
    </row>
    <row r="263" spans="1:17" x14ac:dyDescent="0.25">
      <c r="A263" s="1">
        <v>262</v>
      </c>
      <c r="B263" s="4">
        <v>43701</v>
      </c>
      <c r="C263" s="1">
        <v>1103</v>
      </c>
      <c r="D263" t="s">
        <v>48</v>
      </c>
      <c r="E263" t="s">
        <v>46</v>
      </c>
      <c r="F263" t="s">
        <v>32</v>
      </c>
      <c r="G263" t="s">
        <v>33</v>
      </c>
      <c r="H263" t="s">
        <v>154</v>
      </c>
      <c r="I263" s="1">
        <v>3</v>
      </c>
      <c r="J263" t="s">
        <v>21</v>
      </c>
      <c r="K263" t="s">
        <v>22</v>
      </c>
      <c r="L263"/>
      <c r="M263">
        <v>100000</v>
      </c>
      <c r="N263">
        <v>10</v>
      </c>
      <c r="O263">
        <v>8</v>
      </c>
      <c r="P263">
        <v>7</v>
      </c>
      <c r="Q263">
        <f t="shared" si="4"/>
        <v>1</v>
      </c>
    </row>
    <row r="264" spans="1:17" x14ac:dyDescent="0.25">
      <c r="A264" s="1">
        <v>263</v>
      </c>
      <c r="B264" s="4">
        <v>43701</v>
      </c>
      <c r="C264" s="1">
        <v>1104</v>
      </c>
      <c r="D264" t="s">
        <v>49</v>
      </c>
      <c r="E264" t="s">
        <v>46</v>
      </c>
      <c r="F264" t="s">
        <v>32</v>
      </c>
      <c r="G264" t="s">
        <v>33</v>
      </c>
      <c r="H264" t="s">
        <v>154</v>
      </c>
      <c r="I264" s="1">
        <v>3</v>
      </c>
      <c r="J264" t="s">
        <v>21</v>
      </c>
      <c r="K264" t="s">
        <v>22</v>
      </c>
      <c r="L264"/>
      <c r="M264">
        <v>100000</v>
      </c>
      <c r="N264">
        <v>10</v>
      </c>
      <c r="O264">
        <v>7</v>
      </c>
      <c r="P264">
        <v>7</v>
      </c>
      <c r="Q264">
        <f t="shared" si="4"/>
        <v>0</v>
      </c>
    </row>
    <row r="265" spans="1:17" x14ac:dyDescent="0.25">
      <c r="A265" s="1">
        <v>264</v>
      </c>
      <c r="B265" s="4">
        <v>43701</v>
      </c>
      <c r="C265" s="1">
        <v>1105</v>
      </c>
      <c r="D265" t="s">
        <v>92</v>
      </c>
      <c r="E265" t="s">
        <v>46</v>
      </c>
      <c r="F265" t="s">
        <v>32</v>
      </c>
      <c r="G265" t="s">
        <v>33</v>
      </c>
      <c r="H265" t="s">
        <v>154</v>
      </c>
      <c r="I265" s="1">
        <v>3</v>
      </c>
      <c r="J265" t="s">
        <v>21</v>
      </c>
      <c r="K265" t="s">
        <v>22</v>
      </c>
      <c r="L265"/>
      <c r="M265">
        <v>100000</v>
      </c>
      <c r="N265">
        <v>10</v>
      </c>
      <c r="O265">
        <v>8</v>
      </c>
      <c r="P265">
        <v>7</v>
      </c>
      <c r="Q265">
        <f t="shared" si="4"/>
        <v>1</v>
      </c>
    </row>
    <row r="266" spans="1:17" x14ac:dyDescent="0.25">
      <c r="A266" s="1">
        <v>265</v>
      </c>
      <c r="B266" s="4">
        <v>43701</v>
      </c>
      <c r="C266" s="1">
        <v>1106</v>
      </c>
      <c r="D266" t="s">
        <v>111</v>
      </c>
      <c r="E266" t="s">
        <v>46</v>
      </c>
      <c r="F266" t="s">
        <v>94</v>
      </c>
      <c r="G266" t="s">
        <v>10</v>
      </c>
      <c r="H266" t="s">
        <v>154</v>
      </c>
      <c r="I266" s="1">
        <v>3</v>
      </c>
      <c r="J266" t="s">
        <v>21</v>
      </c>
      <c r="K266" t="s">
        <v>22</v>
      </c>
      <c r="L266"/>
      <c r="M266">
        <v>100000</v>
      </c>
      <c r="N266">
        <v>10</v>
      </c>
      <c r="O266">
        <v>9</v>
      </c>
      <c r="P266">
        <v>7</v>
      </c>
      <c r="Q266">
        <f t="shared" si="4"/>
        <v>1</v>
      </c>
    </row>
    <row r="267" spans="1:17" x14ac:dyDescent="0.25">
      <c r="A267" s="1">
        <v>266</v>
      </c>
      <c r="B267" s="4">
        <v>43701</v>
      </c>
      <c r="C267" s="1">
        <v>1107</v>
      </c>
      <c r="D267" t="s">
        <v>112</v>
      </c>
      <c r="E267" t="s">
        <v>46</v>
      </c>
      <c r="F267" t="s">
        <v>94</v>
      </c>
      <c r="G267" t="s">
        <v>10</v>
      </c>
      <c r="H267" t="s">
        <v>154</v>
      </c>
      <c r="I267" s="1">
        <v>3</v>
      </c>
      <c r="J267" t="s">
        <v>21</v>
      </c>
      <c r="K267" t="s">
        <v>22</v>
      </c>
      <c r="L267"/>
      <c r="M267">
        <v>100000</v>
      </c>
      <c r="N267">
        <v>10</v>
      </c>
      <c r="O267">
        <v>7</v>
      </c>
      <c r="P267">
        <v>7</v>
      </c>
      <c r="Q267">
        <f t="shared" si="4"/>
        <v>0</v>
      </c>
    </row>
    <row r="268" spans="1:17" x14ac:dyDescent="0.25">
      <c r="A268" s="1">
        <v>267</v>
      </c>
      <c r="B268" s="4">
        <v>43701</v>
      </c>
      <c r="C268" s="1">
        <v>1108</v>
      </c>
      <c r="D268" t="s">
        <v>113</v>
      </c>
      <c r="E268" t="s">
        <v>46</v>
      </c>
      <c r="F268" t="s">
        <v>94</v>
      </c>
      <c r="G268" t="s">
        <v>10</v>
      </c>
      <c r="H268" t="s">
        <v>154</v>
      </c>
      <c r="I268" s="1">
        <v>3</v>
      </c>
      <c r="J268" t="s">
        <v>21</v>
      </c>
      <c r="K268" t="s">
        <v>22</v>
      </c>
      <c r="L268"/>
      <c r="M268">
        <v>100000</v>
      </c>
      <c r="N268">
        <v>10</v>
      </c>
      <c r="O268">
        <v>8</v>
      </c>
      <c r="P268">
        <v>7</v>
      </c>
      <c r="Q268">
        <f t="shared" si="4"/>
        <v>1</v>
      </c>
    </row>
    <row r="269" spans="1:17" x14ac:dyDescent="0.25">
      <c r="A269" s="1">
        <v>268</v>
      </c>
      <c r="B269" s="4">
        <v>43701</v>
      </c>
      <c r="C269" s="1">
        <v>1109</v>
      </c>
      <c r="D269" t="s">
        <v>114</v>
      </c>
      <c r="E269" t="s">
        <v>46</v>
      </c>
      <c r="F269" t="s">
        <v>94</v>
      </c>
      <c r="G269" t="s">
        <v>10</v>
      </c>
      <c r="H269" t="s">
        <v>154</v>
      </c>
      <c r="I269" s="1">
        <v>3</v>
      </c>
      <c r="J269" t="s">
        <v>21</v>
      </c>
      <c r="K269" t="s">
        <v>22</v>
      </c>
      <c r="L269"/>
      <c r="M269">
        <v>100000</v>
      </c>
      <c r="N269">
        <v>10</v>
      </c>
      <c r="O269">
        <v>7</v>
      </c>
      <c r="P269">
        <v>7</v>
      </c>
      <c r="Q269">
        <f t="shared" si="4"/>
        <v>0</v>
      </c>
    </row>
    <row r="270" spans="1:17" x14ac:dyDescent="0.25">
      <c r="A270" s="1">
        <v>269</v>
      </c>
      <c r="B270" s="4">
        <v>43701</v>
      </c>
      <c r="C270" s="1">
        <v>1110</v>
      </c>
      <c r="D270" t="s">
        <v>115</v>
      </c>
      <c r="E270" t="s">
        <v>46</v>
      </c>
      <c r="F270" t="s">
        <v>94</v>
      </c>
      <c r="G270" t="s">
        <v>10</v>
      </c>
      <c r="H270" t="s">
        <v>154</v>
      </c>
      <c r="I270" s="1">
        <v>3</v>
      </c>
      <c r="J270" t="s">
        <v>21</v>
      </c>
      <c r="K270" t="s">
        <v>22</v>
      </c>
      <c r="L270"/>
      <c r="M270">
        <v>100000</v>
      </c>
      <c r="N270">
        <v>10</v>
      </c>
      <c r="O270">
        <v>10</v>
      </c>
      <c r="P270">
        <v>7</v>
      </c>
      <c r="Q270">
        <f t="shared" si="4"/>
        <v>1</v>
      </c>
    </row>
    <row r="271" spans="1:17" x14ac:dyDescent="0.25">
      <c r="A271" s="1">
        <v>270</v>
      </c>
      <c r="B271" s="4">
        <v>43701</v>
      </c>
      <c r="C271" s="1">
        <v>1111</v>
      </c>
      <c r="D271" t="s">
        <v>116</v>
      </c>
      <c r="E271" t="s">
        <v>46</v>
      </c>
      <c r="F271" t="s">
        <v>94</v>
      </c>
      <c r="G271" t="s">
        <v>10</v>
      </c>
      <c r="H271" t="s">
        <v>154</v>
      </c>
      <c r="I271" s="1">
        <v>3</v>
      </c>
      <c r="J271" t="s">
        <v>21</v>
      </c>
      <c r="K271" t="s">
        <v>22</v>
      </c>
      <c r="L271"/>
      <c r="M271">
        <v>100000</v>
      </c>
      <c r="N271">
        <v>10</v>
      </c>
      <c r="O271">
        <v>7</v>
      </c>
      <c r="P271">
        <v>7</v>
      </c>
      <c r="Q271">
        <f t="shared" si="4"/>
        <v>0</v>
      </c>
    </row>
    <row r="272" spans="1:17" x14ac:dyDescent="0.25">
      <c r="A272" s="1">
        <v>271</v>
      </c>
      <c r="B272" s="4">
        <v>43701</v>
      </c>
      <c r="C272" s="1">
        <v>1112</v>
      </c>
      <c r="D272" t="s">
        <v>64</v>
      </c>
      <c r="E272" t="s">
        <v>46</v>
      </c>
      <c r="F272" t="s">
        <v>51</v>
      </c>
      <c r="G272" t="s">
        <v>52</v>
      </c>
      <c r="H272" t="s">
        <v>154</v>
      </c>
      <c r="I272" s="1">
        <v>3</v>
      </c>
      <c r="J272" t="s">
        <v>21</v>
      </c>
      <c r="K272" t="s">
        <v>22</v>
      </c>
      <c r="L272"/>
      <c r="M272">
        <v>100000</v>
      </c>
      <c r="N272">
        <v>10</v>
      </c>
      <c r="O272">
        <v>8</v>
      </c>
      <c r="P272">
        <v>7</v>
      </c>
      <c r="Q272">
        <f t="shared" si="4"/>
        <v>1</v>
      </c>
    </row>
    <row r="273" spans="1:17" x14ac:dyDescent="0.25">
      <c r="A273" s="1">
        <v>272</v>
      </c>
      <c r="B273" s="4">
        <v>43723</v>
      </c>
      <c r="C273" s="1">
        <v>1033</v>
      </c>
      <c r="D273" t="s">
        <v>134</v>
      </c>
      <c r="E273" t="s">
        <v>31</v>
      </c>
      <c r="F273" t="s">
        <v>32</v>
      </c>
      <c r="G273" t="s">
        <v>135</v>
      </c>
      <c r="H273" t="s">
        <v>166</v>
      </c>
      <c r="I273" s="1">
        <v>3</v>
      </c>
      <c r="J273" t="s">
        <v>21</v>
      </c>
      <c r="K273" t="s">
        <v>22</v>
      </c>
      <c r="L273"/>
      <c r="M273">
        <v>100000</v>
      </c>
      <c r="N273">
        <v>10</v>
      </c>
      <c r="O273">
        <v>9</v>
      </c>
      <c r="P273">
        <v>7</v>
      </c>
      <c r="Q273">
        <f t="shared" si="4"/>
        <v>1</v>
      </c>
    </row>
    <row r="274" spans="1:17" x14ac:dyDescent="0.25">
      <c r="A274" s="1">
        <v>273</v>
      </c>
      <c r="B274" s="4">
        <v>43723</v>
      </c>
      <c r="C274" s="1">
        <v>1034</v>
      </c>
      <c r="D274" t="s">
        <v>30</v>
      </c>
      <c r="E274" t="s">
        <v>31</v>
      </c>
      <c r="F274" t="s">
        <v>32</v>
      </c>
      <c r="G274" t="s">
        <v>33</v>
      </c>
      <c r="H274" t="s">
        <v>166</v>
      </c>
      <c r="I274" s="1">
        <v>3</v>
      </c>
      <c r="J274" t="s">
        <v>21</v>
      </c>
      <c r="K274" t="s">
        <v>22</v>
      </c>
      <c r="L274"/>
      <c r="M274">
        <v>100000</v>
      </c>
      <c r="N274">
        <v>10</v>
      </c>
      <c r="O274">
        <v>7</v>
      </c>
      <c r="P274">
        <v>7</v>
      </c>
      <c r="Q274">
        <f t="shared" si="4"/>
        <v>0</v>
      </c>
    </row>
    <row r="275" spans="1:17" x14ac:dyDescent="0.25">
      <c r="A275" s="1">
        <v>274</v>
      </c>
      <c r="B275" s="4">
        <v>43723</v>
      </c>
      <c r="C275" s="1">
        <v>1035</v>
      </c>
      <c r="D275" t="s">
        <v>35</v>
      </c>
      <c r="E275" t="s">
        <v>31</v>
      </c>
      <c r="F275" t="s">
        <v>32</v>
      </c>
      <c r="G275" t="s">
        <v>33</v>
      </c>
      <c r="H275" t="s">
        <v>166</v>
      </c>
      <c r="I275" s="1">
        <v>3</v>
      </c>
      <c r="J275" t="s">
        <v>21</v>
      </c>
      <c r="K275" t="s">
        <v>22</v>
      </c>
      <c r="L275"/>
      <c r="M275">
        <v>100000</v>
      </c>
      <c r="N275">
        <v>10</v>
      </c>
      <c r="O275">
        <v>7</v>
      </c>
      <c r="P275">
        <v>7</v>
      </c>
      <c r="Q275">
        <f t="shared" si="4"/>
        <v>0</v>
      </c>
    </row>
    <row r="276" spans="1:17" x14ac:dyDescent="0.25">
      <c r="A276" s="1">
        <v>275</v>
      </c>
      <c r="B276" s="4">
        <v>43723</v>
      </c>
      <c r="C276" s="1">
        <v>1036</v>
      </c>
      <c r="D276" t="s">
        <v>36</v>
      </c>
      <c r="E276" t="s">
        <v>31</v>
      </c>
      <c r="F276" t="s">
        <v>32</v>
      </c>
      <c r="G276" t="s">
        <v>33</v>
      </c>
      <c r="H276" t="s">
        <v>166</v>
      </c>
      <c r="I276" s="1">
        <v>3</v>
      </c>
      <c r="J276" t="s">
        <v>21</v>
      </c>
      <c r="K276" t="s">
        <v>22</v>
      </c>
      <c r="L276"/>
      <c r="M276">
        <v>100000</v>
      </c>
      <c r="N276">
        <v>10</v>
      </c>
      <c r="O276">
        <v>6</v>
      </c>
      <c r="P276">
        <v>7</v>
      </c>
      <c r="Q276">
        <f t="shared" si="4"/>
        <v>0</v>
      </c>
    </row>
    <row r="277" spans="1:17" x14ac:dyDescent="0.25">
      <c r="A277" s="1">
        <v>276</v>
      </c>
      <c r="B277" s="4">
        <v>43723</v>
      </c>
      <c r="C277" s="1">
        <v>1037</v>
      </c>
      <c r="D277" t="s">
        <v>37</v>
      </c>
      <c r="E277" t="s">
        <v>31</v>
      </c>
      <c r="F277" t="s">
        <v>32</v>
      </c>
      <c r="G277" t="s">
        <v>33</v>
      </c>
      <c r="H277" t="s">
        <v>166</v>
      </c>
      <c r="I277" s="1">
        <v>3</v>
      </c>
      <c r="J277" t="s">
        <v>21</v>
      </c>
      <c r="K277" t="s">
        <v>22</v>
      </c>
      <c r="L277"/>
      <c r="M277">
        <v>100000</v>
      </c>
      <c r="N277">
        <v>10</v>
      </c>
      <c r="O277">
        <v>7</v>
      </c>
      <c r="P277">
        <v>7</v>
      </c>
      <c r="Q277">
        <f t="shared" si="4"/>
        <v>0</v>
      </c>
    </row>
    <row r="278" spans="1:17" x14ac:dyDescent="0.25">
      <c r="A278" s="1">
        <v>277</v>
      </c>
      <c r="B278" s="4">
        <v>43723</v>
      </c>
      <c r="C278" s="1">
        <v>1038</v>
      </c>
      <c r="D278" t="s">
        <v>82</v>
      </c>
      <c r="E278" t="s">
        <v>31</v>
      </c>
      <c r="F278" t="s">
        <v>32</v>
      </c>
      <c r="G278" t="s">
        <v>33</v>
      </c>
      <c r="H278" t="s">
        <v>166</v>
      </c>
      <c r="I278" s="1">
        <v>3</v>
      </c>
      <c r="J278" t="s">
        <v>21</v>
      </c>
      <c r="K278" t="s">
        <v>22</v>
      </c>
      <c r="L278"/>
      <c r="M278">
        <v>100000</v>
      </c>
      <c r="N278">
        <v>10</v>
      </c>
      <c r="O278">
        <v>5</v>
      </c>
      <c r="P278">
        <v>7</v>
      </c>
      <c r="Q278">
        <f t="shared" si="4"/>
        <v>0</v>
      </c>
    </row>
    <row r="279" spans="1:17" x14ac:dyDescent="0.25">
      <c r="A279" s="1">
        <v>278</v>
      </c>
      <c r="B279" s="4">
        <v>43723</v>
      </c>
      <c r="C279" s="1">
        <v>1039</v>
      </c>
      <c r="D279" t="s">
        <v>83</v>
      </c>
      <c r="E279" t="s">
        <v>31</v>
      </c>
      <c r="F279" t="s">
        <v>32</v>
      </c>
      <c r="G279" t="s">
        <v>33</v>
      </c>
      <c r="H279" t="s">
        <v>166</v>
      </c>
      <c r="I279" s="1">
        <v>3</v>
      </c>
      <c r="J279" t="s">
        <v>21</v>
      </c>
      <c r="K279" t="s">
        <v>22</v>
      </c>
      <c r="L279"/>
      <c r="M279">
        <v>100000</v>
      </c>
      <c r="N279">
        <v>10</v>
      </c>
      <c r="O279">
        <v>6</v>
      </c>
      <c r="P279">
        <v>7</v>
      </c>
      <c r="Q279">
        <f t="shared" si="4"/>
        <v>0</v>
      </c>
    </row>
    <row r="280" spans="1:17" x14ac:dyDescent="0.25">
      <c r="A280" s="1">
        <v>279</v>
      </c>
      <c r="B280" s="4">
        <v>43723</v>
      </c>
      <c r="C280" s="1">
        <v>1040</v>
      </c>
      <c r="D280" t="s">
        <v>84</v>
      </c>
      <c r="E280" t="s">
        <v>31</v>
      </c>
      <c r="F280" t="s">
        <v>32</v>
      </c>
      <c r="G280" t="s">
        <v>33</v>
      </c>
      <c r="H280" t="s">
        <v>166</v>
      </c>
      <c r="I280" s="1">
        <v>3</v>
      </c>
      <c r="J280" t="s">
        <v>21</v>
      </c>
      <c r="K280" t="s">
        <v>22</v>
      </c>
      <c r="L280"/>
      <c r="M280">
        <v>100000</v>
      </c>
      <c r="N280">
        <v>10</v>
      </c>
      <c r="O280">
        <v>9</v>
      </c>
      <c r="P280">
        <v>7</v>
      </c>
      <c r="Q280">
        <f t="shared" si="4"/>
        <v>1</v>
      </c>
    </row>
    <row r="281" spans="1:17" x14ac:dyDescent="0.25">
      <c r="A281" s="1">
        <v>280</v>
      </c>
      <c r="B281" s="4">
        <v>43723</v>
      </c>
      <c r="C281" s="1">
        <v>1041</v>
      </c>
      <c r="D281" t="s">
        <v>85</v>
      </c>
      <c r="E281" t="s">
        <v>31</v>
      </c>
      <c r="F281" t="s">
        <v>32</v>
      </c>
      <c r="G281" t="s">
        <v>33</v>
      </c>
      <c r="H281" t="s">
        <v>166</v>
      </c>
      <c r="I281" s="1">
        <v>3</v>
      </c>
      <c r="J281" t="s">
        <v>21</v>
      </c>
      <c r="K281" t="s">
        <v>22</v>
      </c>
      <c r="L281"/>
      <c r="M281">
        <v>100000</v>
      </c>
      <c r="N281">
        <v>10</v>
      </c>
      <c r="O281">
        <v>7</v>
      </c>
      <c r="P281">
        <v>7</v>
      </c>
      <c r="Q281">
        <f t="shared" si="4"/>
        <v>0</v>
      </c>
    </row>
    <row r="282" spans="1:17" x14ac:dyDescent="0.25">
      <c r="A282" s="1">
        <v>281</v>
      </c>
      <c r="B282" s="4">
        <v>43723</v>
      </c>
      <c r="C282" s="1">
        <v>1059</v>
      </c>
      <c r="D282" t="s">
        <v>137</v>
      </c>
      <c r="E282" t="s">
        <v>39</v>
      </c>
      <c r="F282" t="s">
        <v>32</v>
      </c>
      <c r="G282" t="s">
        <v>135</v>
      </c>
      <c r="H282" t="s">
        <v>166</v>
      </c>
      <c r="I282" s="1">
        <v>3</v>
      </c>
      <c r="J282" t="s">
        <v>21</v>
      </c>
      <c r="K282" t="s">
        <v>22</v>
      </c>
      <c r="L282"/>
      <c r="M282">
        <v>100000</v>
      </c>
      <c r="N282">
        <v>10</v>
      </c>
      <c r="O282">
        <v>8</v>
      </c>
      <c r="P282">
        <v>7</v>
      </c>
      <c r="Q282">
        <f t="shared" si="4"/>
        <v>1</v>
      </c>
    </row>
    <row r="283" spans="1:17" x14ac:dyDescent="0.25">
      <c r="A283" s="1">
        <v>282</v>
      </c>
      <c r="B283" s="4">
        <v>43723</v>
      </c>
      <c r="C283" s="1">
        <v>1060</v>
      </c>
      <c r="D283" t="s">
        <v>38</v>
      </c>
      <c r="E283" t="s">
        <v>39</v>
      </c>
      <c r="F283" t="s">
        <v>32</v>
      </c>
      <c r="G283" t="s">
        <v>33</v>
      </c>
      <c r="H283" t="s">
        <v>166</v>
      </c>
      <c r="I283" s="1">
        <v>3</v>
      </c>
      <c r="J283" t="s">
        <v>21</v>
      </c>
      <c r="K283" t="s">
        <v>22</v>
      </c>
      <c r="L283"/>
      <c r="M283">
        <v>100000</v>
      </c>
      <c r="N283">
        <v>10</v>
      </c>
      <c r="O283">
        <v>9</v>
      </c>
      <c r="P283">
        <v>7</v>
      </c>
      <c r="Q283">
        <f t="shared" si="4"/>
        <v>1</v>
      </c>
    </row>
    <row r="284" spans="1:17" x14ac:dyDescent="0.25">
      <c r="A284" s="1">
        <v>283</v>
      </c>
      <c r="B284" s="4">
        <v>43723</v>
      </c>
      <c r="C284" s="1">
        <v>1061</v>
      </c>
      <c r="D284" t="s">
        <v>40</v>
      </c>
      <c r="E284" t="s">
        <v>39</v>
      </c>
      <c r="F284" t="s">
        <v>32</v>
      </c>
      <c r="G284" t="s">
        <v>33</v>
      </c>
      <c r="H284" t="s">
        <v>166</v>
      </c>
      <c r="I284" s="1">
        <v>3</v>
      </c>
      <c r="J284" t="s">
        <v>21</v>
      </c>
      <c r="K284" t="s">
        <v>22</v>
      </c>
      <c r="L284"/>
      <c r="M284">
        <v>100000</v>
      </c>
      <c r="N284">
        <v>10</v>
      </c>
      <c r="O284">
        <v>8</v>
      </c>
      <c r="P284">
        <v>7</v>
      </c>
      <c r="Q284">
        <f t="shared" si="4"/>
        <v>1</v>
      </c>
    </row>
    <row r="285" spans="1:17" x14ac:dyDescent="0.25">
      <c r="A285" s="1">
        <v>284</v>
      </c>
      <c r="B285" s="4">
        <v>43723</v>
      </c>
      <c r="C285" s="1">
        <v>1062</v>
      </c>
      <c r="D285" t="s">
        <v>41</v>
      </c>
      <c r="E285" t="s">
        <v>39</v>
      </c>
      <c r="F285" t="s">
        <v>32</v>
      </c>
      <c r="G285" t="s">
        <v>33</v>
      </c>
      <c r="H285" t="s">
        <v>166</v>
      </c>
      <c r="I285" s="1">
        <v>3</v>
      </c>
      <c r="J285" t="s">
        <v>21</v>
      </c>
      <c r="K285" t="s">
        <v>22</v>
      </c>
      <c r="L285"/>
      <c r="M285">
        <v>100000</v>
      </c>
      <c r="N285">
        <v>10</v>
      </c>
      <c r="O285">
        <v>7</v>
      </c>
      <c r="P285">
        <v>7</v>
      </c>
      <c r="Q285">
        <f t="shared" si="4"/>
        <v>0</v>
      </c>
    </row>
    <row r="286" spans="1:17" x14ac:dyDescent="0.25">
      <c r="A286" s="1">
        <v>285</v>
      </c>
      <c r="B286" s="4">
        <v>43723</v>
      </c>
      <c r="C286" s="1">
        <v>1063</v>
      </c>
      <c r="D286" t="s">
        <v>42</v>
      </c>
      <c r="E286" t="s">
        <v>39</v>
      </c>
      <c r="F286" t="s">
        <v>32</v>
      </c>
      <c r="G286" t="s">
        <v>33</v>
      </c>
      <c r="H286" t="s">
        <v>166</v>
      </c>
      <c r="I286" s="1">
        <v>3</v>
      </c>
      <c r="J286" t="s">
        <v>21</v>
      </c>
      <c r="K286" t="s">
        <v>22</v>
      </c>
      <c r="L286"/>
      <c r="M286">
        <v>100000</v>
      </c>
      <c r="N286">
        <v>10</v>
      </c>
      <c r="O286">
        <v>8</v>
      </c>
      <c r="P286">
        <v>7</v>
      </c>
      <c r="Q286">
        <f t="shared" si="4"/>
        <v>1</v>
      </c>
    </row>
    <row r="287" spans="1:17" x14ac:dyDescent="0.25">
      <c r="A287" s="1">
        <v>286</v>
      </c>
      <c r="B287" s="4">
        <v>43723</v>
      </c>
      <c r="C287" s="1">
        <v>1064</v>
      </c>
      <c r="D287" t="s">
        <v>86</v>
      </c>
      <c r="E287" t="s">
        <v>39</v>
      </c>
      <c r="F287" t="s">
        <v>32</v>
      </c>
      <c r="G287" t="s">
        <v>33</v>
      </c>
      <c r="H287" t="s">
        <v>166</v>
      </c>
      <c r="I287" s="1">
        <v>3</v>
      </c>
      <c r="J287" t="s">
        <v>21</v>
      </c>
      <c r="K287" t="s">
        <v>22</v>
      </c>
      <c r="L287"/>
      <c r="M287">
        <v>100000</v>
      </c>
      <c r="N287">
        <v>10</v>
      </c>
      <c r="O287">
        <v>7</v>
      </c>
      <c r="P287">
        <v>7</v>
      </c>
      <c r="Q287">
        <f t="shared" si="4"/>
        <v>0</v>
      </c>
    </row>
    <row r="288" spans="1:17" x14ac:dyDescent="0.25">
      <c r="A288" s="1">
        <v>287</v>
      </c>
      <c r="B288" s="4">
        <v>43754</v>
      </c>
      <c r="C288" s="1">
        <v>1076</v>
      </c>
      <c r="D288" t="s">
        <v>139</v>
      </c>
      <c r="E288" t="s">
        <v>43</v>
      </c>
      <c r="F288" t="s">
        <v>32</v>
      </c>
      <c r="G288" t="s">
        <v>133</v>
      </c>
      <c r="H288" t="s">
        <v>167</v>
      </c>
      <c r="I288" s="1">
        <v>3</v>
      </c>
      <c r="J288" t="s">
        <v>21</v>
      </c>
      <c r="K288" t="s">
        <v>22</v>
      </c>
      <c r="L288"/>
      <c r="M288">
        <v>100000</v>
      </c>
      <c r="N288">
        <v>10</v>
      </c>
      <c r="O288">
        <v>8</v>
      </c>
      <c r="P288">
        <v>7</v>
      </c>
      <c r="Q288">
        <f t="shared" si="4"/>
        <v>1</v>
      </c>
    </row>
    <row r="289" spans="1:17" x14ac:dyDescent="0.25">
      <c r="A289" s="1">
        <v>288</v>
      </c>
      <c r="B289" s="4">
        <v>43754</v>
      </c>
      <c r="C289" s="1">
        <v>1077</v>
      </c>
      <c r="D289" t="s">
        <v>140</v>
      </c>
      <c r="E289" t="s">
        <v>43</v>
      </c>
      <c r="F289" t="s">
        <v>32</v>
      </c>
      <c r="G289" t="s">
        <v>135</v>
      </c>
      <c r="H289" t="s">
        <v>167</v>
      </c>
      <c r="I289" s="1">
        <v>3</v>
      </c>
      <c r="J289" t="s">
        <v>21</v>
      </c>
      <c r="K289" t="s">
        <v>22</v>
      </c>
      <c r="L289"/>
      <c r="M289">
        <v>100000</v>
      </c>
      <c r="N289">
        <v>10</v>
      </c>
      <c r="O289">
        <v>7</v>
      </c>
      <c r="P289">
        <v>7</v>
      </c>
      <c r="Q289">
        <f t="shared" si="4"/>
        <v>0</v>
      </c>
    </row>
    <row r="290" spans="1:17" x14ac:dyDescent="0.25">
      <c r="A290" s="1">
        <v>289</v>
      </c>
      <c r="B290" s="4">
        <v>43754</v>
      </c>
      <c r="C290" s="1">
        <v>1078</v>
      </c>
      <c r="D290" t="s">
        <v>87</v>
      </c>
      <c r="E290" t="s">
        <v>43</v>
      </c>
      <c r="F290" t="s">
        <v>32</v>
      </c>
      <c r="G290" t="s">
        <v>33</v>
      </c>
      <c r="H290" t="s">
        <v>167</v>
      </c>
      <c r="I290" s="1">
        <v>3</v>
      </c>
      <c r="J290" t="s">
        <v>21</v>
      </c>
      <c r="K290" t="s">
        <v>22</v>
      </c>
      <c r="L290"/>
      <c r="M290">
        <v>100000</v>
      </c>
      <c r="N290">
        <v>10</v>
      </c>
      <c r="O290">
        <v>8</v>
      </c>
      <c r="P290">
        <v>7</v>
      </c>
      <c r="Q290">
        <f t="shared" si="4"/>
        <v>1</v>
      </c>
    </row>
    <row r="291" spans="1:17" x14ac:dyDescent="0.25">
      <c r="A291" s="1">
        <v>290</v>
      </c>
      <c r="B291" s="4">
        <v>43754</v>
      </c>
      <c r="C291" s="1">
        <v>1079</v>
      </c>
      <c r="D291" t="s">
        <v>88</v>
      </c>
      <c r="E291" t="s">
        <v>43</v>
      </c>
      <c r="F291" t="s">
        <v>32</v>
      </c>
      <c r="G291" t="s">
        <v>33</v>
      </c>
      <c r="H291" t="s">
        <v>167</v>
      </c>
      <c r="I291" s="1">
        <v>3</v>
      </c>
      <c r="J291" t="s">
        <v>21</v>
      </c>
      <c r="K291" t="s">
        <v>22</v>
      </c>
      <c r="L291"/>
      <c r="M291">
        <v>100000</v>
      </c>
      <c r="N291">
        <v>10</v>
      </c>
      <c r="O291">
        <v>8</v>
      </c>
      <c r="P291">
        <v>7</v>
      </c>
      <c r="Q291">
        <f t="shared" si="4"/>
        <v>1</v>
      </c>
    </row>
    <row r="292" spans="1:17" x14ac:dyDescent="0.25">
      <c r="A292" s="1">
        <v>291</v>
      </c>
      <c r="B292" s="4">
        <v>43754</v>
      </c>
      <c r="C292" s="1">
        <v>1080</v>
      </c>
      <c r="D292" t="s">
        <v>89</v>
      </c>
      <c r="E292" t="s">
        <v>43</v>
      </c>
      <c r="F292" t="s">
        <v>32</v>
      </c>
      <c r="G292" t="s">
        <v>33</v>
      </c>
      <c r="H292" t="s">
        <v>167</v>
      </c>
      <c r="I292" s="1">
        <v>3</v>
      </c>
      <c r="J292" t="s">
        <v>21</v>
      </c>
      <c r="K292" t="s">
        <v>22</v>
      </c>
      <c r="L292"/>
      <c r="M292">
        <v>100000</v>
      </c>
      <c r="N292">
        <v>10</v>
      </c>
      <c r="O292">
        <v>7</v>
      </c>
      <c r="P292">
        <v>7</v>
      </c>
      <c r="Q292">
        <f t="shared" si="4"/>
        <v>0</v>
      </c>
    </row>
    <row r="293" spans="1:17" x14ac:dyDescent="0.25">
      <c r="A293" s="1">
        <v>292</v>
      </c>
      <c r="B293" s="4">
        <v>43754</v>
      </c>
      <c r="C293" s="1">
        <v>1081</v>
      </c>
      <c r="D293" t="s">
        <v>38</v>
      </c>
      <c r="E293" t="s">
        <v>43</v>
      </c>
      <c r="F293" t="s">
        <v>32</v>
      </c>
      <c r="G293" t="s">
        <v>33</v>
      </c>
      <c r="H293" t="s">
        <v>167</v>
      </c>
      <c r="I293" s="1">
        <v>3</v>
      </c>
      <c r="J293" t="s">
        <v>21</v>
      </c>
      <c r="K293" t="s">
        <v>22</v>
      </c>
      <c r="L293"/>
      <c r="M293">
        <v>100000</v>
      </c>
      <c r="N293">
        <v>10</v>
      </c>
      <c r="O293">
        <v>5</v>
      </c>
      <c r="P293">
        <v>7</v>
      </c>
      <c r="Q293">
        <f t="shared" si="4"/>
        <v>0</v>
      </c>
    </row>
    <row r="294" spans="1:17" x14ac:dyDescent="0.25">
      <c r="A294" s="1">
        <v>293</v>
      </c>
      <c r="B294" s="4">
        <v>43754</v>
      </c>
      <c r="C294" s="1">
        <v>1082</v>
      </c>
      <c r="D294" t="s">
        <v>40</v>
      </c>
      <c r="E294" t="s">
        <v>43</v>
      </c>
      <c r="F294" t="s">
        <v>32</v>
      </c>
      <c r="G294" t="s">
        <v>33</v>
      </c>
      <c r="H294" t="s">
        <v>167</v>
      </c>
      <c r="I294" s="1">
        <v>3</v>
      </c>
      <c r="J294" t="s">
        <v>21</v>
      </c>
      <c r="K294" t="s">
        <v>22</v>
      </c>
      <c r="L294"/>
      <c r="M294">
        <v>100000</v>
      </c>
      <c r="N294">
        <v>10</v>
      </c>
      <c r="O294">
        <v>6</v>
      </c>
      <c r="P294">
        <v>7</v>
      </c>
      <c r="Q294">
        <f t="shared" si="4"/>
        <v>0</v>
      </c>
    </row>
    <row r="295" spans="1:17" x14ac:dyDescent="0.25">
      <c r="A295" s="1">
        <v>294</v>
      </c>
      <c r="B295" s="4">
        <v>43754</v>
      </c>
      <c r="C295" s="1">
        <v>1083</v>
      </c>
      <c r="D295" t="s">
        <v>44</v>
      </c>
      <c r="E295" t="s">
        <v>43</v>
      </c>
      <c r="F295" t="s">
        <v>32</v>
      </c>
      <c r="G295" t="s">
        <v>33</v>
      </c>
      <c r="H295" t="s">
        <v>167</v>
      </c>
      <c r="I295" s="1">
        <v>3</v>
      </c>
      <c r="J295" t="s">
        <v>21</v>
      </c>
      <c r="K295" t="s">
        <v>22</v>
      </c>
      <c r="L295"/>
      <c r="M295">
        <v>100000</v>
      </c>
      <c r="N295">
        <v>10</v>
      </c>
      <c r="O295">
        <v>7</v>
      </c>
      <c r="P295">
        <v>7</v>
      </c>
      <c r="Q295">
        <f t="shared" si="4"/>
        <v>0</v>
      </c>
    </row>
    <row r="296" spans="1:17" x14ac:dyDescent="0.25">
      <c r="A296" s="1">
        <v>295</v>
      </c>
      <c r="B296" s="4">
        <v>43754</v>
      </c>
      <c r="C296" s="1">
        <v>1084</v>
      </c>
      <c r="D296" t="s">
        <v>42</v>
      </c>
      <c r="E296" t="s">
        <v>43</v>
      </c>
      <c r="F296" t="s">
        <v>32</v>
      </c>
      <c r="G296" t="s">
        <v>33</v>
      </c>
      <c r="H296" t="s">
        <v>167</v>
      </c>
      <c r="I296" s="1">
        <v>3</v>
      </c>
      <c r="J296" t="s">
        <v>21</v>
      </c>
      <c r="K296" t="s">
        <v>22</v>
      </c>
      <c r="L296"/>
      <c r="M296">
        <v>100000</v>
      </c>
      <c r="N296">
        <v>10</v>
      </c>
      <c r="O296">
        <v>8</v>
      </c>
      <c r="P296">
        <v>7</v>
      </c>
      <c r="Q296">
        <f t="shared" si="4"/>
        <v>1</v>
      </c>
    </row>
    <row r="297" spans="1:17" x14ac:dyDescent="0.25">
      <c r="A297" s="1">
        <v>296</v>
      </c>
      <c r="B297" s="4">
        <v>43754</v>
      </c>
      <c r="C297" s="1">
        <v>1097</v>
      </c>
      <c r="D297" t="s">
        <v>142</v>
      </c>
      <c r="E297" t="s">
        <v>46</v>
      </c>
      <c r="F297" t="s">
        <v>32</v>
      </c>
      <c r="G297" t="s">
        <v>133</v>
      </c>
      <c r="H297" t="s">
        <v>167</v>
      </c>
      <c r="I297" s="1">
        <v>3</v>
      </c>
      <c r="J297" t="s">
        <v>21</v>
      </c>
      <c r="K297" t="s">
        <v>22</v>
      </c>
      <c r="L297"/>
      <c r="M297">
        <v>100000</v>
      </c>
      <c r="N297">
        <v>10</v>
      </c>
      <c r="O297">
        <v>8</v>
      </c>
      <c r="P297">
        <v>7</v>
      </c>
      <c r="Q297">
        <f t="shared" si="4"/>
        <v>1</v>
      </c>
    </row>
    <row r="298" spans="1:17" x14ac:dyDescent="0.25">
      <c r="A298" s="1">
        <v>297</v>
      </c>
      <c r="B298" s="4">
        <v>43754</v>
      </c>
      <c r="C298" s="1">
        <v>1098</v>
      </c>
      <c r="D298" t="s">
        <v>143</v>
      </c>
      <c r="E298" t="s">
        <v>46</v>
      </c>
      <c r="F298" t="s">
        <v>32</v>
      </c>
      <c r="G298" t="s">
        <v>135</v>
      </c>
      <c r="H298" t="s">
        <v>167</v>
      </c>
      <c r="I298" s="1">
        <v>3</v>
      </c>
      <c r="J298" t="s">
        <v>21</v>
      </c>
      <c r="K298" t="s">
        <v>22</v>
      </c>
      <c r="L298"/>
      <c r="M298">
        <v>100000</v>
      </c>
      <c r="N298">
        <v>10</v>
      </c>
      <c r="O298">
        <v>6</v>
      </c>
      <c r="P298">
        <v>7</v>
      </c>
      <c r="Q298">
        <f t="shared" si="4"/>
        <v>0</v>
      </c>
    </row>
    <row r="299" spans="1:17" x14ac:dyDescent="0.25">
      <c r="A299" s="1">
        <v>298</v>
      </c>
      <c r="B299" s="4">
        <v>43754</v>
      </c>
      <c r="C299" s="1">
        <v>1099</v>
      </c>
      <c r="D299" t="s">
        <v>90</v>
      </c>
      <c r="E299" t="s">
        <v>46</v>
      </c>
      <c r="F299" t="s">
        <v>32</v>
      </c>
      <c r="G299" t="s">
        <v>33</v>
      </c>
      <c r="H299" t="s">
        <v>167</v>
      </c>
      <c r="I299" s="1">
        <v>3</v>
      </c>
      <c r="J299" t="s">
        <v>21</v>
      </c>
      <c r="K299" t="s">
        <v>22</v>
      </c>
      <c r="L299"/>
      <c r="M299">
        <v>100000</v>
      </c>
      <c r="N299">
        <v>10</v>
      </c>
      <c r="O299">
        <v>5</v>
      </c>
      <c r="P299">
        <v>7</v>
      </c>
      <c r="Q299">
        <f t="shared" si="4"/>
        <v>0</v>
      </c>
    </row>
    <row r="300" spans="1:17" x14ac:dyDescent="0.25">
      <c r="A300" s="1">
        <v>299</v>
      </c>
      <c r="B300" s="4">
        <v>43754</v>
      </c>
      <c r="C300" s="1">
        <v>1100</v>
      </c>
      <c r="D300" t="s">
        <v>91</v>
      </c>
      <c r="E300" t="s">
        <v>46</v>
      </c>
      <c r="F300" t="s">
        <v>32</v>
      </c>
      <c r="G300" t="s">
        <v>33</v>
      </c>
      <c r="H300" t="s">
        <v>167</v>
      </c>
      <c r="I300" s="1">
        <v>3</v>
      </c>
      <c r="J300" t="s">
        <v>21</v>
      </c>
      <c r="K300" t="s">
        <v>22</v>
      </c>
      <c r="L300"/>
      <c r="M300">
        <v>100000</v>
      </c>
      <c r="N300">
        <v>10</v>
      </c>
      <c r="O300">
        <v>6</v>
      </c>
      <c r="P300">
        <v>7</v>
      </c>
      <c r="Q300">
        <f t="shared" si="4"/>
        <v>0</v>
      </c>
    </row>
    <row r="301" spans="1:17" x14ac:dyDescent="0.25">
      <c r="A301" s="1">
        <v>300</v>
      </c>
      <c r="B301" s="4">
        <v>43754</v>
      </c>
      <c r="C301" s="1">
        <v>1101</v>
      </c>
      <c r="D301" t="s">
        <v>45</v>
      </c>
      <c r="E301" t="s">
        <v>46</v>
      </c>
      <c r="F301" t="s">
        <v>32</v>
      </c>
      <c r="G301" t="s">
        <v>33</v>
      </c>
      <c r="H301" t="s">
        <v>167</v>
      </c>
      <c r="I301" s="1">
        <v>3</v>
      </c>
      <c r="J301" t="s">
        <v>21</v>
      </c>
      <c r="K301" t="s">
        <v>22</v>
      </c>
      <c r="L301"/>
      <c r="M301">
        <v>100000</v>
      </c>
      <c r="N301">
        <v>10</v>
      </c>
      <c r="O301">
        <v>9</v>
      </c>
      <c r="P301">
        <v>7</v>
      </c>
      <c r="Q301">
        <f t="shared" si="4"/>
        <v>1</v>
      </c>
    </row>
    <row r="302" spans="1:17" x14ac:dyDescent="0.25">
      <c r="A302" s="1">
        <v>301</v>
      </c>
      <c r="B302" s="4">
        <v>43754</v>
      </c>
      <c r="C302" s="1">
        <v>1102</v>
      </c>
      <c r="D302" t="s">
        <v>47</v>
      </c>
      <c r="E302" t="s">
        <v>46</v>
      </c>
      <c r="F302" t="s">
        <v>32</v>
      </c>
      <c r="G302" t="s">
        <v>33</v>
      </c>
      <c r="H302" t="s">
        <v>167</v>
      </c>
      <c r="I302" s="1">
        <v>3</v>
      </c>
      <c r="J302" t="s">
        <v>21</v>
      </c>
      <c r="K302" t="s">
        <v>22</v>
      </c>
      <c r="L302"/>
      <c r="M302">
        <v>100000</v>
      </c>
      <c r="N302">
        <v>10</v>
      </c>
      <c r="O302">
        <v>5</v>
      </c>
      <c r="P302">
        <v>7</v>
      </c>
      <c r="Q302">
        <f t="shared" si="4"/>
        <v>0</v>
      </c>
    </row>
    <row r="303" spans="1:17" x14ac:dyDescent="0.25">
      <c r="A303" s="1">
        <v>302</v>
      </c>
      <c r="B303" s="4">
        <v>43754</v>
      </c>
      <c r="C303" s="1">
        <v>1103</v>
      </c>
      <c r="D303" t="s">
        <v>48</v>
      </c>
      <c r="E303" t="s">
        <v>46</v>
      </c>
      <c r="F303" t="s">
        <v>32</v>
      </c>
      <c r="G303" t="s">
        <v>33</v>
      </c>
      <c r="H303" t="s">
        <v>167</v>
      </c>
      <c r="I303" s="1">
        <v>3</v>
      </c>
      <c r="J303" t="s">
        <v>21</v>
      </c>
      <c r="K303" t="s">
        <v>22</v>
      </c>
      <c r="L303"/>
      <c r="M303">
        <v>100000</v>
      </c>
      <c r="N303">
        <v>10</v>
      </c>
      <c r="O303">
        <v>8</v>
      </c>
      <c r="P303">
        <v>7</v>
      </c>
      <c r="Q303">
        <f t="shared" si="4"/>
        <v>1</v>
      </c>
    </row>
    <row r="304" spans="1:17" x14ac:dyDescent="0.25">
      <c r="A304" s="1">
        <v>303</v>
      </c>
      <c r="B304" s="4">
        <v>43754</v>
      </c>
      <c r="C304" s="1">
        <v>1104</v>
      </c>
      <c r="D304" t="s">
        <v>49</v>
      </c>
      <c r="E304" t="s">
        <v>46</v>
      </c>
      <c r="F304" t="s">
        <v>32</v>
      </c>
      <c r="G304" t="s">
        <v>33</v>
      </c>
      <c r="H304" t="s">
        <v>167</v>
      </c>
      <c r="I304" s="1">
        <v>3</v>
      </c>
      <c r="J304" t="s">
        <v>21</v>
      </c>
      <c r="K304" t="s">
        <v>22</v>
      </c>
      <c r="L304"/>
      <c r="M304">
        <v>100000</v>
      </c>
      <c r="N304">
        <v>10</v>
      </c>
      <c r="O304">
        <v>5</v>
      </c>
      <c r="P304">
        <v>7</v>
      </c>
      <c r="Q304">
        <f t="shared" si="4"/>
        <v>0</v>
      </c>
    </row>
    <row r="305" spans="1:17" x14ac:dyDescent="0.25">
      <c r="A305" s="1">
        <v>304</v>
      </c>
      <c r="B305" s="4">
        <v>43754</v>
      </c>
      <c r="C305" s="1">
        <v>1105</v>
      </c>
      <c r="D305" t="s">
        <v>92</v>
      </c>
      <c r="E305" t="s">
        <v>46</v>
      </c>
      <c r="F305" t="s">
        <v>32</v>
      </c>
      <c r="G305" t="s">
        <v>33</v>
      </c>
      <c r="H305" t="s">
        <v>167</v>
      </c>
      <c r="I305" s="1">
        <v>3</v>
      </c>
      <c r="J305" t="s">
        <v>21</v>
      </c>
      <c r="K305" t="s">
        <v>22</v>
      </c>
      <c r="L305"/>
      <c r="M305">
        <v>100000</v>
      </c>
      <c r="N305">
        <v>10</v>
      </c>
      <c r="O305">
        <v>8</v>
      </c>
      <c r="P305">
        <v>7</v>
      </c>
      <c r="Q305">
        <f t="shared" si="4"/>
        <v>1</v>
      </c>
    </row>
    <row r="306" spans="1:17" x14ac:dyDescent="0.25">
      <c r="A306" s="1">
        <v>305</v>
      </c>
      <c r="B306" s="4">
        <v>43783</v>
      </c>
      <c r="C306" s="1">
        <v>1005</v>
      </c>
      <c r="D306" t="s">
        <v>121</v>
      </c>
      <c r="E306" t="s">
        <v>17</v>
      </c>
      <c r="F306" t="s">
        <v>18</v>
      </c>
      <c r="G306" t="s">
        <v>122</v>
      </c>
      <c r="H306" t="s">
        <v>168</v>
      </c>
      <c r="I306" s="1">
        <v>3</v>
      </c>
      <c r="J306" t="s">
        <v>21</v>
      </c>
      <c r="K306" t="s">
        <v>22</v>
      </c>
      <c r="L306"/>
      <c r="M306">
        <v>100000</v>
      </c>
      <c r="N306">
        <v>10</v>
      </c>
      <c r="O306">
        <v>8</v>
      </c>
      <c r="P306">
        <v>7</v>
      </c>
      <c r="Q306">
        <f t="shared" si="4"/>
        <v>1</v>
      </c>
    </row>
    <row r="307" spans="1:17" x14ac:dyDescent="0.25">
      <c r="A307" s="1">
        <v>306</v>
      </c>
      <c r="B307" s="4">
        <v>43783</v>
      </c>
      <c r="C307" s="1">
        <v>1006</v>
      </c>
      <c r="D307" t="s">
        <v>16</v>
      </c>
      <c r="E307" t="s">
        <v>17</v>
      </c>
      <c r="F307" t="s">
        <v>18</v>
      </c>
      <c r="G307" t="s">
        <v>19</v>
      </c>
      <c r="H307" t="s">
        <v>168</v>
      </c>
      <c r="I307" s="1">
        <v>3</v>
      </c>
      <c r="J307" t="s">
        <v>21</v>
      </c>
      <c r="K307" t="s">
        <v>22</v>
      </c>
      <c r="L307"/>
      <c r="M307">
        <v>100000</v>
      </c>
      <c r="N307">
        <v>10</v>
      </c>
      <c r="O307">
        <v>7</v>
      </c>
      <c r="P307">
        <v>7</v>
      </c>
      <c r="Q307">
        <f t="shared" si="4"/>
        <v>0</v>
      </c>
    </row>
    <row r="308" spans="1:17" x14ac:dyDescent="0.25">
      <c r="A308" s="1">
        <v>307</v>
      </c>
      <c r="B308" s="4">
        <v>43783</v>
      </c>
      <c r="C308" s="1">
        <v>1007</v>
      </c>
      <c r="D308" t="s">
        <v>23</v>
      </c>
      <c r="E308" t="s">
        <v>17</v>
      </c>
      <c r="F308" t="s">
        <v>18</v>
      </c>
      <c r="G308" t="s">
        <v>19</v>
      </c>
      <c r="H308" t="s">
        <v>168</v>
      </c>
      <c r="I308" s="1">
        <v>3</v>
      </c>
      <c r="J308" t="s">
        <v>21</v>
      </c>
      <c r="K308" t="s">
        <v>22</v>
      </c>
      <c r="L308"/>
      <c r="M308">
        <v>100000</v>
      </c>
      <c r="N308">
        <v>10</v>
      </c>
      <c r="O308">
        <v>6</v>
      </c>
      <c r="P308">
        <v>7</v>
      </c>
      <c r="Q308">
        <f t="shared" si="4"/>
        <v>0</v>
      </c>
    </row>
    <row r="309" spans="1:17" x14ac:dyDescent="0.25">
      <c r="A309" s="1">
        <v>308</v>
      </c>
      <c r="B309" s="4">
        <v>43783</v>
      </c>
      <c r="C309" s="1">
        <v>1008</v>
      </c>
      <c r="D309" t="s">
        <v>24</v>
      </c>
      <c r="E309" t="s">
        <v>17</v>
      </c>
      <c r="F309" t="s">
        <v>18</v>
      </c>
      <c r="G309" t="s">
        <v>19</v>
      </c>
      <c r="H309" t="s">
        <v>168</v>
      </c>
      <c r="I309" s="1">
        <v>3</v>
      </c>
      <c r="J309" t="s">
        <v>21</v>
      </c>
      <c r="K309" t="s">
        <v>22</v>
      </c>
      <c r="L309"/>
      <c r="M309">
        <v>100000</v>
      </c>
      <c r="N309">
        <v>10</v>
      </c>
      <c r="O309">
        <v>7</v>
      </c>
      <c r="P309">
        <v>7</v>
      </c>
      <c r="Q309">
        <f t="shared" si="4"/>
        <v>0</v>
      </c>
    </row>
    <row r="310" spans="1:17" x14ac:dyDescent="0.25">
      <c r="A310" s="1">
        <v>309</v>
      </c>
      <c r="B310" s="4">
        <v>43783</v>
      </c>
      <c r="C310" s="1">
        <v>1009</v>
      </c>
      <c r="D310" t="s">
        <v>147</v>
      </c>
      <c r="E310" t="s">
        <v>17</v>
      </c>
      <c r="F310" t="s">
        <v>18</v>
      </c>
      <c r="G310" t="s">
        <v>19</v>
      </c>
      <c r="H310" t="s">
        <v>168</v>
      </c>
      <c r="I310" s="1">
        <v>3</v>
      </c>
      <c r="J310" t="s">
        <v>21</v>
      </c>
      <c r="K310" t="s">
        <v>22</v>
      </c>
      <c r="L310"/>
      <c r="M310">
        <v>100000</v>
      </c>
      <c r="N310">
        <v>10</v>
      </c>
      <c r="O310">
        <v>8</v>
      </c>
      <c r="P310">
        <v>7</v>
      </c>
      <c r="Q310">
        <f t="shared" si="4"/>
        <v>1</v>
      </c>
    </row>
    <row r="311" spans="1:17" x14ac:dyDescent="0.25">
      <c r="A311" s="1">
        <v>310</v>
      </c>
      <c r="B311" s="4">
        <v>43783</v>
      </c>
      <c r="C311" s="1">
        <v>1011</v>
      </c>
      <c r="D311" t="s">
        <v>125</v>
      </c>
      <c r="E311" t="s">
        <v>17</v>
      </c>
      <c r="F311" t="s">
        <v>26</v>
      </c>
      <c r="G311" t="s">
        <v>126</v>
      </c>
      <c r="H311" t="s">
        <v>168</v>
      </c>
      <c r="I311" s="1">
        <v>3</v>
      </c>
      <c r="J311" t="s">
        <v>21</v>
      </c>
      <c r="K311" t="s">
        <v>22</v>
      </c>
      <c r="L311"/>
      <c r="M311">
        <v>100000</v>
      </c>
      <c r="N311">
        <v>10</v>
      </c>
      <c r="O311">
        <v>9</v>
      </c>
      <c r="P311">
        <v>7</v>
      </c>
      <c r="Q311">
        <f t="shared" si="4"/>
        <v>1</v>
      </c>
    </row>
    <row r="312" spans="1:17" x14ac:dyDescent="0.25">
      <c r="A312" s="1">
        <v>311</v>
      </c>
      <c r="B312" s="4">
        <v>43783</v>
      </c>
      <c r="C312" s="1">
        <v>1012</v>
      </c>
      <c r="D312" t="s">
        <v>25</v>
      </c>
      <c r="E312" t="s">
        <v>17</v>
      </c>
      <c r="F312" t="s">
        <v>26</v>
      </c>
      <c r="G312" t="s">
        <v>27</v>
      </c>
      <c r="H312" t="s">
        <v>168</v>
      </c>
      <c r="I312" s="1">
        <v>3</v>
      </c>
      <c r="J312" t="s">
        <v>21</v>
      </c>
      <c r="K312" t="s">
        <v>22</v>
      </c>
      <c r="L312"/>
      <c r="M312">
        <v>100000</v>
      </c>
      <c r="N312">
        <v>10</v>
      </c>
      <c r="O312">
        <v>8</v>
      </c>
      <c r="P312">
        <v>7</v>
      </c>
      <c r="Q312">
        <f t="shared" si="4"/>
        <v>1</v>
      </c>
    </row>
    <row r="313" spans="1:17" x14ac:dyDescent="0.25">
      <c r="A313" s="1">
        <v>312</v>
      </c>
      <c r="B313" s="4">
        <v>43783</v>
      </c>
      <c r="C313" s="1">
        <v>1013</v>
      </c>
      <c r="D313" t="s">
        <v>28</v>
      </c>
      <c r="E313" t="s">
        <v>17</v>
      </c>
      <c r="F313" t="s">
        <v>26</v>
      </c>
      <c r="G313" t="s">
        <v>27</v>
      </c>
      <c r="H313" t="s">
        <v>168</v>
      </c>
      <c r="I313" s="1">
        <v>3</v>
      </c>
      <c r="J313" t="s">
        <v>21</v>
      </c>
      <c r="K313" t="s">
        <v>22</v>
      </c>
      <c r="L313"/>
      <c r="M313">
        <v>100000</v>
      </c>
      <c r="N313">
        <v>10</v>
      </c>
      <c r="O313">
        <v>7</v>
      </c>
      <c r="P313">
        <v>7</v>
      </c>
      <c r="Q313">
        <f t="shared" si="4"/>
        <v>0</v>
      </c>
    </row>
    <row r="314" spans="1:17" x14ac:dyDescent="0.25">
      <c r="A314" s="1">
        <v>313</v>
      </c>
      <c r="B314" s="4">
        <v>43783</v>
      </c>
      <c r="C314" s="1">
        <v>1014</v>
      </c>
      <c r="D314" t="s">
        <v>29</v>
      </c>
      <c r="E314" t="s">
        <v>17</v>
      </c>
      <c r="F314" t="s">
        <v>26</v>
      </c>
      <c r="G314" t="s">
        <v>27</v>
      </c>
      <c r="H314" t="s">
        <v>168</v>
      </c>
      <c r="I314" s="1">
        <v>3</v>
      </c>
      <c r="J314" t="s">
        <v>21</v>
      </c>
      <c r="K314" t="s">
        <v>22</v>
      </c>
      <c r="L314"/>
      <c r="M314">
        <v>100000</v>
      </c>
      <c r="N314">
        <v>10</v>
      </c>
      <c r="O314">
        <v>5</v>
      </c>
      <c r="P314">
        <v>7</v>
      </c>
      <c r="Q314">
        <f t="shared" si="4"/>
        <v>0</v>
      </c>
    </row>
    <row r="315" spans="1:17" x14ac:dyDescent="0.25">
      <c r="A315" s="1">
        <v>314</v>
      </c>
      <c r="B315" s="4">
        <v>43783</v>
      </c>
      <c r="C315" s="1">
        <v>1015</v>
      </c>
      <c r="D315" t="s">
        <v>148</v>
      </c>
      <c r="E315" t="s">
        <v>17</v>
      </c>
      <c r="F315" t="s">
        <v>26</v>
      </c>
      <c r="G315" t="s">
        <v>149</v>
      </c>
      <c r="H315" t="s">
        <v>168</v>
      </c>
      <c r="I315" s="1">
        <v>3</v>
      </c>
      <c r="J315" t="s">
        <v>21</v>
      </c>
      <c r="K315" t="s">
        <v>22</v>
      </c>
      <c r="L315"/>
      <c r="M315">
        <v>100000</v>
      </c>
      <c r="N315">
        <v>10</v>
      </c>
      <c r="O315">
        <v>8</v>
      </c>
      <c r="P315">
        <v>7</v>
      </c>
      <c r="Q315">
        <f t="shared" si="4"/>
        <v>1</v>
      </c>
    </row>
    <row r="316" spans="1:17" x14ac:dyDescent="0.25">
      <c r="A316" s="1">
        <v>315</v>
      </c>
      <c r="B316" s="4">
        <v>43783</v>
      </c>
      <c r="C316" s="1">
        <v>1016</v>
      </c>
      <c r="D316" t="s">
        <v>150</v>
      </c>
      <c r="E316" t="s">
        <v>17</v>
      </c>
      <c r="F316" t="s">
        <v>26</v>
      </c>
      <c r="G316" t="s">
        <v>57</v>
      </c>
      <c r="H316" t="s">
        <v>168</v>
      </c>
      <c r="I316" s="1">
        <v>3</v>
      </c>
      <c r="J316" t="s">
        <v>21</v>
      </c>
      <c r="K316" t="s">
        <v>22</v>
      </c>
      <c r="L316"/>
      <c r="M316">
        <v>100000</v>
      </c>
      <c r="N316">
        <v>10</v>
      </c>
      <c r="O316">
        <v>7</v>
      </c>
      <c r="P316">
        <v>7</v>
      </c>
      <c r="Q316">
        <f t="shared" si="4"/>
        <v>0</v>
      </c>
    </row>
    <row r="317" spans="1:17" x14ac:dyDescent="0.25">
      <c r="A317" s="1">
        <v>316</v>
      </c>
      <c r="B317" s="4">
        <v>43783</v>
      </c>
      <c r="C317" s="1">
        <v>1017</v>
      </c>
      <c r="D317" t="s">
        <v>151</v>
      </c>
      <c r="E317" t="s">
        <v>17</v>
      </c>
      <c r="F317" t="s">
        <v>26</v>
      </c>
      <c r="G317" t="s">
        <v>57</v>
      </c>
      <c r="H317" t="s">
        <v>168</v>
      </c>
      <c r="I317" s="1">
        <v>3</v>
      </c>
      <c r="J317" t="s">
        <v>21</v>
      </c>
      <c r="K317" t="s">
        <v>22</v>
      </c>
      <c r="L317"/>
      <c r="M317">
        <v>100000</v>
      </c>
      <c r="N317">
        <v>10</v>
      </c>
      <c r="O317">
        <v>9</v>
      </c>
      <c r="P317">
        <v>7</v>
      </c>
      <c r="Q317">
        <f t="shared" si="4"/>
        <v>1</v>
      </c>
    </row>
    <row r="318" spans="1:17" x14ac:dyDescent="0.25">
      <c r="A318" s="1">
        <v>317</v>
      </c>
      <c r="B318" s="4">
        <v>43783</v>
      </c>
      <c r="C318" s="1">
        <v>1018</v>
      </c>
      <c r="D318" t="s">
        <v>157</v>
      </c>
      <c r="E318" t="s">
        <v>17</v>
      </c>
      <c r="F318" t="s">
        <v>158</v>
      </c>
      <c r="G318" t="s">
        <v>159</v>
      </c>
      <c r="H318" t="s">
        <v>168</v>
      </c>
      <c r="I318" s="1">
        <v>3</v>
      </c>
      <c r="J318" t="s">
        <v>21</v>
      </c>
      <c r="K318" t="s">
        <v>22</v>
      </c>
      <c r="L318"/>
      <c r="M318">
        <v>100000</v>
      </c>
      <c r="N318">
        <v>10</v>
      </c>
      <c r="O318">
        <v>7</v>
      </c>
      <c r="P318">
        <v>7</v>
      </c>
      <c r="Q318">
        <f t="shared" si="4"/>
        <v>0</v>
      </c>
    </row>
    <row r="319" spans="1:17" x14ac:dyDescent="0.25">
      <c r="A319" s="1">
        <v>318</v>
      </c>
      <c r="B319" s="4">
        <v>43783</v>
      </c>
      <c r="C319" s="1">
        <v>1019</v>
      </c>
      <c r="D319" t="s">
        <v>160</v>
      </c>
      <c r="E319" t="s">
        <v>17</v>
      </c>
      <c r="F319" t="s">
        <v>158</v>
      </c>
      <c r="G319" t="s">
        <v>161</v>
      </c>
      <c r="H319" t="s">
        <v>168</v>
      </c>
      <c r="I319" s="1">
        <v>3</v>
      </c>
      <c r="J319" t="s">
        <v>21</v>
      </c>
      <c r="K319" t="s">
        <v>22</v>
      </c>
      <c r="L319"/>
      <c r="M319">
        <v>100000</v>
      </c>
      <c r="N319">
        <v>10</v>
      </c>
      <c r="O319">
        <v>6</v>
      </c>
      <c r="P319">
        <v>7</v>
      </c>
      <c r="Q319">
        <f t="shared" si="4"/>
        <v>0</v>
      </c>
    </row>
    <row r="320" spans="1:17" x14ac:dyDescent="0.25">
      <c r="A320" s="1">
        <v>319</v>
      </c>
      <c r="B320" s="4">
        <v>43783</v>
      </c>
      <c r="C320" s="1">
        <v>1020</v>
      </c>
      <c r="D320" t="s">
        <v>162</v>
      </c>
      <c r="E320" t="s">
        <v>17</v>
      </c>
      <c r="F320" t="s">
        <v>163</v>
      </c>
      <c r="G320" t="s">
        <v>164</v>
      </c>
      <c r="H320" t="s">
        <v>168</v>
      </c>
      <c r="I320" s="1">
        <v>3</v>
      </c>
      <c r="J320" t="s">
        <v>21</v>
      </c>
      <c r="K320" t="s">
        <v>22</v>
      </c>
      <c r="L320"/>
      <c r="M320">
        <v>100000</v>
      </c>
      <c r="N320">
        <v>10</v>
      </c>
      <c r="O320">
        <v>8</v>
      </c>
      <c r="P320">
        <v>7</v>
      </c>
      <c r="Q320">
        <f t="shared" si="4"/>
        <v>1</v>
      </c>
    </row>
    <row r="321" spans="1:17" x14ac:dyDescent="0.25">
      <c r="A321" s="1">
        <v>320</v>
      </c>
      <c r="B321" s="4">
        <v>43783</v>
      </c>
      <c r="C321" s="1">
        <v>1021</v>
      </c>
      <c r="D321" t="s">
        <v>165</v>
      </c>
      <c r="E321" t="s">
        <v>17</v>
      </c>
      <c r="F321" t="s">
        <v>163</v>
      </c>
      <c r="G321" t="s">
        <v>164</v>
      </c>
      <c r="H321" t="s">
        <v>168</v>
      </c>
      <c r="I321" s="1">
        <v>3</v>
      </c>
      <c r="J321" t="s">
        <v>21</v>
      </c>
      <c r="K321" t="s">
        <v>22</v>
      </c>
      <c r="L321"/>
      <c r="M321">
        <v>100000</v>
      </c>
      <c r="N321">
        <v>10</v>
      </c>
      <c r="O321">
        <v>9</v>
      </c>
      <c r="P321">
        <v>7</v>
      </c>
      <c r="Q321">
        <f t="shared" si="4"/>
        <v>1</v>
      </c>
    </row>
    <row r="322" spans="1:17" x14ac:dyDescent="0.25">
      <c r="A322" s="1">
        <v>321</v>
      </c>
      <c r="B322" s="4">
        <v>43814</v>
      </c>
      <c r="C322" s="1">
        <v>1032</v>
      </c>
      <c r="D322" t="s">
        <v>132</v>
      </c>
      <c r="E322" t="s">
        <v>31</v>
      </c>
      <c r="F322" t="s">
        <v>32</v>
      </c>
      <c r="G322" t="s">
        <v>133</v>
      </c>
      <c r="H322" t="s">
        <v>169</v>
      </c>
      <c r="I322" s="1">
        <v>2</v>
      </c>
      <c r="J322" t="s">
        <v>21</v>
      </c>
      <c r="K322" t="s">
        <v>22</v>
      </c>
      <c r="L322"/>
      <c r="M322">
        <v>50000</v>
      </c>
      <c r="N322">
        <v>10</v>
      </c>
      <c r="O322">
        <v>9</v>
      </c>
      <c r="P322">
        <v>7</v>
      </c>
      <c r="Q322">
        <f t="shared" si="4"/>
        <v>1</v>
      </c>
    </row>
    <row r="323" spans="1:17" x14ac:dyDescent="0.25">
      <c r="A323" s="1">
        <v>322</v>
      </c>
      <c r="B323" s="4">
        <v>43814</v>
      </c>
      <c r="C323" s="1">
        <v>1033</v>
      </c>
      <c r="D323" t="s">
        <v>134</v>
      </c>
      <c r="E323" t="s">
        <v>31</v>
      </c>
      <c r="F323" t="s">
        <v>32</v>
      </c>
      <c r="G323" t="s">
        <v>135</v>
      </c>
      <c r="H323" t="s">
        <v>169</v>
      </c>
      <c r="I323" s="1">
        <v>2</v>
      </c>
      <c r="J323" t="s">
        <v>21</v>
      </c>
      <c r="K323" t="s">
        <v>22</v>
      </c>
      <c r="L323"/>
      <c r="M323">
        <v>50000</v>
      </c>
      <c r="N323">
        <v>10</v>
      </c>
      <c r="O323">
        <v>9</v>
      </c>
      <c r="P323">
        <v>7</v>
      </c>
      <c r="Q323">
        <f t="shared" ref="Q323:Q386" si="5">IF(O323&gt;P323,1,0)</f>
        <v>1</v>
      </c>
    </row>
    <row r="324" spans="1:17" x14ac:dyDescent="0.25">
      <c r="A324" s="1">
        <v>323</v>
      </c>
      <c r="B324" s="4">
        <v>43814</v>
      </c>
      <c r="C324" s="1">
        <v>1034</v>
      </c>
      <c r="D324" t="s">
        <v>30</v>
      </c>
      <c r="E324" t="s">
        <v>31</v>
      </c>
      <c r="F324" t="s">
        <v>32</v>
      </c>
      <c r="G324" t="s">
        <v>33</v>
      </c>
      <c r="H324" t="s">
        <v>169</v>
      </c>
      <c r="I324" s="1">
        <v>2</v>
      </c>
      <c r="J324" t="s">
        <v>21</v>
      </c>
      <c r="K324" t="s">
        <v>22</v>
      </c>
      <c r="L324"/>
      <c r="M324">
        <v>50000</v>
      </c>
      <c r="N324">
        <v>10</v>
      </c>
      <c r="O324">
        <v>7</v>
      </c>
      <c r="P324">
        <v>7</v>
      </c>
      <c r="Q324">
        <f t="shared" si="5"/>
        <v>0</v>
      </c>
    </row>
    <row r="325" spans="1:17" x14ac:dyDescent="0.25">
      <c r="A325" s="1">
        <v>324</v>
      </c>
      <c r="B325" s="4">
        <v>43814</v>
      </c>
      <c r="C325" s="1">
        <v>1035</v>
      </c>
      <c r="D325" t="s">
        <v>35</v>
      </c>
      <c r="E325" t="s">
        <v>31</v>
      </c>
      <c r="F325" t="s">
        <v>32</v>
      </c>
      <c r="G325" t="s">
        <v>33</v>
      </c>
      <c r="H325" t="s">
        <v>169</v>
      </c>
      <c r="I325" s="1">
        <v>2</v>
      </c>
      <c r="J325" t="s">
        <v>21</v>
      </c>
      <c r="K325" t="s">
        <v>22</v>
      </c>
      <c r="L325"/>
      <c r="M325">
        <v>50000</v>
      </c>
      <c r="N325">
        <v>10</v>
      </c>
      <c r="O325">
        <v>9</v>
      </c>
      <c r="P325">
        <v>7</v>
      </c>
      <c r="Q325">
        <f t="shared" si="5"/>
        <v>1</v>
      </c>
    </row>
    <row r="326" spans="1:17" x14ac:dyDescent="0.25">
      <c r="A326" s="1">
        <v>325</v>
      </c>
      <c r="B326" s="4">
        <v>43814</v>
      </c>
      <c r="C326" s="1">
        <v>1036</v>
      </c>
      <c r="D326" t="s">
        <v>36</v>
      </c>
      <c r="E326" t="s">
        <v>31</v>
      </c>
      <c r="F326" t="s">
        <v>32</v>
      </c>
      <c r="G326" t="s">
        <v>33</v>
      </c>
      <c r="H326" t="s">
        <v>169</v>
      </c>
      <c r="I326" s="1">
        <v>2</v>
      </c>
      <c r="J326" t="s">
        <v>21</v>
      </c>
      <c r="K326" t="s">
        <v>22</v>
      </c>
      <c r="L326"/>
      <c r="M326">
        <v>50000</v>
      </c>
      <c r="N326">
        <v>10</v>
      </c>
      <c r="O326">
        <v>9</v>
      </c>
      <c r="P326">
        <v>7</v>
      </c>
      <c r="Q326">
        <f t="shared" si="5"/>
        <v>1</v>
      </c>
    </row>
    <row r="327" spans="1:17" x14ac:dyDescent="0.25">
      <c r="A327" s="1">
        <v>326</v>
      </c>
      <c r="B327" s="4">
        <v>43814</v>
      </c>
      <c r="C327" s="1">
        <v>1037</v>
      </c>
      <c r="D327" t="s">
        <v>37</v>
      </c>
      <c r="E327" t="s">
        <v>31</v>
      </c>
      <c r="F327" t="s">
        <v>32</v>
      </c>
      <c r="G327" t="s">
        <v>33</v>
      </c>
      <c r="H327" t="s">
        <v>169</v>
      </c>
      <c r="I327" s="1">
        <v>2</v>
      </c>
      <c r="J327" t="s">
        <v>21</v>
      </c>
      <c r="K327" t="s">
        <v>22</v>
      </c>
      <c r="L327"/>
      <c r="M327">
        <v>50000</v>
      </c>
      <c r="N327">
        <v>10</v>
      </c>
      <c r="O327">
        <v>8</v>
      </c>
      <c r="P327">
        <v>7</v>
      </c>
      <c r="Q327">
        <f t="shared" si="5"/>
        <v>1</v>
      </c>
    </row>
    <row r="328" spans="1:17" x14ac:dyDescent="0.25">
      <c r="A328" s="1">
        <v>327</v>
      </c>
      <c r="B328" s="4">
        <v>43814</v>
      </c>
      <c r="C328" s="1">
        <v>1038</v>
      </c>
      <c r="D328" t="s">
        <v>82</v>
      </c>
      <c r="E328" t="s">
        <v>31</v>
      </c>
      <c r="F328" t="s">
        <v>32</v>
      </c>
      <c r="G328" t="s">
        <v>33</v>
      </c>
      <c r="H328" t="s">
        <v>169</v>
      </c>
      <c r="I328" s="1">
        <v>2</v>
      </c>
      <c r="J328" t="s">
        <v>21</v>
      </c>
      <c r="K328" t="s">
        <v>22</v>
      </c>
      <c r="L328"/>
      <c r="M328">
        <v>50000</v>
      </c>
      <c r="N328">
        <v>10</v>
      </c>
      <c r="O328">
        <v>9</v>
      </c>
      <c r="P328">
        <v>7</v>
      </c>
      <c r="Q328">
        <f t="shared" si="5"/>
        <v>1</v>
      </c>
    </row>
    <row r="329" spans="1:17" x14ac:dyDescent="0.25">
      <c r="A329" s="1">
        <v>328</v>
      </c>
      <c r="B329" s="4">
        <v>43814</v>
      </c>
      <c r="C329" s="1">
        <v>1039</v>
      </c>
      <c r="D329" t="s">
        <v>83</v>
      </c>
      <c r="E329" t="s">
        <v>31</v>
      </c>
      <c r="F329" t="s">
        <v>32</v>
      </c>
      <c r="G329" t="s">
        <v>33</v>
      </c>
      <c r="H329" t="s">
        <v>169</v>
      </c>
      <c r="I329" s="1">
        <v>2</v>
      </c>
      <c r="J329" t="s">
        <v>21</v>
      </c>
      <c r="K329" t="s">
        <v>22</v>
      </c>
      <c r="L329"/>
      <c r="M329">
        <v>50000</v>
      </c>
      <c r="N329">
        <v>10</v>
      </c>
      <c r="O329">
        <v>6</v>
      </c>
      <c r="P329">
        <v>7</v>
      </c>
      <c r="Q329">
        <f t="shared" si="5"/>
        <v>0</v>
      </c>
    </row>
    <row r="330" spans="1:17" x14ac:dyDescent="0.25">
      <c r="A330" s="1">
        <v>329</v>
      </c>
      <c r="B330" s="4">
        <v>43814</v>
      </c>
      <c r="C330" s="1">
        <v>1040</v>
      </c>
      <c r="D330" t="s">
        <v>84</v>
      </c>
      <c r="E330" t="s">
        <v>31</v>
      </c>
      <c r="F330" t="s">
        <v>32</v>
      </c>
      <c r="G330" t="s">
        <v>33</v>
      </c>
      <c r="H330" t="s">
        <v>169</v>
      </c>
      <c r="I330" s="1">
        <v>2</v>
      </c>
      <c r="J330" t="s">
        <v>21</v>
      </c>
      <c r="K330" t="s">
        <v>22</v>
      </c>
      <c r="L330"/>
      <c r="M330">
        <v>50000</v>
      </c>
      <c r="N330">
        <v>10</v>
      </c>
      <c r="O330">
        <v>9</v>
      </c>
      <c r="P330">
        <v>7</v>
      </c>
      <c r="Q330">
        <f t="shared" si="5"/>
        <v>1</v>
      </c>
    </row>
    <row r="331" spans="1:17" x14ac:dyDescent="0.25">
      <c r="A331" s="1">
        <v>330</v>
      </c>
      <c r="B331" s="4">
        <v>43814</v>
      </c>
      <c r="C331" s="1">
        <v>1041</v>
      </c>
      <c r="D331" t="s">
        <v>85</v>
      </c>
      <c r="E331" t="s">
        <v>31</v>
      </c>
      <c r="F331" t="s">
        <v>32</v>
      </c>
      <c r="G331" t="s">
        <v>33</v>
      </c>
      <c r="H331" t="s">
        <v>169</v>
      </c>
      <c r="I331" s="1">
        <v>2</v>
      </c>
      <c r="J331" t="s">
        <v>21</v>
      </c>
      <c r="K331" t="s">
        <v>22</v>
      </c>
      <c r="L331"/>
      <c r="M331">
        <v>50000</v>
      </c>
      <c r="N331">
        <v>10</v>
      </c>
      <c r="O331">
        <v>9</v>
      </c>
      <c r="P331">
        <v>7</v>
      </c>
      <c r="Q331">
        <f t="shared" si="5"/>
        <v>1</v>
      </c>
    </row>
    <row r="332" spans="1:17" x14ac:dyDescent="0.25">
      <c r="A332" s="1">
        <v>331</v>
      </c>
      <c r="B332" s="4">
        <v>43814</v>
      </c>
      <c r="C332" s="1">
        <v>1052</v>
      </c>
      <c r="D332" t="s">
        <v>50</v>
      </c>
      <c r="E332" t="s">
        <v>31</v>
      </c>
      <c r="F332" t="s">
        <v>51</v>
      </c>
      <c r="G332" t="s">
        <v>52</v>
      </c>
      <c r="H332" t="s">
        <v>169</v>
      </c>
      <c r="I332" s="1">
        <v>2</v>
      </c>
      <c r="J332" t="s">
        <v>21</v>
      </c>
      <c r="K332" t="s">
        <v>22</v>
      </c>
      <c r="L332"/>
      <c r="M332">
        <v>50000</v>
      </c>
      <c r="N332">
        <v>10</v>
      </c>
      <c r="O332">
        <v>5</v>
      </c>
      <c r="P332">
        <v>7</v>
      </c>
      <c r="Q332">
        <f t="shared" si="5"/>
        <v>0</v>
      </c>
    </row>
    <row r="333" spans="1:17" x14ac:dyDescent="0.25">
      <c r="A333" s="1">
        <v>332</v>
      </c>
      <c r="B333" s="4">
        <v>43814</v>
      </c>
      <c r="C333" s="1">
        <v>1053</v>
      </c>
      <c r="D333" t="s">
        <v>56</v>
      </c>
      <c r="E333" t="s">
        <v>31</v>
      </c>
      <c r="F333" t="s">
        <v>51</v>
      </c>
      <c r="G333" t="s">
        <v>57</v>
      </c>
      <c r="H333" t="s">
        <v>169</v>
      </c>
      <c r="I333" s="1">
        <v>2</v>
      </c>
      <c r="J333" t="s">
        <v>21</v>
      </c>
      <c r="K333" t="s">
        <v>22</v>
      </c>
      <c r="L333"/>
      <c r="M333">
        <v>50000</v>
      </c>
      <c r="N333">
        <v>10</v>
      </c>
      <c r="O333">
        <v>9</v>
      </c>
      <c r="P333">
        <v>7</v>
      </c>
      <c r="Q333">
        <f t="shared" si="5"/>
        <v>1</v>
      </c>
    </row>
    <row r="334" spans="1:17" x14ac:dyDescent="0.25">
      <c r="A334" s="1">
        <v>333</v>
      </c>
      <c r="B334" s="4">
        <v>43814</v>
      </c>
      <c r="C334" s="1">
        <v>1054</v>
      </c>
      <c r="D334" t="s">
        <v>58</v>
      </c>
      <c r="E334" t="s">
        <v>31</v>
      </c>
      <c r="F334" t="s">
        <v>51</v>
      </c>
      <c r="G334" t="s">
        <v>57</v>
      </c>
      <c r="H334" t="s">
        <v>169</v>
      </c>
      <c r="I334" s="1">
        <v>2</v>
      </c>
      <c r="J334" t="s">
        <v>21</v>
      </c>
      <c r="K334" t="s">
        <v>22</v>
      </c>
      <c r="L334"/>
      <c r="M334">
        <v>50000</v>
      </c>
      <c r="N334">
        <v>10</v>
      </c>
      <c r="O334">
        <v>9</v>
      </c>
      <c r="P334">
        <v>7</v>
      </c>
      <c r="Q334">
        <f t="shared" si="5"/>
        <v>1</v>
      </c>
    </row>
    <row r="335" spans="1:17" x14ac:dyDescent="0.25">
      <c r="A335" s="1">
        <v>334</v>
      </c>
      <c r="B335" s="4">
        <v>43814</v>
      </c>
      <c r="C335" s="1">
        <v>1055</v>
      </c>
      <c r="D335" t="s">
        <v>59</v>
      </c>
      <c r="E335" t="s">
        <v>31</v>
      </c>
      <c r="F335" t="s">
        <v>51</v>
      </c>
      <c r="G335" t="s">
        <v>60</v>
      </c>
      <c r="H335" t="s">
        <v>169</v>
      </c>
      <c r="I335" s="1">
        <v>2</v>
      </c>
      <c r="J335" t="s">
        <v>21</v>
      </c>
      <c r="K335" t="s">
        <v>22</v>
      </c>
      <c r="L335"/>
      <c r="M335">
        <v>50000</v>
      </c>
      <c r="N335">
        <v>10</v>
      </c>
      <c r="O335">
        <v>9</v>
      </c>
      <c r="P335">
        <v>7</v>
      </c>
      <c r="Q335">
        <f t="shared" si="5"/>
        <v>1</v>
      </c>
    </row>
    <row r="336" spans="1:17" x14ac:dyDescent="0.25">
      <c r="A336" s="1">
        <v>335</v>
      </c>
      <c r="B336" s="4">
        <v>43814</v>
      </c>
      <c r="C336" s="1">
        <v>1056</v>
      </c>
      <c r="D336" t="s">
        <v>61</v>
      </c>
      <c r="E336" t="s">
        <v>31</v>
      </c>
      <c r="F336" t="s">
        <v>51</v>
      </c>
      <c r="G336" t="s">
        <v>60</v>
      </c>
      <c r="H336" t="s">
        <v>169</v>
      </c>
      <c r="I336" s="1">
        <v>2</v>
      </c>
      <c r="J336" t="s">
        <v>21</v>
      </c>
      <c r="K336" t="s">
        <v>22</v>
      </c>
      <c r="L336"/>
      <c r="M336">
        <v>50000</v>
      </c>
      <c r="N336">
        <v>10</v>
      </c>
      <c r="O336">
        <v>7</v>
      </c>
      <c r="P336">
        <v>7</v>
      </c>
      <c r="Q336">
        <f t="shared" si="5"/>
        <v>0</v>
      </c>
    </row>
    <row r="337" spans="1:17" x14ac:dyDescent="0.25">
      <c r="A337" s="1">
        <v>336</v>
      </c>
      <c r="B337" s="4">
        <v>43814</v>
      </c>
      <c r="C337" s="1">
        <v>1058</v>
      </c>
      <c r="D337" t="s">
        <v>88</v>
      </c>
      <c r="E337" t="s">
        <v>39</v>
      </c>
      <c r="F337" t="s">
        <v>32</v>
      </c>
      <c r="G337" t="s">
        <v>133</v>
      </c>
      <c r="H337" t="s">
        <v>169</v>
      </c>
      <c r="I337" s="1">
        <v>2</v>
      </c>
      <c r="J337" t="s">
        <v>21</v>
      </c>
      <c r="K337" t="s">
        <v>22</v>
      </c>
      <c r="L337"/>
      <c r="M337">
        <v>50000</v>
      </c>
      <c r="N337">
        <v>10</v>
      </c>
      <c r="O337">
        <v>9</v>
      </c>
      <c r="P337">
        <v>7</v>
      </c>
      <c r="Q337">
        <f t="shared" si="5"/>
        <v>1</v>
      </c>
    </row>
    <row r="338" spans="1:17" x14ac:dyDescent="0.25">
      <c r="A338" s="1">
        <v>337</v>
      </c>
      <c r="B338" s="4">
        <v>43814</v>
      </c>
      <c r="C338" s="1">
        <v>1059</v>
      </c>
      <c r="D338" t="s">
        <v>137</v>
      </c>
      <c r="E338" t="s">
        <v>39</v>
      </c>
      <c r="F338" t="s">
        <v>32</v>
      </c>
      <c r="G338" t="s">
        <v>135</v>
      </c>
      <c r="H338" t="s">
        <v>169</v>
      </c>
      <c r="I338" s="1">
        <v>2</v>
      </c>
      <c r="J338" t="s">
        <v>21</v>
      </c>
      <c r="K338" t="s">
        <v>22</v>
      </c>
      <c r="L338"/>
      <c r="M338">
        <v>50000</v>
      </c>
      <c r="N338">
        <v>10</v>
      </c>
      <c r="O338">
        <v>9</v>
      </c>
      <c r="P338">
        <v>7</v>
      </c>
      <c r="Q338">
        <f t="shared" si="5"/>
        <v>1</v>
      </c>
    </row>
    <row r="339" spans="1:17" x14ac:dyDescent="0.25">
      <c r="A339" s="1">
        <v>338</v>
      </c>
      <c r="B339" s="4">
        <v>43814</v>
      </c>
      <c r="C339" s="1">
        <v>1060</v>
      </c>
      <c r="D339" t="s">
        <v>38</v>
      </c>
      <c r="E339" t="s">
        <v>39</v>
      </c>
      <c r="F339" t="s">
        <v>32</v>
      </c>
      <c r="G339" t="s">
        <v>33</v>
      </c>
      <c r="H339" t="s">
        <v>169</v>
      </c>
      <c r="I339" s="1">
        <v>2</v>
      </c>
      <c r="J339" t="s">
        <v>21</v>
      </c>
      <c r="K339" t="s">
        <v>22</v>
      </c>
      <c r="L339"/>
      <c r="M339">
        <v>50000</v>
      </c>
      <c r="N339">
        <v>10</v>
      </c>
      <c r="O339">
        <v>8</v>
      </c>
      <c r="P339">
        <v>7</v>
      </c>
      <c r="Q339">
        <f t="shared" si="5"/>
        <v>1</v>
      </c>
    </row>
    <row r="340" spans="1:17" x14ac:dyDescent="0.25">
      <c r="A340" s="1">
        <v>339</v>
      </c>
      <c r="B340" s="4">
        <v>43814</v>
      </c>
      <c r="C340" s="1">
        <v>1061</v>
      </c>
      <c r="D340" t="s">
        <v>40</v>
      </c>
      <c r="E340" t="s">
        <v>39</v>
      </c>
      <c r="F340" t="s">
        <v>32</v>
      </c>
      <c r="G340" t="s">
        <v>33</v>
      </c>
      <c r="H340" t="s">
        <v>169</v>
      </c>
      <c r="I340" s="1">
        <v>2</v>
      </c>
      <c r="J340" t="s">
        <v>21</v>
      </c>
      <c r="K340" t="s">
        <v>22</v>
      </c>
      <c r="L340"/>
      <c r="M340">
        <v>50000</v>
      </c>
      <c r="N340">
        <v>10</v>
      </c>
      <c r="O340">
        <v>9</v>
      </c>
      <c r="P340">
        <v>7</v>
      </c>
      <c r="Q340">
        <f t="shared" si="5"/>
        <v>1</v>
      </c>
    </row>
    <row r="341" spans="1:17" x14ac:dyDescent="0.25">
      <c r="A341" s="1">
        <v>340</v>
      </c>
      <c r="B341" s="4">
        <v>43814</v>
      </c>
      <c r="C341" s="1">
        <v>1062</v>
      </c>
      <c r="D341" t="s">
        <v>41</v>
      </c>
      <c r="E341" t="s">
        <v>39</v>
      </c>
      <c r="F341" t="s">
        <v>32</v>
      </c>
      <c r="G341" t="s">
        <v>33</v>
      </c>
      <c r="H341" t="s">
        <v>169</v>
      </c>
      <c r="I341" s="1">
        <v>2</v>
      </c>
      <c r="J341" t="s">
        <v>21</v>
      </c>
      <c r="K341" t="s">
        <v>22</v>
      </c>
      <c r="L341"/>
      <c r="M341">
        <v>50000</v>
      </c>
      <c r="N341">
        <v>10</v>
      </c>
      <c r="O341">
        <v>9</v>
      </c>
      <c r="P341">
        <v>7</v>
      </c>
      <c r="Q341">
        <f t="shared" si="5"/>
        <v>1</v>
      </c>
    </row>
    <row r="342" spans="1:17" x14ac:dyDescent="0.25">
      <c r="A342" s="1">
        <v>341</v>
      </c>
      <c r="B342" s="4">
        <v>43814</v>
      </c>
      <c r="C342" s="1">
        <v>1063</v>
      </c>
      <c r="D342" t="s">
        <v>42</v>
      </c>
      <c r="E342" t="s">
        <v>39</v>
      </c>
      <c r="F342" t="s">
        <v>32</v>
      </c>
      <c r="G342" t="s">
        <v>33</v>
      </c>
      <c r="H342" t="s">
        <v>169</v>
      </c>
      <c r="I342" s="1">
        <v>2</v>
      </c>
      <c r="J342" t="s">
        <v>21</v>
      </c>
      <c r="K342" t="s">
        <v>22</v>
      </c>
      <c r="L342"/>
      <c r="M342">
        <v>50000</v>
      </c>
      <c r="N342">
        <v>10</v>
      </c>
      <c r="O342">
        <v>6</v>
      </c>
      <c r="P342">
        <v>7</v>
      </c>
      <c r="Q342">
        <f t="shared" si="5"/>
        <v>0</v>
      </c>
    </row>
    <row r="343" spans="1:17" x14ac:dyDescent="0.25">
      <c r="A343" s="1">
        <v>342</v>
      </c>
      <c r="B343" s="4">
        <v>43814</v>
      </c>
      <c r="C343" s="1">
        <v>1064</v>
      </c>
      <c r="D343" t="s">
        <v>86</v>
      </c>
      <c r="E343" t="s">
        <v>39</v>
      </c>
      <c r="F343" t="s">
        <v>32</v>
      </c>
      <c r="G343" t="s">
        <v>33</v>
      </c>
      <c r="H343" t="s">
        <v>169</v>
      </c>
      <c r="I343" s="1">
        <v>2</v>
      </c>
      <c r="J343" t="s">
        <v>21</v>
      </c>
      <c r="K343" t="s">
        <v>22</v>
      </c>
      <c r="L343"/>
      <c r="M343">
        <v>50000</v>
      </c>
      <c r="N343">
        <v>10</v>
      </c>
      <c r="O343">
        <v>9</v>
      </c>
      <c r="P343">
        <v>7</v>
      </c>
      <c r="Q343">
        <f t="shared" si="5"/>
        <v>1</v>
      </c>
    </row>
    <row r="344" spans="1:17" x14ac:dyDescent="0.25">
      <c r="A344" s="1">
        <v>343</v>
      </c>
      <c r="B344" s="4">
        <v>43814</v>
      </c>
      <c r="C344" s="1">
        <v>1072</v>
      </c>
      <c r="D344" t="s">
        <v>25</v>
      </c>
      <c r="E344" t="s">
        <v>39</v>
      </c>
      <c r="F344" t="s">
        <v>51</v>
      </c>
      <c r="G344" t="s">
        <v>52</v>
      </c>
      <c r="H344" t="s">
        <v>169</v>
      </c>
      <c r="I344" s="1">
        <v>2</v>
      </c>
      <c r="J344" t="s">
        <v>21</v>
      </c>
      <c r="K344" t="s">
        <v>22</v>
      </c>
      <c r="L344"/>
      <c r="M344">
        <v>50000</v>
      </c>
      <c r="N344">
        <v>10</v>
      </c>
      <c r="O344">
        <v>9</v>
      </c>
      <c r="P344">
        <v>7</v>
      </c>
      <c r="Q344">
        <f t="shared" si="5"/>
        <v>1</v>
      </c>
    </row>
    <row r="345" spans="1:17" x14ac:dyDescent="0.25">
      <c r="A345" s="1">
        <v>344</v>
      </c>
      <c r="B345" s="4">
        <v>43814</v>
      </c>
      <c r="C345" s="1">
        <v>1073</v>
      </c>
      <c r="D345" t="s">
        <v>28</v>
      </c>
      <c r="E345" t="s">
        <v>39</v>
      </c>
      <c r="F345" t="s">
        <v>51</v>
      </c>
      <c r="G345" t="s">
        <v>57</v>
      </c>
      <c r="H345" t="s">
        <v>169</v>
      </c>
      <c r="I345" s="1">
        <v>2</v>
      </c>
      <c r="J345" t="s">
        <v>21</v>
      </c>
      <c r="K345" t="s">
        <v>22</v>
      </c>
      <c r="L345"/>
      <c r="M345">
        <v>50000</v>
      </c>
      <c r="N345">
        <v>10</v>
      </c>
      <c r="O345">
        <v>6</v>
      </c>
      <c r="P345">
        <v>7</v>
      </c>
      <c r="Q345">
        <f t="shared" si="5"/>
        <v>0</v>
      </c>
    </row>
    <row r="346" spans="1:17" x14ac:dyDescent="0.25">
      <c r="A346" s="1">
        <v>345</v>
      </c>
      <c r="B346" s="4">
        <v>43814</v>
      </c>
      <c r="C346" s="1">
        <v>1074</v>
      </c>
      <c r="D346" t="s">
        <v>58</v>
      </c>
      <c r="E346" t="s">
        <v>39</v>
      </c>
      <c r="F346" t="s">
        <v>51</v>
      </c>
      <c r="G346" t="s">
        <v>60</v>
      </c>
      <c r="H346" t="s">
        <v>169</v>
      </c>
      <c r="I346" s="1">
        <v>2</v>
      </c>
      <c r="J346" t="s">
        <v>21</v>
      </c>
      <c r="K346" t="s">
        <v>22</v>
      </c>
      <c r="L346"/>
      <c r="M346">
        <v>50000</v>
      </c>
      <c r="N346">
        <v>10</v>
      </c>
      <c r="O346">
        <v>9</v>
      </c>
      <c r="P346">
        <v>7</v>
      </c>
      <c r="Q346">
        <f t="shared" si="5"/>
        <v>1</v>
      </c>
    </row>
    <row r="347" spans="1:17" x14ac:dyDescent="0.25">
      <c r="A347" s="1">
        <v>346</v>
      </c>
      <c r="B347" s="4">
        <v>43814</v>
      </c>
      <c r="C347" s="1">
        <v>1076</v>
      </c>
      <c r="D347" t="s">
        <v>139</v>
      </c>
      <c r="E347" t="s">
        <v>43</v>
      </c>
      <c r="F347" t="s">
        <v>32</v>
      </c>
      <c r="G347" t="s">
        <v>133</v>
      </c>
      <c r="H347" t="s">
        <v>169</v>
      </c>
      <c r="I347" s="1">
        <v>2</v>
      </c>
      <c r="J347" t="s">
        <v>21</v>
      </c>
      <c r="K347" t="s">
        <v>22</v>
      </c>
      <c r="L347"/>
      <c r="M347">
        <v>50000</v>
      </c>
      <c r="N347">
        <v>10</v>
      </c>
      <c r="O347">
        <v>9</v>
      </c>
      <c r="P347">
        <v>7</v>
      </c>
      <c r="Q347">
        <f t="shared" si="5"/>
        <v>1</v>
      </c>
    </row>
    <row r="348" spans="1:17" x14ac:dyDescent="0.25">
      <c r="A348" s="1">
        <v>347</v>
      </c>
      <c r="B348" s="4">
        <v>43814</v>
      </c>
      <c r="C348" s="1">
        <v>1077</v>
      </c>
      <c r="D348" t="s">
        <v>140</v>
      </c>
      <c r="E348" t="s">
        <v>43</v>
      </c>
      <c r="F348" t="s">
        <v>32</v>
      </c>
      <c r="G348" t="s">
        <v>135</v>
      </c>
      <c r="H348" t="s">
        <v>169</v>
      </c>
      <c r="I348" s="1">
        <v>2</v>
      </c>
      <c r="J348" t="s">
        <v>21</v>
      </c>
      <c r="K348" t="s">
        <v>22</v>
      </c>
      <c r="L348"/>
      <c r="M348">
        <v>50000</v>
      </c>
      <c r="N348">
        <v>10</v>
      </c>
      <c r="O348">
        <v>9</v>
      </c>
      <c r="P348">
        <v>7</v>
      </c>
      <c r="Q348">
        <f t="shared" si="5"/>
        <v>1</v>
      </c>
    </row>
    <row r="349" spans="1:17" x14ac:dyDescent="0.25">
      <c r="A349" s="1">
        <v>348</v>
      </c>
      <c r="B349" s="4">
        <v>43814</v>
      </c>
      <c r="C349" s="1">
        <v>1078</v>
      </c>
      <c r="D349" t="s">
        <v>87</v>
      </c>
      <c r="E349" t="s">
        <v>43</v>
      </c>
      <c r="F349" t="s">
        <v>32</v>
      </c>
      <c r="G349" t="s">
        <v>33</v>
      </c>
      <c r="H349" t="s">
        <v>169</v>
      </c>
      <c r="I349" s="1">
        <v>2</v>
      </c>
      <c r="J349" t="s">
        <v>21</v>
      </c>
      <c r="K349" t="s">
        <v>22</v>
      </c>
      <c r="L349"/>
      <c r="M349">
        <v>50000</v>
      </c>
      <c r="N349">
        <v>10</v>
      </c>
      <c r="O349">
        <v>5</v>
      </c>
      <c r="P349">
        <v>7</v>
      </c>
      <c r="Q349">
        <f t="shared" si="5"/>
        <v>0</v>
      </c>
    </row>
    <row r="350" spans="1:17" x14ac:dyDescent="0.25">
      <c r="A350" s="1">
        <v>349</v>
      </c>
      <c r="B350" s="4">
        <v>43814</v>
      </c>
      <c r="C350" s="1">
        <v>1079</v>
      </c>
      <c r="D350" t="s">
        <v>88</v>
      </c>
      <c r="E350" t="s">
        <v>43</v>
      </c>
      <c r="F350" t="s">
        <v>32</v>
      </c>
      <c r="G350" t="s">
        <v>33</v>
      </c>
      <c r="H350" t="s">
        <v>169</v>
      </c>
      <c r="I350" s="1">
        <v>2</v>
      </c>
      <c r="J350" t="s">
        <v>21</v>
      </c>
      <c r="K350" t="s">
        <v>22</v>
      </c>
      <c r="L350"/>
      <c r="M350">
        <v>50000</v>
      </c>
      <c r="N350">
        <v>10</v>
      </c>
      <c r="O350">
        <v>9</v>
      </c>
      <c r="P350">
        <v>7</v>
      </c>
      <c r="Q350">
        <f t="shared" si="5"/>
        <v>1</v>
      </c>
    </row>
    <row r="351" spans="1:17" x14ac:dyDescent="0.25">
      <c r="A351" s="1">
        <v>350</v>
      </c>
      <c r="B351" s="4">
        <v>43814</v>
      </c>
      <c r="C351" s="1">
        <v>1080</v>
      </c>
      <c r="D351" t="s">
        <v>89</v>
      </c>
      <c r="E351" t="s">
        <v>43</v>
      </c>
      <c r="F351" t="s">
        <v>32</v>
      </c>
      <c r="G351" t="s">
        <v>33</v>
      </c>
      <c r="H351" t="s">
        <v>169</v>
      </c>
      <c r="I351" s="1">
        <v>2</v>
      </c>
      <c r="J351" t="s">
        <v>21</v>
      </c>
      <c r="K351" t="s">
        <v>22</v>
      </c>
      <c r="L351"/>
      <c r="M351">
        <v>50000</v>
      </c>
      <c r="N351">
        <v>10</v>
      </c>
      <c r="O351">
        <v>8</v>
      </c>
      <c r="P351">
        <v>7</v>
      </c>
      <c r="Q351">
        <f t="shared" si="5"/>
        <v>1</v>
      </c>
    </row>
    <row r="352" spans="1:17" x14ac:dyDescent="0.25">
      <c r="A352" s="1">
        <v>351</v>
      </c>
      <c r="B352" s="4">
        <v>43814</v>
      </c>
      <c r="C352" s="1">
        <v>1081</v>
      </c>
      <c r="D352" t="s">
        <v>38</v>
      </c>
      <c r="E352" t="s">
        <v>43</v>
      </c>
      <c r="F352" t="s">
        <v>32</v>
      </c>
      <c r="G352" t="s">
        <v>33</v>
      </c>
      <c r="H352" t="s">
        <v>169</v>
      </c>
      <c r="I352" s="1">
        <v>2</v>
      </c>
      <c r="J352" t="s">
        <v>21</v>
      </c>
      <c r="K352" t="s">
        <v>22</v>
      </c>
      <c r="L352"/>
      <c r="M352">
        <v>50000</v>
      </c>
      <c r="N352">
        <v>10</v>
      </c>
      <c r="O352">
        <v>9</v>
      </c>
      <c r="P352">
        <v>7</v>
      </c>
      <c r="Q352">
        <f t="shared" si="5"/>
        <v>1</v>
      </c>
    </row>
    <row r="353" spans="1:17" x14ac:dyDescent="0.25">
      <c r="A353" s="1">
        <v>352</v>
      </c>
      <c r="B353" s="4">
        <v>43814</v>
      </c>
      <c r="C353" s="1">
        <v>1082</v>
      </c>
      <c r="D353" t="s">
        <v>40</v>
      </c>
      <c r="E353" t="s">
        <v>43</v>
      </c>
      <c r="F353" t="s">
        <v>32</v>
      </c>
      <c r="G353" t="s">
        <v>33</v>
      </c>
      <c r="H353" t="s">
        <v>169</v>
      </c>
      <c r="I353" s="1">
        <v>2</v>
      </c>
      <c r="J353" t="s">
        <v>21</v>
      </c>
      <c r="K353" t="s">
        <v>22</v>
      </c>
      <c r="L353"/>
      <c r="M353">
        <v>50000</v>
      </c>
      <c r="N353">
        <v>10</v>
      </c>
      <c r="O353">
        <v>9</v>
      </c>
      <c r="P353">
        <v>7</v>
      </c>
      <c r="Q353">
        <f t="shared" si="5"/>
        <v>1</v>
      </c>
    </row>
    <row r="354" spans="1:17" x14ac:dyDescent="0.25">
      <c r="A354" s="1">
        <v>353</v>
      </c>
      <c r="B354" s="4">
        <v>43814</v>
      </c>
      <c r="C354" s="1">
        <v>1083</v>
      </c>
      <c r="D354" t="s">
        <v>44</v>
      </c>
      <c r="E354" t="s">
        <v>43</v>
      </c>
      <c r="F354" t="s">
        <v>32</v>
      </c>
      <c r="G354" t="s">
        <v>33</v>
      </c>
      <c r="H354" t="s">
        <v>169</v>
      </c>
      <c r="I354" s="1">
        <v>2</v>
      </c>
      <c r="J354" t="s">
        <v>21</v>
      </c>
      <c r="K354" t="s">
        <v>22</v>
      </c>
      <c r="L354"/>
      <c r="M354">
        <v>50000</v>
      </c>
      <c r="N354">
        <v>10</v>
      </c>
      <c r="O354">
        <v>6</v>
      </c>
      <c r="P354">
        <v>7</v>
      </c>
      <c r="Q354">
        <f t="shared" si="5"/>
        <v>0</v>
      </c>
    </row>
    <row r="355" spans="1:17" x14ac:dyDescent="0.25">
      <c r="A355" s="1">
        <v>354</v>
      </c>
      <c r="B355" s="4">
        <v>43814</v>
      </c>
      <c r="C355" s="1">
        <v>1084</v>
      </c>
      <c r="D355" t="s">
        <v>42</v>
      </c>
      <c r="E355" t="s">
        <v>43</v>
      </c>
      <c r="F355" t="s">
        <v>32</v>
      </c>
      <c r="G355" t="s">
        <v>33</v>
      </c>
      <c r="H355" t="s">
        <v>169</v>
      </c>
      <c r="I355" s="1">
        <v>2</v>
      </c>
      <c r="J355" t="s">
        <v>21</v>
      </c>
      <c r="K355" t="s">
        <v>22</v>
      </c>
      <c r="L355"/>
      <c r="M355">
        <v>50000</v>
      </c>
      <c r="N355">
        <v>10</v>
      </c>
      <c r="O355">
        <v>9</v>
      </c>
      <c r="P355">
        <v>7</v>
      </c>
      <c r="Q355">
        <f t="shared" si="5"/>
        <v>1</v>
      </c>
    </row>
    <row r="356" spans="1:17" x14ac:dyDescent="0.25">
      <c r="A356" s="1">
        <v>355</v>
      </c>
      <c r="B356" s="4">
        <v>43814</v>
      </c>
      <c r="C356" s="1">
        <v>1092</v>
      </c>
      <c r="D356" t="s">
        <v>62</v>
      </c>
      <c r="E356" t="s">
        <v>43</v>
      </c>
      <c r="F356" t="s">
        <v>51</v>
      </c>
      <c r="G356" t="s">
        <v>52</v>
      </c>
      <c r="H356" t="s">
        <v>169</v>
      </c>
      <c r="I356" s="1">
        <v>2</v>
      </c>
      <c r="J356" t="s">
        <v>21</v>
      </c>
      <c r="K356" t="s">
        <v>22</v>
      </c>
      <c r="L356"/>
      <c r="M356">
        <v>50000</v>
      </c>
      <c r="N356">
        <v>10</v>
      </c>
      <c r="O356">
        <v>9</v>
      </c>
      <c r="P356">
        <v>7</v>
      </c>
      <c r="Q356">
        <f t="shared" si="5"/>
        <v>1</v>
      </c>
    </row>
    <row r="357" spans="1:17" x14ac:dyDescent="0.25">
      <c r="A357" s="1">
        <v>356</v>
      </c>
      <c r="B357" s="4">
        <v>43814</v>
      </c>
      <c r="C357" s="1">
        <v>1093</v>
      </c>
      <c r="D357" t="s">
        <v>25</v>
      </c>
      <c r="E357" t="s">
        <v>43</v>
      </c>
      <c r="F357" t="s">
        <v>51</v>
      </c>
      <c r="G357" t="s">
        <v>57</v>
      </c>
      <c r="H357" t="s">
        <v>169</v>
      </c>
      <c r="I357" s="1">
        <v>2</v>
      </c>
      <c r="J357" t="s">
        <v>21</v>
      </c>
      <c r="K357" t="s">
        <v>22</v>
      </c>
      <c r="L357"/>
      <c r="M357">
        <v>50000</v>
      </c>
      <c r="N357">
        <v>10</v>
      </c>
      <c r="O357">
        <v>5</v>
      </c>
      <c r="P357">
        <v>7</v>
      </c>
      <c r="Q357">
        <f t="shared" si="5"/>
        <v>0</v>
      </c>
    </row>
    <row r="358" spans="1:17" x14ac:dyDescent="0.25">
      <c r="A358" s="1">
        <v>357</v>
      </c>
      <c r="B358" s="4">
        <v>43814</v>
      </c>
      <c r="C358" s="1">
        <v>1094</v>
      </c>
      <c r="D358" t="s">
        <v>28</v>
      </c>
      <c r="E358" t="s">
        <v>43</v>
      </c>
      <c r="F358" t="s">
        <v>51</v>
      </c>
      <c r="G358" t="s">
        <v>60</v>
      </c>
      <c r="H358" t="s">
        <v>169</v>
      </c>
      <c r="I358" s="1">
        <v>2</v>
      </c>
      <c r="J358" t="s">
        <v>21</v>
      </c>
      <c r="K358" t="s">
        <v>22</v>
      </c>
      <c r="L358"/>
      <c r="M358">
        <v>50000</v>
      </c>
      <c r="N358">
        <v>10</v>
      </c>
      <c r="O358">
        <v>9</v>
      </c>
      <c r="P358">
        <v>7</v>
      </c>
      <c r="Q358">
        <f t="shared" si="5"/>
        <v>1</v>
      </c>
    </row>
    <row r="359" spans="1:17" x14ac:dyDescent="0.25">
      <c r="A359" s="1">
        <v>358</v>
      </c>
      <c r="B359" s="4">
        <v>43814</v>
      </c>
      <c r="C359" s="1">
        <v>1095</v>
      </c>
      <c r="D359" t="s">
        <v>63</v>
      </c>
      <c r="E359" t="s">
        <v>43</v>
      </c>
      <c r="F359" t="s">
        <v>51</v>
      </c>
      <c r="G359" t="s">
        <v>60</v>
      </c>
      <c r="H359" t="s">
        <v>169</v>
      </c>
      <c r="I359" s="1">
        <v>2</v>
      </c>
      <c r="J359" t="s">
        <v>21</v>
      </c>
      <c r="K359" t="s">
        <v>22</v>
      </c>
      <c r="L359"/>
      <c r="M359">
        <v>50000</v>
      </c>
      <c r="N359">
        <v>10</v>
      </c>
      <c r="O359">
        <v>8</v>
      </c>
      <c r="P359">
        <v>7</v>
      </c>
      <c r="Q359">
        <f t="shared" si="5"/>
        <v>1</v>
      </c>
    </row>
    <row r="360" spans="1:17" x14ac:dyDescent="0.25">
      <c r="A360" s="1">
        <v>359</v>
      </c>
      <c r="B360" s="4">
        <v>43814</v>
      </c>
      <c r="C360" s="1">
        <v>1097</v>
      </c>
      <c r="D360" t="s">
        <v>142</v>
      </c>
      <c r="E360" t="s">
        <v>46</v>
      </c>
      <c r="F360" t="s">
        <v>32</v>
      </c>
      <c r="G360" t="s">
        <v>133</v>
      </c>
      <c r="H360" t="s">
        <v>169</v>
      </c>
      <c r="I360" s="1">
        <v>2</v>
      </c>
      <c r="J360" t="s">
        <v>21</v>
      </c>
      <c r="K360" t="s">
        <v>22</v>
      </c>
      <c r="L360"/>
      <c r="M360">
        <v>50000</v>
      </c>
      <c r="N360">
        <v>10</v>
      </c>
      <c r="O360">
        <v>9</v>
      </c>
      <c r="P360">
        <v>7</v>
      </c>
      <c r="Q360">
        <f t="shared" si="5"/>
        <v>1</v>
      </c>
    </row>
    <row r="361" spans="1:17" x14ac:dyDescent="0.25">
      <c r="A361" s="1">
        <v>360</v>
      </c>
      <c r="B361" s="4">
        <v>43814</v>
      </c>
      <c r="C361" s="1">
        <v>1098</v>
      </c>
      <c r="D361" t="s">
        <v>143</v>
      </c>
      <c r="E361" t="s">
        <v>46</v>
      </c>
      <c r="F361" t="s">
        <v>32</v>
      </c>
      <c r="G361" t="s">
        <v>135</v>
      </c>
      <c r="H361" t="s">
        <v>169</v>
      </c>
      <c r="I361" s="1">
        <v>2</v>
      </c>
      <c r="J361" t="s">
        <v>21</v>
      </c>
      <c r="K361" t="s">
        <v>22</v>
      </c>
      <c r="L361"/>
      <c r="M361">
        <v>50000</v>
      </c>
      <c r="N361">
        <v>10</v>
      </c>
      <c r="O361">
        <v>6</v>
      </c>
      <c r="P361">
        <v>7</v>
      </c>
      <c r="Q361">
        <f t="shared" si="5"/>
        <v>0</v>
      </c>
    </row>
    <row r="362" spans="1:17" x14ac:dyDescent="0.25">
      <c r="A362" s="1">
        <v>361</v>
      </c>
      <c r="B362" s="4">
        <v>43814</v>
      </c>
      <c r="C362" s="1">
        <v>1099</v>
      </c>
      <c r="D362" t="s">
        <v>90</v>
      </c>
      <c r="E362" t="s">
        <v>46</v>
      </c>
      <c r="F362" t="s">
        <v>32</v>
      </c>
      <c r="G362" t="s">
        <v>33</v>
      </c>
      <c r="H362" t="s">
        <v>169</v>
      </c>
      <c r="I362" s="1">
        <v>2</v>
      </c>
      <c r="J362" t="s">
        <v>21</v>
      </c>
      <c r="K362" t="s">
        <v>22</v>
      </c>
      <c r="L362"/>
      <c r="M362">
        <v>50000</v>
      </c>
      <c r="N362">
        <v>10</v>
      </c>
      <c r="O362">
        <v>8</v>
      </c>
      <c r="P362">
        <v>7</v>
      </c>
      <c r="Q362">
        <f t="shared" si="5"/>
        <v>1</v>
      </c>
    </row>
    <row r="363" spans="1:17" x14ac:dyDescent="0.25">
      <c r="A363" s="1">
        <v>362</v>
      </c>
      <c r="B363" s="4">
        <v>43814</v>
      </c>
      <c r="C363" s="1">
        <v>1100</v>
      </c>
      <c r="D363" t="s">
        <v>91</v>
      </c>
      <c r="E363" t="s">
        <v>46</v>
      </c>
      <c r="F363" t="s">
        <v>32</v>
      </c>
      <c r="G363" t="s">
        <v>33</v>
      </c>
      <c r="H363" t="s">
        <v>169</v>
      </c>
      <c r="I363" s="1">
        <v>2</v>
      </c>
      <c r="J363" t="s">
        <v>21</v>
      </c>
      <c r="K363" t="s">
        <v>22</v>
      </c>
      <c r="L363"/>
      <c r="M363">
        <v>50000</v>
      </c>
      <c r="N363">
        <v>10</v>
      </c>
      <c r="O363">
        <v>9</v>
      </c>
      <c r="P363">
        <v>7</v>
      </c>
      <c r="Q363">
        <f t="shared" si="5"/>
        <v>1</v>
      </c>
    </row>
    <row r="364" spans="1:17" x14ac:dyDescent="0.25">
      <c r="A364" s="1">
        <v>363</v>
      </c>
      <c r="B364" s="4">
        <v>43814</v>
      </c>
      <c r="C364" s="1">
        <v>1101</v>
      </c>
      <c r="D364" t="s">
        <v>45</v>
      </c>
      <c r="E364" t="s">
        <v>46</v>
      </c>
      <c r="F364" t="s">
        <v>32</v>
      </c>
      <c r="G364" t="s">
        <v>33</v>
      </c>
      <c r="H364" t="s">
        <v>169</v>
      </c>
      <c r="I364" s="1">
        <v>2</v>
      </c>
      <c r="J364" t="s">
        <v>21</v>
      </c>
      <c r="K364" t="s">
        <v>22</v>
      </c>
      <c r="L364"/>
      <c r="M364">
        <v>50000</v>
      </c>
      <c r="N364">
        <v>10</v>
      </c>
      <c r="O364">
        <v>9</v>
      </c>
      <c r="P364">
        <v>7</v>
      </c>
      <c r="Q364">
        <f t="shared" si="5"/>
        <v>1</v>
      </c>
    </row>
    <row r="365" spans="1:17" x14ac:dyDescent="0.25">
      <c r="A365" s="1">
        <v>364</v>
      </c>
      <c r="B365" s="4">
        <v>43814</v>
      </c>
      <c r="C365" s="1">
        <v>1102</v>
      </c>
      <c r="D365" t="s">
        <v>47</v>
      </c>
      <c r="E365" t="s">
        <v>46</v>
      </c>
      <c r="F365" t="s">
        <v>32</v>
      </c>
      <c r="G365" t="s">
        <v>33</v>
      </c>
      <c r="H365" t="s">
        <v>169</v>
      </c>
      <c r="I365" s="1">
        <v>2</v>
      </c>
      <c r="J365" t="s">
        <v>21</v>
      </c>
      <c r="K365" t="s">
        <v>22</v>
      </c>
      <c r="L365"/>
      <c r="M365">
        <v>50000</v>
      </c>
      <c r="N365">
        <v>10</v>
      </c>
      <c r="O365">
        <v>9</v>
      </c>
      <c r="P365">
        <v>7</v>
      </c>
      <c r="Q365">
        <f t="shared" si="5"/>
        <v>1</v>
      </c>
    </row>
    <row r="366" spans="1:17" x14ac:dyDescent="0.25">
      <c r="A366" s="1">
        <v>365</v>
      </c>
      <c r="B366" s="4">
        <v>43814</v>
      </c>
      <c r="C366" s="1">
        <v>1103</v>
      </c>
      <c r="D366" t="s">
        <v>48</v>
      </c>
      <c r="E366" t="s">
        <v>46</v>
      </c>
      <c r="F366" t="s">
        <v>32</v>
      </c>
      <c r="G366" t="s">
        <v>33</v>
      </c>
      <c r="H366" t="s">
        <v>169</v>
      </c>
      <c r="I366" s="1">
        <v>2</v>
      </c>
      <c r="J366" t="s">
        <v>21</v>
      </c>
      <c r="K366" t="s">
        <v>22</v>
      </c>
      <c r="L366"/>
      <c r="M366">
        <v>50000</v>
      </c>
      <c r="N366">
        <v>10</v>
      </c>
      <c r="O366">
        <v>9</v>
      </c>
      <c r="P366">
        <v>7</v>
      </c>
      <c r="Q366">
        <f t="shared" si="5"/>
        <v>1</v>
      </c>
    </row>
    <row r="367" spans="1:17" x14ac:dyDescent="0.25">
      <c r="A367" s="1">
        <v>366</v>
      </c>
      <c r="B367" s="4">
        <v>43814</v>
      </c>
      <c r="C367" s="1">
        <v>1104</v>
      </c>
      <c r="D367" t="s">
        <v>49</v>
      </c>
      <c r="E367" t="s">
        <v>46</v>
      </c>
      <c r="F367" t="s">
        <v>32</v>
      </c>
      <c r="G367" t="s">
        <v>33</v>
      </c>
      <c r="H367" t="s">
        <v>169</v>
      </c>
      <c r="I367" s="1">
        <v>2</v>
      </c>
      <c r="J367" t="s">
        <v>21</v>
      </c>
      <c r="K367" t="s">
        <v>22</v>
      </c>
      <c r="L367"/>
      <c r="M367">
        <v>50000</v>
      </c>
      <c r="N367">
        <v>10</v>
      </c>
      <c r="O367">
        <v>7</v>
      </c>
      <c r="P367">
        <v>7</v>
      </c>
      <c r="Q367">
        <f t="shared" si="5"/>
        <v>0</v>
      </c>
    </row>
    <row r="368" spans="1:17" x14ac:dyDescent="0.25">
      <c r="A368" s="1">
        <v>367</v>
      </c>
      <c r="B368" s="4">
        <v>43814</v>
      </c>
      <c r="C368" s="1">
        <v>1105</v>
      </c>
      <c r="D368" t="s">
        <v>92</v>
      </c>
      <c r="E368" t="s">
        <v>46</v>
      </c>
      <c r="F368" t="s">
        <v>32</v>
      </c>
      <c r="G368" t="s">
        <v>33</v>
      </c>
      <c r="H368" t="s">
        <v>169</v>
      </c>
      <c r="I368" s="1">
        <v>2</v>
      </c>
      <c r="J368" t="s">
        <v>21</v>
      </c>
      <c r="K368" t="s">
        <v>22</v>
      </c>
      <c r="L368"/>
      <c r="M368">
        <v>50000</v>
      </c>
      <c r="N368">
        <v>10</v>
      </c>
      <c r="O368">
        <v>9</v>
      </c>
      <c r="P368">
        <v>7</v>
      </c>
      <c r="Q368">
        <f t="shared" si="5"/>
        <v>1</v>
      </c>
    </row>
    <row r="369" spans="1:17" x14ac:dyDescent="0.25">
      <c r="A369" s="1">
        <v>368</v>
      </c>
      <c r="B369" s="4">
        <v>43814</v>
      </c>
      <c r="C369" s="1">
        <v>1112</v>
      </c>
      <c r="D369" t="s">
        <v>64</v>
      </c>
      <c r="E369" t="s">
        <v>46</v>
      </c>
      <c r="F369" t="s">
        <v>51</v>
      </c>
      <c r="G369" t="s">
        <v>52</v>
      </c>
      <c r="H369" t="s">
        <v>169</v>
      </c>
      <c r="I369" s="1">
        <v>2</v>
      </c>
      <c r="J369" t="s">
        <v>21</v>
      </c>
      <c r="K369" t="s">
        <v>22</v>
      </c>
      <c r="L369"/>
      <c r="M369">
        <v>50000</v>
      </c>
      <c r="N369">
        <v>10</v>
      </c>
      <c r="O369">
        <v>9</v>
      </c>
      <c r="P369">
        <v>7</v>
      </c>
      <c r="Q369">
        <f t="shared" si="5"/>
        <v>1</v>
      </c>
    </row>
    <row r="370" spans="1:17" x14ac:dyDescent="0.25">
      <c r="A370" s="1">
        <v>369</v>
      </c>
      <c r="B370" s="4">
        <v>43814</v>
      </c>
      <c r="C370" s="1">
        <v>1113</v>
      </c>
      <c r="D370" t="s">
        <v>65</v>
      </c>
      <c r="E370" t="s">
        <v>46</v>
      </c>
      <c r="F370" t="s">
        <v>51</v>
      </c>
      <c r="G370" t="s">
        <v>57</v>
      </c>
      <c r="H370" t="s">
        <v>169</v>
      </c>
      <c r="I370" s="1">
        <v>2</v>
      </c>
      <c r="J370" t="s">
        <v>21</v>
      </c>
      <c r="K370" t="s">
        <v>22</v>
      </c>
      <c r="L370"/>
      <c r="M370">
        <v>50000</v>
      </c>
      <c r="N370">
        <v>10</v>
      </c>
      <c r="O370">
        <v>7</v>
      </c>
      <c r="P370">
        <v>7</v>
      </c>
      <c r="Q370">
        <f t="shared" si="5"/>
        <v>0</v>
      </c>
    </row>
    <row r="371" spans="1:17" x14ac:dyDescent="0.25">
      <c r="A371" s="1">
        <v>370</v>
      </c>
      <c r="B371" s="4">
        <v>43814</v>
      </c>
      <c r="C371" s="1">
        <v>1114</v>
      </c>
      <c r="D371" t="s">
        <v>66</v>
      </c>
      <c r="E371" t="s">
        <v>46</v>
      </c>
      <c r="F371" t="s">
        <v>51</v>
      </c>
      <c r="G371" t="s">
        <v>57</v>
      </c>
      <c r="H371" t="s">
        <v>169</v>
      </c>
      <c r="I371" s="1">
        <v>2</v>
      </c>
      <c r="J371" t="s">
        <v>21</v>
      </c>
      <c r="K371" t="s">
        <v>22</v>
      </c>
      <c r="L371"/>
      <c r="M371">
        <v>50000</v>
      </c>
      <c r="N371">
        <v>10</v>
      </c>
      <c r="O371">
        <v>9</v>
      </c>
      <c r="P371">
        <v>7</v>
      </c>
      <c r="Q371">
        <f t="shared" si="5"/>
        <v>1</v>
      </c>
    </row>
    <row r="372" spans="1:17" x14ac:dyDescent="0.25">
      <c r="A372" s="1">
        <v>371</v>
      </c>
      <c r="B372" s="4">
        <v>43814</v>
      </c>
      <c r="C372" s="1">
        <v>1115</v>
      </c>
      <c r="D372" t="s">
        <v>67</v>
      </c>
      <c r="E372" t="s">
        <v>46</v>
      </c>
      <c r="F372" t="s">
        <v>51</v>
      </c>
      <c r="G372" t="s">
        <v>60</v>
      </c>
      <c r="H372" t="s">
        <v>169</v>
      </c>
      <c r="I372" s="1">
        <v>2</v>
      </c>
      <c r="J372" t="s">
        <v>21</v>
      </c>
      <c r="K372" t="s">
        <v>22</v>
      </c>
      <c r="L372"/>
      <c r="M372">
        <v>50000</v>
      </c>
      <c r="N372">
        <v>10</v>
      </c>
      <c r="O372">
        <v>9</v>
      </c>
      <c r="P372">
        <v>7</v>
      </c>
      <c r="Q372">
        <f t="shared" si="5"/>
        <v>1</v>
      </c>
    </row>
    <row r="373" spans="1:17" x14ac:dyDescent="0.25">
      <c r="A373" s="1">
        <v>372</v>
      </c>
      <c r="B373" s="4">
        <v>43814</v>
      </c>
      <c r="C373" s="1">
        <v>1076</v>
      </c>
      <c r="D373" t="s">
        <v>139</v>
      </c>
      <c r="E373" t="s">
        <v>43</v>
      </c>
      <c r="F373" t="s">
        <v>32</v>
      </c>
      <c r="G373" t="s">
        <v>133</v>
      </c>
      <c r="H373" t="s">
        <v>170</v>
      </c>
      <c r="I373" s="1">
        <v>2</v>
      </c>
      <c r="J373" t="s">
        <v>21</v>
      </c>
      <c r="K373" t="s">
        <v>22</v>
      </c>
      <c r="L373"/>
      <c r="M373">
        <v>50000</v>
      </c>
      <c r="N373">
        <v>10</v>
      </c>
      <c r="O373">
        <v>7</v>
      </c>
      <c r="P373">
        <v>7</v>
      </c>
      <c r="Q373">
        <f t="shared" si="5"/>
        <v>0</v>
      </c>
    </row>
    <row r="374" spans="1:17" x14ac:dyDescent="0.25">
      <c r="A374" s="1">
        <v>373</v>
      </c>
      <c r="B374" s="4">
        <v>43814</v>
      </c>
      <c r="C374" s="1">
        <v>1077</v>
      </c>
      <c r="D374" t="s">
        <v>140</v>
      </c>
      <c r="E374" t="s">
        <v>43</v>
      </c>
      <c r="F374" t="s">
        <v>32</v>
      </c>
      <c r="G374" t="s">
        <v>135</v>
      </c>
      <c r="H374" t="s">
        <v>170</v>
      </c>
      <c r="I374" s="1">
        <v>2</v>
      </c>
      <c r="J374" t="s">
        <v>21</v>
      </c>
      <c r="K374" t="s">
        <v>22</v>
      </c>
      <c r="L374"/>
      <c r="M374">
        <v>50000</v>
      </c>
      <c r="N374">
        <v>10</v>
      </c>
      <c r="O374">
        <v>9</v>
      </c>
      <c r="P374">
        <v>7</v>
      </c>
      <c r="Q374">
        <f t="shared" si="5"/>
        <v>1</v>
      </c>
    </row>
    <row r="375" spans="1:17" x14ac:dyDescent="0.25">
      <c r="A375" s="1">
        <v>374</v>
      </c>
      <c r="B375" s="4">
        <v>43814</v>
      </c>
      <c r="C375" s="1">
        <v>1078</v>
      </c>
      <c r="D375" t="s">
        <v>87</v>
      </c>
      <c r="E375" t="s">
        <v>43</v>
      </c>
      <c r="F375" t="s">
        <v>32</v>
      </c>
      <c r="G375" t="s">
        <v>33</v>
      </c>
      <c r="H375" t="s">
        <v>170</v>
      </c>
      <c r="I375" s="1">
        <v>2</v>
      </c>
      <c r="J375" t="s">
        <v>21</v>
      </c>
      <c r="K375" t="s">
        <v>22</v>
      </c>
      <c r="L375"/>
      <c r="M375">
        <v>50000</v>
      </c>
      <c r="N375">
        <v>10</v>
      </c>
      <c r="O375">
        <v>7</v>
      </c>
      <c r="P375">
        <v>7</v>
      </c>
      <c r="Q375">
        <f t="shared" si="5"/>
        <v>0</v>
      </c>
    </row>
    <row r="376" spans="1:17" x14ac:dyDescent="0.25">
      <c r="A376" s="1">
        <v>375</v>
      </c>
      <c r="B376" s="4">
        <v>43814</v>
      </c>
      <c r="C376" s="1">
        <v>1079</v>
      </c>
      <c r="D376" t="s">
        <v>88</v>
      </c>
      <c r="E376" t="s">
        <v>43</v>
      </c>
      <c r="F376" t="s">
        <v>32</v>
      </c>
      <c r="G376" t="s">
        <v>33</v>
      </c>
      <c r="H376" t="s">
        <v>170</v>
      </c>
      <c r="I376" s="1">
        <v>2</v>
      </c>
      <c r="J376" t="s">
        <v>21</v>
      </c>
      <c r="K376" t="s">
        <v>22</v>
      </c>
      <c r="L376"/>
      <c r="M376">
        <v>50000</v>
      </c>
      <c r="N376">
        <v>10</v>
      </c>
      <c r="O376">
        <v>9</v>
      </c>
      <c r="P376">
        <v>7</v>
      </c>
      <c r="Q376">
        <f t="shared" si="5"/>
        <v>1</v>
      </c>
    </row>
    <row r="377" spans="1:17" x14ac:dyDescent="0.25">
      <c r="A377" s="1">
        <v>376</v>
      </c>
      <c r="B377" s="4">
        <v>43814</v>
      </c>
      <c r="C377" s="1">
        <v>1080</v>
      </c>
      <c r="D377" t="s">
        <v>89</v>
      </c>
      <c r="E377" t="s">
        <v>43</v>
      </c>
      <c r="F377" t="s">
        <v>32</v>
      </c>
      <c r="G377" t="s">
        <v>33</v>
      </c>
      <c r="H377" t="s">
        <v>170</v>
      </c>
      <c r="I377" s="1">
        <v>2</v>
      </c>
      <c r="J377" t="s">
        <v>21</v>
      </c>
      <c r="K377" t="s">
        <v>22</v>
      </c>
      <c r="L377"/>
      <c r="M377">
        <v>50000</v>
      </c>
      <c r="N377">
        <v>10</v>
      </c>
      <c r="O377">
        <v>9</v>
      </c>
      <c r="P377">
        <v>7</v>
      </c>
      <c r="Q377">
        <f t="shared" si="5"/>
        <v>1</v>
      </c>
    </row>
    <row r="378" spans="1:17" x14ac:dyDescent="0.25">
      <c r="A378" s="1">
        <v>377</v>
      </c>
      <c r="B378" s="4">
        <v>43814</v>
      </c>
      <c r="C378" s="1">
        <v>1081</v>
      </c>
      <c r="D378" t="s">
        <v>38</v>
      </c>
      <c r="E378" t="s">
        <v>43</v>
      </c>
      <c r="F378" t="s">
        <v>32</v>
      </c>
      <c r="G378" t="s">
        <v>33</v>
      </c>
      <c r="H378" t="s">
        <v>170</v>
      </c>
      <c r="I378" s="1">
        <v>2</v>
      </c>
      <c r="J378" t="s">
        <v>21</v>
      </c>
      <c r="K378" t="s">
        <v>22</v>
      </c>
      <c r="L378"/>
      <c r="M378">
        <v>50000</v>
      </c>
      <c r="N378">
        <v>10</v>
      </c>
      <c r="O378">
        <v>6</v>
      </c>
      <c r="P378">
        <v>7</v>
      </c>
      <c r="Q378">
        <f t="shared" si="5"/>
        <v>0</v>
      </c>
    </row>
    <row r="379" spans="1:17" x14ac:dyDescent="0.25">
      <c r="A379" s="1">
        <v>378</v>
      </c>
      <c r="B379" s="4">
        <v>43814</v>
      </c>
      <c r="C379" s="1">
        <v>1082</v>
      </c>
      <c r="D379" t="s">
        <v>40</v>
      </c>
      <c r="E379" t="s">
        <v>43</v>
      </c>
      <c r="F379" t="s">
        <v>32</v>
      </c>
      <c r="G379" t="s">
        <v>33</v>
      </c>
      <c r="H379" t="s">
        <v>170</v>
      </c>
      <c r="I379" s="1">
        <v>2</v>
      </c>
      <c r="J379" t="s">
        <v>21</v>
      </c>
      <c r="K379" t="s">
        <v>22</v>
      </c>
      <c r="L379"/>
      <c r="M379">
        <v>50000</v>
      </c>
      <c r="N379">
        <v>10</v>
      </c>
      <c r="O379">
        <v>9</v>
      </c>
      <c r="P379">
        <v>7</v>
      </c>
      <c r="Q379">
        <f t="shared" si="5"/>
        <v>1</v>
      </c>
    </row>
    <row r="380" spans="1:17" x14ac:dyDescent="0.25">
      <c r="A380" s="1">
        <v>379</v>
      </c>
      <c r="B380" s="4">
        <v>43814</v>
      </c>
      <c r="C380" s="1">
        <v>1083</v>
      </c>
      <c r="D380" t="s">
        <v>44</v>
      </c>
      <c r="E380" t="s">
        <v>43</v>
      </c>
      <c r="F380" t="s">
        <v>32</v>
      </c>
      <c r="G380" t="s">
        <v>33</v>
      </c>
      <c r="H380" t="s">
        <v>170</v>
      </c>
      <c r="I380" s="1">
        <v>2</v>
      </c>
      <c r="J380" t="s">
        <v>21</v>
      </c>
      <c r="K380" t="s">
        <v>22</v>
      </c>
      <c r="L380"/>
      <c r="M380">
        <v>50000</v>
      </c>
      <c r="N380">
        <v>10</v>
      </c>
      <c r="O380">
        <v>7</v>
      </c>
      <c r="P380">
        <v>7</v>
      </c>
      <c r="Q380">
        <f t="shared" si="5"/>
        <v>0</v>
      </c>
    </row>
    <row r="381" spans="1:17" x14ac:dyDescent="0.25">
      <c r="A381" s="1">
        <v>380</v>
      </c>
      <c r="B381" s="4">
        <v>43814</v>
      </c>
      <c r="C381" s="1">
        <v>1084</v>
      </c>
      <c r="D381" t="s">
        <v>42</v>
      </c>
      <c r="E381" t="s">
        <v>43</v>
      </c>
      <c r="F381" t="s">
        <v>32</v>
      </c>
      <c r="G381" t="s">
        <v>33</v>
      </c>
      <c r="H381" t="s">
        <v>170</v>
      </c>
      <c r="I381" s="1">
        <v>2</v>
      </c>
      <c r="J381" t="s">
        <v>21</v>
      </c>
      <c r="K381" t="s">
        <v>22</v>
      </c>
      <c r="L381"/>
      <c r="M381">
        <v>50000</v>
      </c>
      <c r="N381">
        <v>10</v>
      </c>
      <c r="O381">
        <v>9</v>
      </c>
      <c r="P381">
        <v>7</v>
      </c>
      <c r="Q381">
        <f t="shared" si="5"/>
        <v>1</v>
      </c>
    </row>
    <row r="382" spans="1:17" x14ac:dyDescent="0.25">
      <c r="A382" s="1">
        <v>381</v>
      </c>
      <c r="B382" s="4">
        <v>43814</v>
      </c>
      <c r="C382" s="1">
        <v>1097</v>
      </c>
      <c r="D382" t="s">
        <v>142</v>
      </c>
      <c r="E382" t="s">
        <v>46</v>
      </c>
      <c r="F382" t="s">
        <v>32</v>
      </c>
      <c r="G382" t="s">
        <v>133</v>
      </c>
      <c r="H382" t="s">
        <v>170</v>
      </c>
      <c r="I382" s="1">
        <v>2</v>
      </c>
      <c r="J382" t="s">
        <v>21</v>
      </c>
      <c r="K382" t="s">
        <v>22</v>
      </c>
      <c r="L382"/>
      <c r="M382">
        <v>50000</v>
      </c>
      <c r="N382">
        <v>10</v>
      </c>
      <c r="O382">
        <v>9</v>
      </c>
      <c r="P382">
        <v>7</v>
      </c>
      <c r="Q382">
        <f t="shared" si="5"/>
        <v>1</v>
      </c>
    </row>
    <row r="383" spans="1:17" x14ac:dyDescent="0.25">
      <c r="A383" s="1">
        <v>382</v>
      </c>
      <c r="B383" s="4">
        <v>43814</v>
      </c>
      <c r="C383" s="1">
        <v>1098</v>
      </c>
      <c r="D383" t="s">
        <v>143</v>
      </c>
      <c r="E383" t="s">
        <v>46</v>
      </c>
      <c r="F383" t="s">
        <v>32</v>
      </c>
      <c r="G383" t="s">
        <v>135</v>
      </c>
      <c r="H383" t="s">
        <v>170</v>
      </c>
      <c r="I383" s="1">
        <v>2</v>
      </c>
      <c r="J383" t="s">
        <v>21</v>
      </c>
      <c r="K383" t="s">
        <v>22</v>
      </c>
      <c r="L383"/>
      <c r="M383">
        <v>50000</v>
      </c>
      <c r="N383">
        <v>10</v>
      </c>
      <c r="O383">
        <v>5</v>
      </c>
      <c r="P383">
        <v>7</v>
      </c>
      <c r="Q383">
        <f t="shared" si="5"/>
        <v>0</v>
      </c>
    </row>
    <row r="384" spans="1:17" x14ac:dyDescent="0.25">
      <c r="A384" s="1">
        <v>383</v>
      </c>
      <c r="B384" s="4">
        <v>43814</v>
      </c>
      <c r="C384" s="1">
        <v>1099</v>
      </c>
      <c r="D384" t="s">
        <v>90</v>
      </c>
      <c r="E384" t="s">
        <v>46</v>
      </c>
      <c r="F384" t="s">
        <v>32</v>
      </c>
      <c r="G384" t="s">
        <v>33</v>
      </c>
      <c r="H384" t="s">
        <v>170</v>
      </c>
      <c r="I384" s="1">
        <v>2</v>
      </c>
      <c r="J384" t="s">
        <v>21</v>
      </c>
      <c r="K384" t="s">
        <v>22</v>
      </c>
      <c r="L384"/>
      <c r="M384">
        <v>50000</v>
      </c>
      <c r="N384">
        <v>10</v>
      </c>
      <c r="O384">
        <v>9</v>
      </c>
      <c r="P384">
        <v>7</v>
      </c>
      <c r="Q384">
        <f t="shared" si="5"/>
        <v>1</v>
      </c>
    </row>
    <row r="385" spans="1:17" x14ac:dyDescent="0.25">
      <c r="A385" s="1">
        <v>384</v>
      </c>
      <c r="B385" s="4">
        <v>43814</v>
      </c>
      <c r="C385" s="1">
        <v>1100</v>
      </c>
      <c r="D385" t="s">
        <v>91</v>
      </c>
      <c r="E385" t="s">
        <v>46</v>
      </c>
      <c r="F385" t="s">
        <v>32</v>
      </c>
      <c r="G385" t="s">
        <v>33</v>
      </c>
      <c r="H385" t="s">
        <v>170</v>
      </c>
      <c r="I385" s="1">
        <v>2</v>
      </c>
      <c r="J385" t="s">
        <v>21</v>
      </c>
      <c r="K385" t="s">
        <v>22</v>
      </c>
      <c r="L385"/>
      <c r="M385">
        <v>50000</v>
      </c>
      <c r="N385">
        <v>10</v>
      </c>
      <c r="O385">
        <v>9</v>
      </c>
      <c r="P385">
        <v>7</v>
      </c>
      <c r="Q385">
        <f t="shared" si="5"/>
        <v>1</v>
      </c>
    </row>
    <row r="386" spans="1:17" x14ac:dyDescent="0.25">
      <c r="A386" s="1">
        <v>385</v>
      </c>
      <c r="B386" s="4">
        <v>43814</v>
      </c>
      <c r="C386" s="1">
        <v>1101</v>
      </c>
      <c r="D386" t="s">
        <v>45</v>
      </c>
      <c r="E386" t="s">
        <v>46</v>
      </c>
      <c r="F386" t="s">
        <v>32</v>
      </c>
      <c r="G386" t="s">
        <v>33</v>
      </c>
      <c r="H386" t="s">
        <v>170</v>
      </c>
      <c r="I386" s="1">
        <v>2</v>
      </c>
      <c r="J386" t="s">
        <v>21</v>
      </c>
      <c r="K386" t="s">
        <v>22</v>
      </c>
      <c r="L386"/>
      <c r="M386">
        <v>50000</v>
      </c>
      <c r="N386">
        <v>10</v>
      </c>
      <c r="O386">
        <v>8</v>
      </c>
      <c r="P386">
        <v>7</v>
      </c>
      <c r="Q386">
        <f t="shared" si="5"/>
        <v>1</v>
      </c>
    </row>
    <row r="387" spans="1:17" x14ac:dyDescent="0.25">
      <c r="A387" s="1">
        <v>386</v>
      </c>
      <c r="B387" s="4">
        <v>43814</v>
      </c>
      <c r="C387" s="1">
        <v>1102</v>
      </c>
      <c r="D387" t="s">
        <v>47</v>
      </c>
      <c r="E387" t="s">
        <v>46</v>
      </c>
      <c r="F387" t="s">
        <v>32</v>
      </c>
      <c r="G387" t="s">
        <v>33</v>
      </c>
      <c r="H387" t="s">
        <v>170</v>
      </c>
      <c r="I387" s="1">
        <v>2</v>
      </c>
      <c r="J387" t="s">
        <v>21</v>
      </c>
      <c r="K387" t="s">
        <v>22</v>
      </c>
      <c r="L387"/>
      <c r="M387">
        <v>50000</v>
      </c>
      <c r="N387">
        <v>10</v>
      </c>
      <c r="O387">
        <v>9</v>
      </c>
      <c r="P387">
        <v>7</v>
      </c>
      <c r="Q387">
        <f t="shared" ref="Q387:Q401" si="6">IF(O387&gt;P387,1,0)</f>
        <v>1</v>
      </c>
    </row>
    <row r="388" spans="1:17" x14ac:dyDescent="0.25">
      <c r="A388" s="1">
        <v>387</v>
      </c>
      <c r="B388" s="4">
        <v>43814</v>
      </c>
      <c r="C388" s="1">
        <v>1103</v>
      </c>
      <c r="D388" t="s">
        <v>48</v>
      </c>
      <c r="E388" t="s">
        <v>46</v>
      </c>
      <c r="F388" t="s">
        <v>32</v>
      </c>
      <c r="G388" t="s">
        <v>33</v>
      </c>
      <c r="H388" t="s">
        <v>170</v>
      </c>
      <c r="I388" s="1">
        <v>2</v>
      </c>
      <c r="J388" t="s">
        <v>21</v>
      </c>
      <c r="K388" t="s">
        <v>22</v>
      </c>
      <c r="L388"/>
      <c r="M388">
        <v>50000</v>
      </c>
      <c r="N388">
        <v>10</v>
      </c>
      <c r="O388">
        <v>9</v>
      </c>
      <c r="P388">
        <v>7</v>
      </c>
      <c r="Q388">
        <f t="shared" si="6"/>
        <v>1</v>
      </c>
    </row>
    <row r="389" spans="1:17" x14ac:dyDescent="0.25">
      <c r="A389" s="1">
        <v>388</v>
      </c>
      <c r="B389" s="4">
        <v>43814</v>
      </c>
      <c r="C389" s="1">
        <v>1104</v>
      </c>
      <c r="D389" t="s">
        <v>49</v>
      </c>
      <c r="E389" t="s">
        <v>46</v>
      </c>
      <c r="F389" t="s">
        <v>32</v>
      </c>
      <c r="G389" t="s">
        <v>33</v>
      </c>
      <c r="H389" t="s">
        <v>170</v>
      </c>
      <c r="I389" s="1">
        <v>2</v>
      </c>
      <c r="J389" t="s">
        <v>21</v>
      </c>
      <c r="K389" t="s">
        <v>22</v>
      </c>
      <c r="L389"/>
      <c r="M389">
        <v>50000</v>
      </c>
      <c r="N389">
        <v>10</v>
      </c>
      <c r="O389">
        <v>8</v>
      </c>
      <c r="P389">
        <v>7</v>
      </c>
      <c r="Q389">
        <f t="shared" si="6"/>
        <v>1</v>
      </c>
    </row>
    <row r="390" spans="1:17" x14ac:dyDescent="0.25">
      <c r="A390" s="1">
        <v>389</v>
      </c>
      <c r="B390" s="4">
        <v>43814</v>
      </c>
      <c r="C390" s="1">
        <v>1105</v>
      </c>
      <c r="D390" t="s">
        <v>92</v>
      </c>
      <c r="E390" t="s">
        <v>46</v>
      </c>
      <c r="F390" t="s">
        <v>32</v>
      </c>
      <c r="G390" t="s">
        <v>33</v>
      </c>
      <c r="H390" t="s">
        <v>170</v>
      </c>
      <c r="I390" s="1">
        <v>2</v>
      </c>
      <c r="J390" t="s">
        <v>21</v>
      </c>
      <c r="K390" t="s">
        <v>22</v>
      </c>
      <c r="L390"/>
      <c r="M390">
        <v>50000</v>
      </c>
      <c r="N390">
        <v>10</v>
      </c>
      <c r="O390">
        <v>9</v>
      </c>
      <c r="P390">
        <v>7</v>
      </c>
      <c r="Q390">
        <f t="shared" si="6"/>
        <v>1</v>
      </c>
    </row>
    <row r="391" spans="1:17" x14ac:dyDescent="0.25">
      <c r="A391" s="1">
        <v>390</v>
      </c>
      <c r="B391" s="4">
        <v>43814</v>
      </c>
      <c r="C391" s="1">
        <v>1083</v>
      </c>
      <c r="D391" t="s">
        <v>44</v>
      </c>
      <c r="E391" t="s">
        <v>43</v>
      </c>
      <c r="F391" t="s">
        <v>32</v>
      </c>
      <c r="G391" t="s">
        <v>33</v>
      </c>
      <c r="H391" t="s">
        <v>170</v>
      </c>
      <c r="I391" s="1">
        <v>2</v>
      </c>
      <c r="J391" t="s">
        <v>21</v>
      </c>
      <c r="K391" t="s">
        <v>22</v>
      </c>
      <c r="L391"/>
      <c r="Q391">
        <f t="shared" si="6"/>
        <v>0</v>
      </c>
    </row>
    <row r="392" spans="1:17" x14ac:dyDescent="0.25">
      <c r="A392" s="1">
        <v>391</v>
      </c>
      <c r="B392" s="4">
        <v>43814</v>
      </c>
      <c r="C392" s="1">
        <v>1084</v>
      </c>
      <c r="D392" t="s">
        <v>42</v>
      </c>
      <c r="E392" t="s">
        <v>43</v>
      </c>
      <c r="F392" t="s">
        <v>32</v>
      </c>
      <c r="G392" t="s">
        <v>33</v>
      </c>
      <c r="H392" t="s">
        <v>170</v>
      </c>
      <c r="I392" s="1">
        <v>2</v>
      </c>
      <c r="J392" t="s">
        <v>21</v>
      </c>
      <c r="K392" t="s">
        <v>22</v>
      </c>
      <c r="L392"/>
      <c r="Q392">
        <f t="shared" si="6"/>
        <v>0</v>
      </c>
    </row>
    <row r="393" spans="1:17" x14ac:dyDescent="0.25">
      <c r="A393" s="1">
        <v>392</v>
      </c>
      <c r="B393" s="4">
        <v>43814</v>
      </c>
      <c r="C393" s="1">
        <v>1097</v>
      </c>
      <c r="D393" t="s">
        <v>142</v>
      </c>
      <c r="E393" t="s">
        <v>46</v>
      </c>
      <c r="F393" t="s">
        <v>32</v>
      </c>
      <c r="G393" t="s">
        <v>133</v>
      </c>
      <c r="H393" t="s">
        <v>170</v>
      </c>
      <c r="I393" s="1">
        <v>2</v>
      </c>
      <c r="J393" t="s">
        <v>21</v>
      </c>
      <c r="K393" t="s">
        <v>22</v>
      </c>
      <c r="L393"/>
      <c r="Q393">
        <f t="shared" si="6"/>
        <v>0</v>
      </c>
    </row>
    <row r="394" spans="1:17" x14ac:dyDescent="0.25">
      <c r="A394" s="1">
        <v>393</v>
      </c>
      <c r="B394" s="4">
        <v>43814</v>
      </c>
      <c r="C394" s="1">
        <v>1098</v>
      </c>
      <c r="D394" t="s">
        <v>143</v>
      </c>
      <c r="E394" t="s">
        <v>46</v>
      </c>
      <c r="F394" t="s">
        <v>32</v>
      </c>
      <c r="G394" t="s">
        <v>135</v>
      </c>
      <c r="H394" t="s">
        <v>170</v>
      </c>
      <c r="I394" s="1">
        <v>2</v>
      </c>
      <c r="J394" t="s">
        <v>21</v>
      </c>
      <c r="K394" t="s">
        <v>22</v>
      </c>
      <c r="L394"/>
      <c r="Q394">
        <f t="shared" si="6"/>
        <v>0</v>
      </c>
    </row>
    <row r="395" spans="1:17" x14ac:dyDescent="0.25">
      <c r="A395" s="1">
        <v>394</v>
      </c>
      <c r="B395" s="4">
        <v>43814</v>
      </c>
      <c r="C395" s="1">
        <v>1099</v>
      </c>
      <c r="D395" t="s">
        <v>90</v>
      </c>
      <c r="E395" t="s">
        <v>46</v>
      </c>
      <c r="F395" t="s">
        <v>32</v>
      </c>
      <c r="G395" t="s">
        <v>33</v>
      </c>
      <c r="H395" t="s">
        <v>170</v>
      </c>
      <c r="I395" s="1">
        <v>2</v>
      </c>
      <c r="J395" t="s">
        <v>21</v>
      </c>
      <c r="K395" t="s">
        <v>22</v>
      </c>
      <c r="L395"/>
      <c r="Q395">
        <f t="shared" si="6"/>
        <v>0</v>
      </c>
    </row>
    <row r="396" spans="1:17" x14ac:dyDescent="0.25">
      <c r="A396" s="1">
        <v>395</v>
      </c>
      <c r="B396" s="4">
        <v>43814</v>
      </c>
      <c r="C396" s="1">
        <v>1100</v>
      </c>
      <c r="D396" t="s">
        <v>91</v>
      </c>
      <c r="E396" t="s">
        <v>46</v>
      </c>
      <c r="F396" t="s">
        <v>32</v>
      </c>
      <c r="G396" t="s">
        <v>33</v>
      </c>
      <c r="H396" t="s">
        <v>170</v>
      </c>
      <c r="I396" s="1">
        <v>2</v>
      </c>
      <c r="J396" t="s">
        <v>21</v>
      </c>
      <c r="K396" t="s">
        <v>22</v>
      </c>
      <c r="L396"/>
      <c r="Q396">
        <f t="shared" si="6"/>
        <v>0</v>
      </c>
    </row>
    <row r="397" spans="1:17" x14ac:dyDescent="0.25">
      <c r="A397" s="1">
        <v>396</v>
      </c>
      <c r="B397" s="4">
        <v>43814</v>
      </c>
      <c r="C397" s="1">
        <v>1101</v>
      </c>
      <c r="D397" t="s">
        <v>45</v>
      </c>
      <c r="E397" t="s">
        <v>46</v>
      </c>
      <c r="F397" t="s">
        <v>32</v>
      </c>
      <c r="G397" t="s">
        <v>33</v>
      </c>
      <c r="H397" t="s">
        <v>170</v>
      </c>
      <c r="I397" s="1">
        <v>2</v>
      </c>
      <c r="J397" t="s">
        <v>21</v>
      </c>
      <c r="K397" t="s">
        <v>22</v>
      </c>
      <c r="L397"/>
      <c r="Q397">
        <f t="shared" si="6"/>
        <v>0</v>
      </c>
    </row>
    <row r="398" spans="1:17" x14ac:dyDescent="0.25">
      <c r="A398" s="1">
        <v>397</v>
      </c>
      <c r="B398" s="4">
        <v>43814</v>
      </c>
      <c r="C398" s="1">
        <v>1102</v>
      </c>
      <c r="D398" t="s">
        <v>47</v>
      </c>
      <c r="E398" t="s">
        <v>46</v>
      </c>
      <c r="F398" t="s">
        <v>32</v>
      </c>
      <c r="G398" t="s">
        <v>33</v>
      </c>
      <c r="H398" t="s">
        <v>170</v>
      </c>
      <c r="I398" s="1">
        <v>2</v>
      </c>
      <c r="J398" t="s">
        <v>21</v>
      </c>
      <c r="K398" t="s">
        <v>22</v>
      </c>
      <c r="L398"/>
      <c r="Q398">
        <f t="shared" si="6"/>
        <v>0</v>
      </c>
    </row>
    <row r="399" spans="1:17" x14ac:dyDescent="0.25">
      <c r="A399" s="1">
        <v>398</v>
      </c>
      <c r="B399" s="4">
        <v>43814</v>
      </c>
      <c r="C399" s="1">
        <v>1103</v>
      </c>
      <c r="D399" t="s">
        <v>48</v>
      </c>
      <c r="E399" t="s">
        <v>46</v>
      </c>
      <c r="F399" t="s">
        <v>32</v>
      </c>
      <c r="G399" t="s">
        <v>33</v>
      </c>
      <c r="H399" t="s">
        <v>170</v>
      </c>
      <c r="I399" s="1">
        <v>2</v>
      </c>
      <c r="J399" t="s">
        <v>21</v>
      </c>
      <c r="K399" t="s">
        <v>22</v>
      </c>
      <c r="L399"/>
      <c r="Q399">
        <f t="shared" si="6"/>
        <v>0</v>
      </c>
    </row>
    <row r="400" spans="1:17" x14ac:dyDescent="0.25">
      <c r="A400" s="1">
        <v>399</v>
      </c>
      <c r="B400" s="4">
        <v>43814</v>
      </c>
      <c r="C400" s="1">
        <v>1104</v>
      </c>
      <c r="D400" t="s">
        <v>49</v>
      </c>
      <c r="E400" t="s">
        <v>46</v>
      </c>
      <c r="F400" t="s">
        <v>32</v>
      </c>
      <c r="G400" t="s">
        <v>33</v>
      </c>
      <c r="H400" t="s">
        <v>170</v>
      </c>
      <c r="I400" s="1">
        <v>2</v>
      </c>
      <c r="J400" t="s">
        <v>21</v>
      </c>
      <c r="K400" t="s">
        <v>22</v>
      </c>
      <c r="L400"/>
      <c r="Q400">
        <f t="shared" si="6"/>
        <v>0</v>
      </c>
    </row>
    <row r="401" spans="1:17" x14ac:dyDescent="0.25">
      <c r="A401" s="1">
        <v>400</v>
      </c>
      <c r="B401" s="4">
        <v>43814</v>
      </c>
      <c r="C401" s="1">
        <v>1105</v>
      </c>
      <c r="D401" t="s">
        <v>92</v>
      </c>
      <c r="E401" t="s">
        <v>46</v>
      </c>
      <c r="F401" t="s">
        <v>32</v>
      </c>
      <c r="G401" t="s">
        <v>33</v>
      </c>
      <c r="H401" t="s">
        <v>170</v>
      </c>
      <c r="I401" s="1">
        <v>2</v>
      </c>
      <c r="J401" t="s">
        <v>21</v>
      </c>
      <c r="K401" t="s">
        <v>22</v>
      </c>
      <c r="L401"/>
      <c r="Q401">
        <f t="shared" si="6"/>
        <v>0</v>
      </c>
    </row>
    <row r="402" spans="1:17" x14ac:dyDescent="0.25">
      <c r="A402" s="1">
        <v>389</v>
      </c>
      <c r="B402" s="4">
        <v>43814</v>
      </c>
      <c r="C402" s="1">
        <v>1105</v>
      </c>
      <c r="D402" t="s">
        <v>92</v>
      </c>
      <c r="E402" t="s">
        <v>46</v>
      </c>
      <c r="F402" t="s">
        <v>32</v>
      </c>
      <c r="G402" t="s">
        <v>33</v>
      </c>
      <c r="H402" t="s">
        <v>170</v>
      </c>
      <c r="I402" s="1">
        <v>2</v>
      </c>
      <c r="J402" t="s">
        <v>21</v>
      </c>
      <c r="K402" t="s">
        <v>22</v>
      </c>
      <c r="L402"/>
      <c r="M402">
        <v>50000</v>
      </c>
      <c r="N402">
        <v>10</v>
      </c>
      <c r="O402">
        <v>9</v>
      </c>
      <c r="P402">
        <v>7</v>
      </c>
      <c r="Q402">
        <f t="shared" ref="Q402:Q413" si="7">IF(O402&gt;P402,1,0)</f>
        <v>1</v>
      </c>
    </row>
    <row r="403" spans="1:17" x14ac:dyDescent="0.25">
      <c r="A403" s="1">
        <v>390</v>
      </c>
      <c r="B403" s="4">
        <v>43814</v>
      </c>
      <c r="C403" s="1">
        <v>1083</v>
      </c>
      <c r="D403" t="s">
        <v>44</v>
      </c>
      <c r="E403" t="s">
        <v>43</v>
      </c>
      <c r="F403" t="s">
        <v>32</v>
      </c>
      <c r="G403" t="s">
        <v>33</v>
      </c>
      <c r="H403" t="s">
        <v>170</v>
      </c>
      <c r="I403" s="1">
        <v>2</v>
      </c>
      <c r="J403" t="s">
        <v>21</v>
      </c>
      <c r="K403" t="s">
        <v>22</v>
      </c>
      <c r="L403"/>
      <c r="Q403">
        <f t="shared" si="7"/>
        <v>0</v>
      </c>
    </row>
    <row r="404" spans="1:17" x14ac:dyDescent="0.25">
      <c r="A404" s="1">
        <v>391</v>
      </c>
      <c r="B404" s="4">
        <v>43814</v>
      </c>
      <c r="C404" s="1">
        <v>1084</v>
      </c>
      <c r="D404" t="s">
        <v>42</v>
      </c>
      <c r="E404" t="s">
        <v>43</v>
      </c>
      <c r="F404" t="s">
        <v>32</v>
      </c>
      <c r="G404" t="s">
        <v>33</v>
      </c>
      <c r="H404" t="s">
        <v>170</v>
      </c>
      <c r="I404" s="1">
        <v>2</v>
      </c>
      <c r="J404" t="s">
        <v>21</v>
      </c>
      <c r="K404" t="s">
        <v>22</v>
      </c>
      <c r="L404"/>
      <c r="Q404">
        <f t="shared" si="7"/>
        <v>0</v>
      </c>
    </row>
    <row r="405" spans="1:17" x14ac:dyDescent="0.25">
      <c r="A405" s="1">
        <v>392</v>
      </c>
      <c r="B405" s="4">
        <v>43814</v>
      </c>
      <c r="C405" s="1">
        <v>1097</v>
      </c>
      <c r="D405" t="s">
        <v>142</v>
      </c>
      <c r="E405" t="s">
        <v>46</v>
      </c>
      <c r="F405" t="s">
        <v>32</v>
      </c>
      <c r="G405" t="s">
        <v>133</v>
      </c>
      <c r="H405" t="s">
        <v>170</v>
      </c>
      <c r="I405" s="1">
        <v>2</v>
      </c>
      <c r="J405" t="s">
        <v>21</v>
      </c>
      <c r="K405" t="s">
        <v>22</v>
      </c>
      <c r="L405"/>
      <c r="Q405">
        <f t="shared" si="7"/>
        <v>0</v>
      </c>
    </row>
    <row r="406" spans="1:17" x14ac:dyDescent="0.25">
      <c r="A406" s="1">
        <v>393</v>
      </c>
      <c r="B406" s="4">
        <v>43814</v>
      </c>
      <c r="C406" s="1">
        <v>1098</v>
      </c>
      <c r="D406" t="s">
        <v>143</v>
      </c>
      <c r="E406" t="s">
        <v>46</v>
      </c>
      <c r="F406" t="s">
        <v>32</v>
      </c>
      <c r="G406" t="s">
        <v>135</v>
      </c>
      <c r="H406" t="s">
        <v>170</v>
      </c>
      <c r="I406" s="1">
        <v>2</v>
      </c>
      <c r="J406" t="s">
        <v>21</v>
      </c>
      <c r="K406" t="s">
        <v>22</v>
      </c>
      <c r="L406"/>
      <c r="Q406">
        <f t="shared" si="7"/>
        <v>0</v>
      </c>
    </row>
    <row r="407" spans="1:17" x14ac:dyDescent="0.25">
      <c r="A407" s="1">
        <v>394</v>
      </c>
      <c r="B407" s="4">
        <v>43814</v>
      </c>
      <c r="C407" s="1">
        <v>1099</v>
      </c>
      <c r="D407" t="s">
        <v>90</v>
      </c>
      <c r="E407" t="s">
        <v>46</v>
      </c>
      <c r="F407" t="s">
        <v>32</v>
      </c>
      <c r="G407" t="s">
        <v>33</v>
      </c>
      <c r="H407" t="s">
        <v>170</v>
      </c>
      <c r="I407" s="1">
        <v>2</v>
      </c>
      <c r="J407" t="s">
        <v>21</v>
      </c>
      <c r="K407" t="s">
        <v>22</v>
      </c>
      <c r="L407"/>
      <c r="Q407">
        <f t="shared" si="7"/>
        <v>0</v>
      </c>
    </row>
    <row r="408" spans="1:17" x14ac:dyDescent="0.25">
      <c r="A408" s="1">
        <v>395</v>
      </c>
      <c r="B408" s="4">
        <v>43814</v>
      </c>
      <c r="C408" s="1">
        <v>1100</v>
      </c>
      <c r="D408" t="s">
        <v>91</v>
      </c>
      <c r="E408" t="s">
        <v>46</v>
      </c>
      <c r="F408" t="s">
        <v>32</v>
      </c>
      <c r="G408" t="s">
        <v>33</v>
      </c>
      <c r="H408" t="s">
        <v>170</v>
      </c>
      <c r="I408" s="1">
        <v>2</v>
      </c>
      <c r="J408" t="s">
        <v>21</v>
      </c>
      <c r="K408" t="s">
        <v>22</v>
      </c>
      <c r="L408"/>
      <c r="Q408">
        <f t="shared" si="7"/>
        <v>0</v>
      </c>
    </row>
    <row r="409" spans="1:17" x14ac:dyDescent="0.25">
      <c r="A409" s="1">
        <v>396</v>
      </c>
      <c r="B409" s="4">
        <v>43814</v>
      </c>
      <c r="C409" s="1">
        <v>1101</v>
      </c>
      <c r="D409" t="s">
        <v>45</v>
      </c>
      <c r="E409" t="s">
        <v>46</v>
      </c>
      <c r="F409" t="s">
        <v>32</v>
      </c>
      <c r="G409" t="s">
        <v>33</v>
      </c>
      <c r="H409" t="s">
        <v>170</v>
      </c>
      <c r="I409" s="1">
        <v>2</v>
      </c>
      <c r="J409" t="s">
        <v>21</v>
      </c>
      <c r="K409" t="s">
        <v>22</v>
      </c>
      <c r="L409"/>
      <c r="Q409">
        <f t="shared" si="7"/>
        <v>0</v>
      </c>
    </row>
    <row r="410" spans="1:17" x14ac:dyDescent="0.25">
      <c r="A410" s="1">
        <v>397</v>
      </c>
      <c r="B410" s="4">
        <v>43814</v>
      </c>
      <c r="C410" s="1">
        <v>1102</v>
      </c>
      <c r="D410" t="s">
        <v>47</v>
      </c>
      <c r="E410" t="s">
        <v>46</v>
      </c>
      <c r="F410" t="s">
        <v>32</v>
      </c>
      <c r="G410" t="s">
        <v>33</v>
      </c>
      <c r="H410" t="s">
        <v>170</v>
      </c>
      <c r="I410" s="1">
        <v>2</v>
      </c>
      <c r="J410" t="s">
        <v>21</v>
      </c>
      <c r="K410" t="s">
        <v>22</v>
      </c>
      <c r="L410"/>
      <c r="Q410">
        <f t="shared" si="7"/>
        <v>0</v>
      </c>
    </row>
    <row r="411" spans="1:17" x14ac:dyDescent="0.25">
      <c r="A411" s="1">
        <v>398</v>
      </c>
      <c r="B411" s="4">
        <v>43814</v>
      </c>
      <c r="C411" s="1">
        <v>1103</v>
      </c>
      <c r="D411" t="s">
        <v>48</v>
      </c>
      <c r="E411" t="s">
        <v>46</v>
      </c>
      <c r="F411" t="s">
        <v>32</v>
      </c>
      <c r="G411" t="s">
        <v>33</v>
      </c>
      <c r="H411" t="s">
        <v>170</v>
      </c>
      <c r="I411" s="1">
        <v>2</v>
      </c>
      <c r="J411" t="s">
        <v>21</v>
      </c>
      <c r="K411" t="s">
        <v>22</v>
      </c>
      <c r="L411"/>
      <c r="Q411">
        <f t="shared" si="7"/>
        <v>0</v>
      </c>
    </row>
    <row r="412" spans="1:17" x14ac:dyDescent="0.25">
      <c r="A412" s="1">
        <v>399</v>
      </c>
      <c r="B412" s="4">
        <v>43814</v>
      </c>
      <c r="C412" s="1">
        <v>1104</v>
      </c>
      <c r="D412" t="s">
        <v>49</v>
      </c>
      <c r="E412" t="s">
        <v>46</v>
      </c>
      <c r="F412" t="s">
        <v>32</v>
      </c>
      <c r="G412" t="s">
        <v>33</v>
      </c>
      <c r="H412" t="s">
        <v>170</v>
      </c>
      <c r="I412" s="1">
        <v>2</v>
      </c>
      <c r="J412" t="s">
        <v>21</v>
      </c>
      <c r="K412" t="s">
        <v>22</v>
      </c>
      <c r="L412"/>
      <c r="Q412">
        <f t="shared" si="7"/>
        <v>0</v>
      </c>
    </row>
    <row r="413" spans="1:17" x14ac:dyDescent="0.25">
      <c r="A413" s="1">
        <v>400</v>
      </c>
      <c r="B413" s="4">
        <v>43814</v>
      </c>
      <c r="C413" s="1">
        <v>1105</v>
      </c>
      <c r="D413" t="s">
        <v>92</v>
      </c>
      <c r="E413" t="s">
        <v>46</v>
      </c>
      <c r="F413" t="s">
        <v>32</v>
      </c>
      <c r="G413" t="s">
        <v>33</v>
      </c>
      <c r="H413" t="s">
        <v>170</v>
      </c>
      <c r="I413" s="1">
        <v>2</v>
      </c>
      <c r="J413" t="s">
        <v>21</v>
      </c>
      <c r="K413" t="s">
        <v>22</v>
      </c>
      <c r="L413"/>
      <c r="Q413">
        <f t="shared" si="7"/>
        <v>0</v>
      </c>
    </row>
    <row r="414" spans="1:17" x14ac:dyDescent="0.25">
      <c r="A414" s="1">
        <v>389</v>
      </c>
      <c r="B414" s="4">
        <v>43814</v>
      </c>
      <c r="C414" s="1">
        <v>1105</v>
      </c>
      <c r="D414" t="s">
        <v>92</v>
      </c>
      <c r="E414" t="s">
        <v>46</v>
      </c>
      <c r="F414" t="s">
        <v>32</v>
      </c>
      <c r="G414" t="s">
        <v>33</v>
      </c>
      <c r="H414" t="s">
        <v>170</v>
      </c>
      <c r="I414" s="1">
        <v>2</v>
      </c>
      <c r="J414" t="s">
        <v>21</v>
      </c>
      <c r="K414" t="s">
        <v>22</v>
      </c>
      <c r="L414"/>
      <c r="M414">
        <v>50000</v>
      </c>
      <c r="N414">
        <v>10</v>
      </c>
      <c r="O414">
        <v>9</v>
      </c>
      <c r="P414">
        <v>7</v>
      </c>
      <c r="Q414">
        <f t="shared" ref="Q414:Q425" si="8">IF(O414&gt;P414,1,0)</f>
        <v>1</v>
      </c>
    </row>
    <row r="415" spans="1:17" x14ac:dyDescent="0.25">
      <c r="A415" s="1">
        <v>390</v>
      </c>
      <c r="B415" s="4">
        <v>43814</v>
      </c>
      <c r="C415" s="1">
        <v>1083</v>
      </c>
      <c r="D415" t="s">
        <v>44</v>
      </c>
      <c r="E415" t="s">
        <v>43</v>
      </c>
      <c r="F415" t="s">
        <v>32</v>
      </c>
      <c r="G415" t="s">
        <v>33</v>
      </c>
      <c r="H415" t="s">
        <v>170</v>
      </c>
      <c r="I415" s="1">
        <v>2</v>
      </c>
      <c r="J415" t="s">
        <v>21</v>
      </c>
      <c r="K415" t="s">
        <v>22</v>
      </c>
      <c r="L415"/>
      <c r="Q415">
        <f t="shared" si="8"/>
        <v>0</v>
      </c>
    </row>
    <row r="416" spans="1:17" x14ac:dyDescent="0.25">
      <c r="A416" s="1">
        <v>391</v>
      </c>
      <c r="B416" s="4">
        <v>43814</v>
      </c>
      <c r="C416" s="1">
        <v>1084</v>
      </c>
      <c r="D416" t="s">
        <v>42</v>
      </c>
      <c r="E416" t="s">
        <v>43</v>
      </c>
      <c r="F416" t="s">
        <v>32</v>
      </c>
      <c r="G416" t="s">
        <v>33</v>
      </c>
      <c r="H416" t="s">
        <v>170</v>
      </c>
      <c r="I416" s="1">
        <v>2</v>
      </c>
      <c r="J416" t="s">
        <v>21</v>
      </c>
      <c r="K416" t="s">
        <v>22</v>
      </c>
      <c r="L416"/>
      <c r="Q416">
        <f t="shared" si="8"/>
        <v>0</v>
      </c>
    </row>
    <row r="417" spans="1:17" x14ac:dyDescent="0.25">
      <c r="A417" s="1">
        <v>392</v>
      </c>
      <c r="B417" s="4">
        <v>43814</v>
      </c>
      <c r="C417" s="1">
        <v>1097</v>
      </c>
      <c r="D417" t="s">
        <v>142</v>
      </c>
      <c r="E417" t="s">
        <v>46</v>
      </c>
      <c r="F417" t="s">
        <v>32</v>
      </c>
      <c r="G417" t="s">
        <v>133</v>
      </c>
      <c r="H417" t="s">
        <v>170</v>
      </c>
      <c r="I417" s="1">
        <v>2</v>
      </c>
      <c r="J417" t="s">
        <v>21</v>
      </c>
      <c r="K417" t="s">
        <v>22</v>
      </c>
      <c r="L417"/>
      <c r="Q417">
        <f t="shared" si="8"/>
        <v>0</v>
      </c>
    </row>
    <row r="418" spans="1:17" x14ac:dyDescent="0.25">
      <c r="A418" s="1">
        <v>393</v>
      </c>
      <c r="B418" s="4">
        <v>43814</v>
      </c>
      <c r="C418" s="1">
        <v>1098</v>
      </c>
      <c r="D418" t="s">
        <v>143</v>
      </c>
      <c r="E418" t="s">
        <v>46</v>
      </c>
      <c r="F418" t="s">
        <v>32</v>
      </c>
      <c r="G418" t="s">
        <v>135</v>
      </c>
      <c r="H418" t="s">
        <v>170</v>
      </c>
      <c r="I418" s="1">
        <v>2</v>
      </c>
      <c r="J418" t="s">
        <v>21</v>
      </c>
      <c r="K418" t="s">
        <v>22</v>
      </c>
      <c r="L418"/>
      <c r="Q418">
        <f t="shared" si="8"/>
        <v>0</v>
      </c>
    </row>
    <row r="419" spans="1:17" x14ac:dyDescent="0.25">
      <c r="A419" s="1">
        <v>394</v>
      </c>
      <c r="B419" s="4">
        <v>43814</v>
      </c>
      <c r="C419" s="1">
        <v>1099</v>
      </c>
      <c r="D419" t="s">
        <v>90</v>
      </c>
      <c r="E419" t="s">
        <v>46</v>
      </c>
      <c r="F419" t="s">
        <v>32</v>
      </c>
      <c r="G419" t="s">
        <v>33</v>
      </c>
      <c r="H419" t="s">
        <v>170</v>
      </c>
      <c r="I419" s="1">
        <v>2</v>
      </c>
      <c r="J419" t="s">
        <v>21</v>
      </c>
      <c r="K419" t="s">
        <v>22</v>
      </c>
      <c r="L419"/>
      <c r="Q419">
        <f t="shared" si="8"/>
        <v>0</v>
      </c>
    </row>
    <row r="420" spans="1:17" x14ac:dyDescent="0.25">
      <c r="A420" s="1">
        <v>395</v>
      </c>
      <c r="B420" s="4">
        <v>43814</v>
      </c>
      <c r="C420" s="1">
        <v>1100</v>
      </c>
      <c r="D420" t="s">
        <v>91</v>
      </c>
      <c r="E420" t="s">
        <v>46</v>
      </c>
      <c r="F420" t="s">
        <v>32</v>
      </c>
      <c r="G420" t="s">
        <v>33</v>
      </c>
      <c r="H420" t="s">
        <v>170</v>
      </c>
      <c r="I420" s="1">
        <v>2</v>
      </c>
      <c r="J420" t="s">
        <v>21</v>
      </c>
      <c r="K420" t="s">
        <v>22</v>
      </c>
      <c r="L420"/>
      <c r="Q420">
        <f t="shared" si="8"/>
        <v>0</v>
      </c>
    </row>
    <row r="421" spans="1:17" x14ac:dyDescent="0.25">
      <c r="A421" s="1">
        <v>396</v>
      </c>
      <c r="B421" s="4">
        <v>43814</v>
      </c>
      <c r="C421" s="1">
        <v>1101</v>
      </c>
      <c r="D421" t="s">
        <v>45</v>
      </c>
      <c r="E421" t="s">
        <v>46</v>
      </c>
      <c r="F421" t="s">
        <v>32</v>
      </c>
      <c r="G421" t="s">
        <v>33</v>
      </c>
      <c r="H421" t="s">
        <v>170</v>
      </c>
      <c r="I421" s="1">
        <v>2</v>
      </c>
      <c r="J421" t="s">
        <v>21</v>
      </c>
      <c r="K421" t="s">
        <v>22</v>
      </c>
      <c r="L421"/>
      <c r="Q421">
        <f t="shared" si="8"/>
        <v>0</v>
      </c>
    </row>
    <row r="422" spans="1:17" x14ac:dyDescent="0.25">
      <c r="A422" s="1">
        <v>397</v>
      </c>
      <c r="B422" s="4">
        <v>43814</v>
      </c>
      <c r="C422" s="1">
        <v>1102</v>
      </c>
      <c r="D422" t="s">
        <v>47</v>
      </c>
      <c r="E422" t="s">
        <v>46</v>
      </c>
      <c r="F422" t="s">
        <v>32</v>
      </c>
      <c r="G422" t="s">
        <v>33</v>
      </c>
      <c r="H422" t="s">
        <v>170</v>
      </c>
      <c r="I422" s="1">
        <v>2</v>
      </c>
      <c r="J422" t="s">
        <v>21</v>
      </c>
      <c r="K422" t="s">
        <v>22</v>
      </c>
      <c r="L422"/>
      <c r="Q422">
        <f t="shared" si="8"/>
        <v>0</v>
      </c>
    </row>
    <row r="423" spans="1:17" x14ac:dyDescent="0.25">
      <c r="A423" s="1">
        <v>398</v>
      </c>
      <c r="B423" s="4">
        <v>43814</v>
      </c>
      <c r="C423" s="1">
        <v>1103</v>
      </c>
      <c r="D423" t="s">
        <v>48</v>
      </c>
      <c r="E423" t="s">
        <v>46</v>
      </c>
      <c r="F423" t="s">
        <v>32</v>
      </c>
      <c r="G423" t="s">
        <v>33</v>
      </c>
      <c r="H423" t="s">
        <v>170</v>
      </c>
      <c r="I423" s="1">
        <v>2</v>
      </c>
      <c r="J423" t="s">
        <v>21</v>
      </c>
      <c r="K423" t="s">
        <v>22</v>
      </c>
      <c r="L423"/>
      <c r="Q423">
        <f t="shared" si="8"/>
        <v>0</v>
      </c>
    </row>
    <row r="424" spans="1:17" x14ac:dyDescent="0.25">
      <c r="A424" s="1">
        <v>399</v>
      </c>
      <c r="B424" s="4">
        <v>43814</v>
      </c>
      <c r="C424" s="1">
        <v>1104</v>
      </c>
      <c r="D424" t="s">
        <v>49</v>
      </c>
      <c r="E424" t="s">
        <v>46</v>
      </c>
      <c r="F424" t="s">
        <v>32</v>
      </c>
      <c r="G424" t="s">
        <v>33</v>
      </c>
      <c r="H424" t="s">
        <v>170</v>
      </c>
      <c r="I424" s="1">
        <v>2</v>
      </c>
      <c r="J424" t="s">
        <v>21</v>
      </c>
      <c r="K424" t="s">
        <v>22</v>
      </c>
      <c r="L424"/>
      <c r="Q424">
        <f t="shared" si="8"/>
        <v>0</v>
      </c>
    </row>
    <row r="425" spans="1:17" x14ac:dyDescent="0.25">
      <c r="A425" s="1">
        <v>400</v>
      </c>
      <c r="B425" s="4">
        <v>43814</v>
      </c>
      <c r="C425" s="1">
        <v>1105</v>
      </c>
      <c r="D425" t="s">
        <v>92</v>
      </c>
      <c r="E425" t="s">
        <v>46</v>
      </c>
      <c r="F425" t="s">
        <v>32</v>
      </c>
      <c r="G425" t="s">
        <v>33</v>
      </c>
      <c r="H425" t="s">
        <v>170</v>
      </c>
      <c r="I425" s="1">
        <v>2</v>
      </c>
      <c r="J425" t="s">
        <v>21</v>
      </c>
      <c r="K425" t="s">
        <v>22</v>
      </c>
      <c r="L425"/>
      <c r="Q425">
        <f t="shared" si="8"/>
        <v>0</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D5BB-6984-4A60-BBB9-2029102EC891}">
  <dimension ref="A1:S54"/>
  <sheetViews>
    <sheetView workbookViewId="0">
      <selection activeCell="A5" sqref="A5"/>
    </sheetView>
  </sheetViews>
  <sheetFormatPr defaultRowHeight="15" x14ac:dyDescent="0.25"/>
  <cols>
    <col min="1" max="2" width="20.140625" bestFit="1" customWidth="1"/>
    <col min="3" max="3" width="11.7109375" bestFit="1" customWidth="1"/>
    <col min="4" max="4" width="20.5703125" customWidth="1"/>
    <col min="5" max="5" width="12.28515625" bestFit="1" customWidth="1"/>
    <col min="6" max="6" width="25.85546875" bestFit="1" customWidth="1"/>
    <col min="7" max="7" width="12.140625" bestFit="1" customWidth="1"/>
    <col min="8" max="8" width="21" bestFit="1" customWidth="1"/>
    <col min="9" max="9" width="18.42578125" bestFit="1" customWidth="1"/>
    <col min="10" max="10" width="17.7109375" bestFit="1" customWidth="1"/>
    <col min="11" max="11" width="26" bestFit="1" customWidth="1"/>
    <col min="12" max="12" width="12.140625" bestFit="1" customWidth="1"/>
    <col min="13" max="13" width="23.28515625" bestFit="1" customWidth="1"/>
    <col min="14" max="14" width="12.7109375" bestFit="1" customWidth="1"/>
    <col min="15" max="15" width="12.140625" bestFit="1" customWidth="1"/>
  </cols>
  <sheetData>
    <row r="1" spans="1:19" x14ac:dyDescent="0.25">
      <c r="L1" t="s">
        <v>174</v>
      </c>
      <c r="N1" t="s">
        <v>177</v>
      </c>
      <c r="S1" t="s">
        <v>181</v>
      </c>
    </row>
    <row r="2" spans="1:19" x14ac:dyDescent="0.25">
      <c r="L2" t="s">
        <v>175</v>
      </c>
      <c r="N2" t="s">
        <v>178</v>
      </c>
      <c r="S2" t="s">
        <v>3</v>
      </c>
    </row>
    <row r="3" spans="1:19" x14ac:dyDescent="0.25">
      <c r="A3" t="s">
        <v>184</v>
      </c>
      <c r="C3" t="s">
        <v>15</v>
      </c>
      <c r="E3" t="s">
        <v>201</v>
      </c>
      <c r="N3" t="s">
        <v>179</v>
      </c>
      <c r="S3" t="s">
        <v>182</v>
      </c>
    </row>
    <row r="4" spans="1:19" x14ac:dyDescent="0.25">
      <c r="A4" s="8">
        <v>97450000</v>
      </c>
      <c r="C4">
        <v>208</v>
      </c>
      <c r="E4">
        <v>15</v>
      </c>
      <c r="N4" t="s">
        <v>180</v>
      </c>
      <c r="S4" t="s">
        <v>183</v>
      </c>
    </row>
    <row r="5" spans="1:19" x14ac:dyDescent="0.25">
      <c r="L5" t="s">
        <v>176</v>
      </c>
    </row>
    <row r="6" spans="1:19" x14ac:dyDescent="0.25">
      <c r="A6" t="s">
        <v>186</v>
      </c>
      <c r="C6" s="7" t="s">
        <v>187</v>
      </c>
    </row>
    <row r="7" spans="1:19" x14ac:dyDescent="0.25">
      <c r="A7">
        <v>424</v>
      </c>
      <c r="C7" s="9">
        <f>GETPIVOTDATA("[Measures].[Sum of Số lượng pass]",$C$3)/GETPIVOTDATA("[Measures].[Count of Mã NV]",$A$6)</f>
        <v>0.49056603773584906</v>
      </c>
    </row>
    <row r="9" spans="1:19" x14ac:dyDescent="0.25">
      <c r="A9" t="s">
        <v>185</v>
      </c>
      <c r="C9" s="7" t="s">
        <v>188</v>
      </c>
    </row>
    <row r="10" spans="1:19" x14ac:dyDescent="0.25">
      <c r="A10">
        <v>114</v>
      </c>
      <c r="C10" s="10">
        <f>GETPIVOTDATA("[Measures].[Sum of Chi phí đào tạo]",$A$3)/GETPIVOTDATA("[Measures].[Distinct Count of Mã NV]",$A$9)</f>
        <v>854824.56140350876</v>
      </c>
    </row>
    <row r="14" spans="1:19" x14ac:dyDescent="0.25">
      <c r="A14" s="5" t="s">
        <v>172</v>
      </c>
      <c r="B14" t="s">
        <v>186</v>
      </c>
    </row>
    <row r="15" spans="1:19" x14ac:dyDescent="0.25">
      <c r="A15" s="6" t="s">
        <v>39</v>
      </c>
      <c r="B15">
        <v>61</v>
      </c>
    </row>
    <row r="16" spans="1:19" x14ac:dyDescent="0.25">
      <c r="A16" s="6" t="s">
        <v>43</v>
      </c>
      <c r="B16">
        <v>89</v>
      </c>
    </row>
    <row r="17" spans="1:2" x14ac:dyDescent="0.25">
      <c r="A17" s="6" t="s">
        <v>31</v>
      </c>
      <c r="B17">
        <v>86</v>
      </c>
    </row>
    <row r="18" spans="1:2" x14ac:dyDescent="0.25">
      <c r="A18" s="6" t="s">
        <v>46</v>
      </c>
      <c r="B18">
        <v>110</v>
      </c>
    </row>
    <row r="19" spans="1:2" x14ac:dyDescent="0.25">
      <c r="A19" s="6" t="s">
        <v>17</v>
      </c>
      <c r="B19">
        <v>78</v>
      </c>
    </row>
    <row r="20" spans="1:2" x14ac:dyDescent="0.25">
      <c r="A20" s="6" t="s">
        <v>173</v>
      </c>
      <c r="B20">
        <v>424</v>
      </c>
    </row>
    <row r="21" spans="1:2" x14ac:dyDescent="0.25">
      <c r="A21" s="6"/>
    </row>
    <row r="23" spans="1:2" x14ac:dyDescent="0.25">
      <c r="A23" s="5" t="s">
        <v>172</v>
      </c>
      <c r="B23" t="s">
        <v>184</v>
      </c>
    </row>
    <row r="24" spans="1:2" x14ac:dyDescent="0.25">
      <c r="A24" s="6" t="s">
        <v>189</v>
      </c>
      <c r="B24" s="8">
        <v>2200000</v>
      </c>
    </row>
    <row r="25" spans="1:2" x14ac:dyDescent="0.25">
      <c r="A25" s="6" t="s">
        <v>190</v>
      </c>
      <c r="B25" s="8">
        <v>3200000</v>
      </c>
    </row>
    <row r="26" spans="1:2" x14ac:dyDescent="0.25">
      <c r="A26" s="6" t="s">
        <v>191</v>
      </c>
      <c r="B26" s="8">
        <v>3500000</v>
      </c>
    </row>
    <row r="27" spans="1:2" x14ac:dyDescent="0.25">
      <c r="A27" s="6" t="s">
        <v>192</v>
      </c>
      <c r="B27" s="8">
        <v>47000000</v>
      </c>
    </row>
    <row r="28" spans="1:2" x14ac:dyDescent="0.25">
      <c r="A28" s="6" t="s">
        <v>193</v>
      </c>
      <c r="B28" s="8">
        <v>5400000</v>
      </c>
    </row>
    <row r="29" spans="1:2" x14ac:dyDescent="0.25">
      <c r="A29" s="6" t="s">
        <v>194</v>
      </c>
      <c r="B29" s="8">
        <v>17000000</v>
      </c>
    </row>
    <row r="30" spans="1:2" x14ac:dyDescent="0.25">
      <c r="A30" s="6" t="s">
        <v>195</v>
      </c>
      <c r="B30" s="8">
        <v>1300000</v>
      </c>
    </row>
    <row r="31" spans="1:2" x14ac:dyDescent="0.25">
      <c r="A31" s="6" t="s">
        <v>196</v>
      </c>
      <c r="B31" s="8">
        <v>9400000</v>
      </c>
    </row>
    <row r="32" spans="1:2" x14ac:dyDescent="0.25">
      <c r="A32" s="6" t="s">
        <v>197</v>
      </c>
      <c r="B32" s="8">
        <v>1500000</v>
      </c>
    </row>
    <row r="33" spans="1:3" x14ac:dyDescent="0.25">
      <c r="A33" s="6" t="s">
        <v>198</v>
      </c>
      <c r="B33" s="8">
        <v>1800000</v>
      </c>
    </row>
    <row r="34" spans="1:3" x14ac:dyDescent="0.25">
      <c r="A34" s="6" t="s">
        <v>199</v>
      </c>
      <c r="B34" s="8">
        <v>1600000</v>
      </c>
    </row>
    <row r="35" spans="1:3" x14ac:dyDescent="0.25">
      <c r="A35" s="6" t="s">
        <v>200</v>
      </c>
      <c r="B35" s="8">
        <v>3550000</v>
      </c>
    </row>
    <row r="36" spans="1:3" x14ac:dyDescent="0.25">
      <c r="A36" s="6" t="s">
        <v>173</v>
      </c>
      <c r="B36" s="8">
        <v>97450000</v>
      </c>
    </row>
    <row r="39" spans="1:3" x14ac:dyDescent="0.25">
      <c r="A39" s="5" t="s">
        <v>6</v>
      </c>
      <c r="B39" t="s">
        <v>184</v>
      </c>
      <c r="C39" t="s">
        <v>186</v>
      </c>
    </row>
    <row r="40" spans="1:3" x14ac:dyDescent="0.25">
      <c r="A40" s="6" t="s">
        <v>120</v>
      </c>
      <c r="B40" s="8">
        <v>17000000</v>
      </c>
      <c r="C40">
        <v>17</v>
      </c>
    </row>
    <row r="41" spans="1:3" x14ac:dyDescent="0.25">
      <c r="A41" s="6" t="s">
        <v>145</v>
      </c>
      <c r="B41" s="8">
        <v>17000000</v>
      </c>
      <c r="C41">
        <v>17</v>
      </c>
    </row>
    <row r="42" spans="1:3" x14ac:dyDescent="0.25">
      <c r="A42" s="6" t="s">
        <v>154</v>
      </c>
      <c r="B42" s="8">
        <v>9400000</v>
      </c>
      <c r="C42">
        <v>94</v>
      </c>
    </row>
    <row r="43" spans="1:3" x14ac:dyDescent="0.25">
      <c r="A43" s="6" t="s">
        <v>95</v>
      </c>
      <c r="B43" s="8">
        <v>30000000</v>
      </c>
      <c r="C43">
        <v>30</v>
      </c>
    </row>
    <row r="44" spans="1:3" x14ac:dyDescent="0.25">
      <c r="A44" s="6" t="s">
        <v>144</v>
      </c>
      <c r="B44" s="8">
        <v>5400000</v>
      </c>
      <c r="C44">
        <v>27</v>
      </c>
    </row>
    <row r="45" spans="1:3" x14ac:dyDescent="0.25">
      <c r="A45" s="6" t="s">
        <v>173</v>
      </c>
      <c r="B45" s="8">
        <v>78800000</v>
      </c>
      <c r="C45">
        <v>185</v>
      </c>
    </row>
    <row r="48" spans="1:3" x14ac:dyDescent="0.25">
      <c r="A48" s="5" t="s">
        <v>172</v>
      </c>
      <c r="B48" t="s">
        <v>184</v>
      </c>
    </row>
    <row r="49" spans="1:2" x14ac:dyDescent="0.25">
      <c r="A49" s="6" t="s">
        <v>39</v>
      </c>
      <c r="B49" s="11">
        <v>0.18573627501282708</v>
      </c>
    </row>
    <row r="50" spans="1:2" x14ac:dyDescent="0.25">
      <c r="A50" s="6" t="s">
        <v>43</v>
      </c>
      <c r="B50" s="11">
        <v>0.20523345305284763</v>
      </c>
    </row>
    <row r="51" spans="1:2" x14ac:dyDescent="0.25">
      <c r="A51" s="6" t="s">
        <v>31</v>
      </c>
      <c r="B51" s="11">
        <v>0.24166239096972805</v>
      </c>
    </row>
    <row r="52" spans="1:2" x14ac:dyDescent="0.25">
      <c r="A52" s="6" t="s">
        <v>46</v>
      </c>
      <c r="B52" s="11">
        <v>0.19497178040020524</v>
      </c>
    </row>
    <row r="53" spans="1:2" x14ac:dyDescent="0.25">
      <c r="A53" s="6" t="s">
        <v>17</v>
      </c>
      <c r="B53" s="11">
        <v>0.172396100564392</v>
      </c>
    </row>
    <row r="54" spans="1:2" x14ac:dyDescent="0.25">
      <c r="A54" s="6" t="s">
        <v>173</v>
      </c>
      <c r="B54" s="11">
        <v>1</v>
      </c>
    </row>
  </sheetData>
  <pageMargins left="0.7" right="0.7" top="0.75" bottom="0.75" header="0.3" footer="0.3"/>
  <pageSetup paperSize="9" orientation="portrait" verticalDpi="0"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6DFB-03F3-427E-B35D-22701016A864}">
  <dimension ref="A1"/>
  <sheetViews>
    <sheetView workbookViewId="0">
      <selection activeCell="U5" sqref="U5"/>
    </sheetView>
  </sheetViews>
  <sheetFormatPr defaultRowHeight="15" x14ac:dyDescent="0.25"/>
  <cols>
    <col min="5" max="5" width="9.5703125" customWidth="1"/>
    <col min="13" max="13" width="5.42578125" customWidth="1"/>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D40E-E23A-4806-BB66-F25CE1A38712}">
  <dimension ref="A3"/>
  <sheetViews>
    <sheetView topLeftCell="A10" zoomScale="91" zoomScaleNormal="91" workbookViewId="0">
      <selection activeCell="F28" sqref="F28"/>
    </sheetView>
  </sheetViews>
  <sheetFormatPr defaultRowHeight="15" x14ac:dyDescent="0.25"/>
  <cols>
    <col min="3" max="3" width="11.7109375" customWidth="1"/>
    <col min="6" max="6" width="10" customWidth="1"/>
    <col min="10" max="10" width="11.42578125" customWidth="1"/>
  </cols>
  <sheetData>
    <row r="3" ht="14.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994D30-12B8-4076-87DD-950F69F29F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vt:lpstr>
      <vt:lpstr>Phân tích</vt:lpstr>
      <vt:lpstr>Dashboard</vt:lpstr>
      <vt:lpstr>Dashboard02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Tiep Tran</dc:creator>
  <cp:lastModifiedBy>Tiệp Trần</cp:lastModifiedBy>
  <dcterms:created xsi:type="dcterms:W3CDTF">2021-05-17T04:39:40Z</dcterms:created>
  <dcterms:modified xsi:type="dcterms:W3CDTF">2024-01-10T13:24:16Z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2022-12-14T12:31:15Z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16531df5-9866-4f31-a0be-25715a1902d0</vt:lpwstr>
  </property>
  <property fmtid="{D5CDD505-2E9C-101B-9397-08002B2CF9AE}" pid="8" name="MSIP_Label_defa4170-0d19-0005-0004-bc88714345d2_ContentBits">
    <vt:lpwstr>0</vt:lpwstr>
  </property>
</Properties>
</file>