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D:\Tai lieu Excel\Dao tao Public\HR Report - HRC\DAY CÁC LỚP\REPORT K18\2. Tai lieu\BAO CAO UPDATE 01_2024\"/>
    </mc:Choice>
  </mc:AlternateContent>
  <xr:revisionPtr revIDLastSave="0" documentId="13_ncr:1_{F0A1159B-601C-4154-8804-3012189795A8}" xr6:coauthVersionLast="47" xr6:coauthVersionMax="47" xr10:uidLastSave="{00000000-0000-0000-0000-000000000000}"/>
  <bookViews>
    <workbookView xWindow="-120" yWindow="-120" windowWidth="20730" windowHeight="11160" activeTab="2" xr2:uid="{B9AECFF2-2486-480B-A166-E931B79B4B79}"/>
  </bookViews>
  <sheets>
    <sheet name="Data" sheetId="1" r:id="rId1"/>
    <sheet name="Phân tích" sheetId="2" r:id="rId2"/>
    <sheet name="Dashboard" sheetId="3" r:id="rId3"/>
  </sheets>
  <definedNames>
    <definedName name="_xlnm._FilterDatabase" localSheetId="0" hidden="1">Data!$A$1:$T$712</definedName>
    <definedName name="Slicer_Khối">#N/A</definedName>
    <definedName name="Slicer_Month_Number">#N/A</definedName>
    <definedName name="Slicer_Vùng">#N/A</definedName>
    <definedName name="Slicer_Year">#N/A</definedName>
  </definedNames>
  <calcPr calcId="191029"/>
  <pivotCaches>
    <pivotCache cacheId="434" r:id="rId4"/>
    <pivotCache cacheId="437" r:id="rId5"/>
    <pivotCache cacheId="440" r:id="rId6"/>
    <pivotCache cacheId="443" r:id="rId7"/>
    <pivotCache cacheId="446" r:id="rId8"/>
    <pivotCache cacheId="449" r:id="rId9"/>
    <pivotCache cacheId="452" r:id="rId10"/>
    <pivotCache cacheId="455" r:id="rId11"/>
    <pivotCache cacheId="458" r:id="rId12"/>
    <pivotCache cacheId="461" r:id="rId13"/>
    <pivotCache cacheId="464" r:id="rId14"/>
    <pivotCache cacheId="467" r:id="rId15"/>
    <pivotCache cacheId="470" r:id="rId16"/>
  </pivotCaches>
  <extLst>
    <ext xmlns:x14="http://schemas.microsoft.com/office/spreadsheetml/2009/9/main" uri="{876F7934-8845-4945-9796-88D515C7AA90}">
      <x14:pivotCaches>
        <pivotCache cacheId="433"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e3cbfe65-8db9-416b-8731-084144da950b" name="Data" connection="Query - Data"/>
          <x15:modelTable id="Calendar" name="dDate"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1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2" i="1"/>
  <c r="M671" i="1" l="1"/>
  <c r="M650" i="1"/>
  <c r="M544" i="1"/>
  <c r="M237" i="1"/>
  <c r="M445" i="1"/>
  <c r="M561" i="1"/>
  <c r="M115" i="1"/>
  <c r="M155" i="1"/>
  <c r="M371" i="1"/>
  <c r="M389" i="1"/>
  <c r="M349" i="1"/>
  <c r="M372" i="1"/>
  <c r="M46" i="1"/>
  <c r="M235" i="1"/>
  <c r="M411" i="1"/>
  <c r="M568" i="1"/>
  <c r="M606" i="1"/>
  <c r="M128" i="1"/>
  <c r="M43" i="1"/>
  <c r="M550" i="1"/>
  <c r="M612" i="1"/>
  <c r="M602" i="1"/>
  <c r="M543" i="1"/>
  <c r="M608" i="1"/>
  <c r="M429" i="1"/>
  <c r="M468" i="1"/>
  <c r="M374" i="1"/>
  <c r="M63" i="1"/>
  <c r="M130" i="1"/>
  <c r="M375" i="1"/>
  <c r="M17" i="1"/>
  <c r="M469" i="1"/>
  <c r="M482" i="1"/>
  <c r="M279" i="1"/>
  <c r="M350" i="1"/>
  <c r="M517" i="1"/>
  <c r="M214" i="1"/>
  <c r="M87" i="1"/>
  <c r="M110" i="1"/>
  <c r="M217" i="1"/>
  <c r="M436" i="1"/>
  <c r="M291" i="1"/>
  <c r="M33" i="1"/>
  <c r="M156" i="1"/>
  <c r="M284" i="1"/>
  <c r="M232" i="1"/>
  <c r="M38" i="1"/>
  <c r="M364" i="1"/>
  <c r="M12" i="1"/>
  <c r="M118" i="1"/>
  <c r="M297" i="1"/>
  <c r="M480" i="1"/>
  <c r="M275" i="1"/>
  <c r="M145" i="1"/>
  <c r="M410" i="1"/>
  <c r="M50" i="1"/>
  <c r="M447" i="1"/>
  <c r="M443" i="1"/>
  <c r="M397" i="1"/>
  <c r="M419" i="1"/>
  <c r="M430" i="1"/>
  <c r="M418" i="1"/>
  <c r="M324" i="1"/>
  <c r="M449" i="1"/>
  <c r="M415" i="1"/>
  <c r="M367" i="1"/>
  <c r="M336" i="1"/>
  <c r="M146" i="1"/>
  <c r="M168" i="1"/>
  <c r="M437" i="1"/>
  <c r="M207" i="1"/>
  <c r="M406" i="1"/>
  <c r="M368" i="1"/>
  <c r="M356" i="1"/>
  <c r="M383" i="1"/>
  <c r="M169" i="1"/>
  <c r="M251" i="1"/>
  <c r="M292" i="1"/>
  <c r="M233" i="1"/>
  <c r="M252" i="1"/>
  <c r="M160" i="1"/>
  <c r="M44" i="1"/>
  <c r="M239" i="1"/>
  <c r="M340" i="1"/>
  <c r="M315" i="1"/>
  <c r="M341" i="1"/>
  <c r="M133" i="1"/>
  <c r="M301" i="1"/>
  <c r="M161" i="1"/>
  <c r="M265" i="1"/>
  <c r="M302" i="1"/>
  <c r="M298" i="1"/>
  <c r="M296" i="1"/>
  <c r="M139" i="1"/>
  <c r="M253" i="1"/>
  <c r="M256" i="1"/>
  <c r="M264" i="1"/>
  <c r="M171" i="1"/>
  <c r="M189" i="1"/>
  <c r="M186" i="1"/>
  <c r="M188" i="1"/>
  <c r="M290" i="1"/>
  <c r="M14" i="1"/>
  <c r="M289" i="1"/>
  <c r="M182" i="1"/>
  <c r="M319" i="1"/>
  <c r="M339" i="1"/>
  <c r="M32" i="1"/>
  <c r="M100" i="1"/>
  <c r="M111" i="1"/>
  <c r="M202" i="1"/>
  <c r="M267" i="1"/>
  <c r="M288" i="1"/>
  <c r="M307" i="1"/>
  <c r="M338" i="1"/>
  <c r="M366" i="1"/>
  <c r="M266" i="1"/>
  <c r="M147" i="1"/>
  <c r="M122" i="1"/>
  <c r="M86" i="1"/>
  <c r="M287" i="1"/>
  <c r="M318" i="1"/>
  <c r="M107" i="1"/>
  <c r="M317" i="1"/>
  <c r="M393" i="1"/>
  <c r="M325" i="1"/>
  <c r="M66" i="1"/>
  <c r="M51" i="1"/>
  <c r="M337" i="1"/>
  <c r="M257" i="1"/>
  <c r="M303" i="1"/>
  <c r="M355" i="1"/>
  <c r="M428" i="1"/>
  <c r="M439" i="1"/>
  <c r="M103" i="1"/>
  <c r="M192" i="1"/>
  <c r="M242" i="1"/>
  <c r="M286" i="1"/>
  <c r="M49" i="1"/>
  <c r="M26" i="1"/>
  <c r="M452" i="1"/>
  <c r="M448" i="1"/>
  <c r="M54" i="1"/>
  <c r="M326" i="1"/>
  <c r="M327" i="1"/>
  <c r="M328" i="1"/>
  <c r="M329" i="1"/>
  <c r="M382" i="1"/>
  <c r="M387" i="1"/>
  <c r="M392" i="1"/>
  <c r="M398" i="1"/>
  <c r="M255" i="1"/>
  <c r="M400" i="1"/>
  <c r="M206" i="1"/>
  <c r="M391" i="1"/>
  <c r="M250" i="1"/>
  <c r="M423" i="1"/>
  <c r="M195" i="1"/>
  <c r="M62" i="1"/>
  <c r="M224" i="1"/>
  <c r="M2" i="1"/>
  <c r="M218" i="1"/>
  <c r="M450" i="1"/>
  <c r="M412" i="1"/>
  <c r="M117" i="1"/>
  <c r="M414" i="1"/>
  <c r="M316" i="1"/>
  <c r="M180" i="1"/>
  <c r="M417" i="1"/>
  <c r="M330" i="1"/>
  <c r="M475" i="1"/>
  <c r="M490" i="1"/>
  <c r="M221" i="1"/>
  <c r="M462" i="1"/>
  <c r="M223" i="1"/>
  <c r="M241" i="1"/>
  <c r="M185" i="1"/>
  <c r="M295" i="1"/>
  <c r="M167" i="1"/>
  <c r="M172" i="1"/>
  <c r="M29" i="1"/>
  <c r="M96" i="1"/>
  <c r="M159" i="1"/>
  <c r="M187" i="1"/>
  <c r="M191" i="1"/>
  <c r="M197" i="1"/>
  <c r="M334" i="1"/>
  <c r="M335" i="1"/>
  <c r="M365" i="1"/>
  <c r="M381" i="1"/>
  <c r="M455" i="1"/>
  <c r="M249" i="1"/>
  <c r="M495" i="1"/>
  <c r="M501" i="1"/>
  <c r="M399" i="1"/>
  <c r="M506" i="1"/>
  <c r="M285" i="1"/>
  <c r="M433" i="1"/>
  <c r="M508" i="1"/>
  <c r="M53" i="1"/>
  <c r="M193" i="1"/>
  <c r="M174" i="1"/>
  <c r="M158" i="1"/>
  <c r="M98" i="1"/>
  <c r="M499" i="1"/>
  <c r="M39" i="1"/>
  <c r="M354" i="1"/>
  <c r="M222" i="1"/>
  <c r="M464" i="1"/>
  <c r="M157" i="1"/>
  <c r="M19" i="1"/>
  <c r="M405" i="1"/>
  <c r="M525" i="1"/>
  <c r="M528" i="1"/>
  <c r="M60" i="1"/>
  <c r="M485" i="1"/>
  <c r="M532" i="1"/>
  <c r="M362" i="1"/>
  <c r="M363" i="1"/>
  <c r="M106" i="1"/>
  <c r="M283" i="1"/>
  <c r="M533" i="1"/>
  <c r="M300" i="1"/>
  <c r="M219" i="1"/>
  <c r="M537" i="1"/>
  <c r="M353" i="1"/>
  <c r="M487" i="1"/>
  <c r="M170" i="1"/>
  <c r="M76" i="1"/>
  <c r="M135" i="1"/>
  <c r="M165" i="1"/>
  <c r="M274" i="1"/>
  <c r="M166" i="1"/>
  <c r="M226" i="1"/>
  <c r="M220" i="1"/>
  <c r="M225" i="1"/>
  <c r="M227" i="1"/>
  <c r="M228" i="1"/>
  <c r="M229" i="1"/>
  <c r="M240" i="1"/>
  <c r="M247" i="1"/>
  <c r="M314" i="1"/>
  <c r="M323" i="1"/>
  <c r="M351" i="1"/>
  <c r="M352" i="1"/>
  <c r="M361" i="1"/>
  <c r="M456" i="1"/>
  <c r="M457" i="1"/>
  <c r="M413" i="1"/>
  <c r="M434" i="1"/>
  <c r="M376" i="1"/>
  <c r="M442" i="1"/>
  <c r="M281" i="1"/>
  <c r="M41" i="1"/>
  <c r="M312" i="1"/>
  <c r="M313" i="1"/>
  <c r="M271" i="1"/>
  <c r="M230" i="1"/>
  <c r="M136" i="1"/>
  <c r="M248" i="1"/>
  <c r="M27" i="1"/>
  <c r="M498" i="1"/>
  <c r="M377" i="1"/>
  <c r="M272" i="1"/>
  <c r="M143" i="1"/>
  <c r="M137" i="1"/>
  <c r="M306" i="1"/>
  <c r="M231" i="1"/>
  <c r="M215" i="1"/>
  <c r="M435" i="1"/>
  <c r="M216" i="1"/>
  <c r="M138" i="1"/>
  <c r="M144" i="1"/>
  <c r="M282" i="1"/>
  <c r="M45" i="1"/>
  <c r="M513" i="1"/>
  <c r="M535" i="1"/>
  <c r="M404" i="1"/>
  <c r="M552" i="1"/>
  <c r="M569" i="1"/>
  <c r="M142" i="1"/>
  <c r="M311" i="1"/>
  <c r="M432" i="1"/>
  <c r="M571" i="1"/>
  <c r="M294" i="1"/>
  <c r="M333" i="1"/>
  <c r="M551" i="1"/>
  <c r="M273" i="1"/>
  <c r="M573" i="1"/>
  <c r="M548" i="1"/>
  <c r="M520" i="1"/>
  <c r="M563" i="1"/>
  <c r="M524" i="1"/>
  <c r="M343" i="1"/>
  <c r="M474" i="1"/>
  <c r="M584" i="1"/>
  <c r="M570" i="1"/>
  <c r="M438" i="1"/>
  <c r="M390" i="1"/>
  <c r="M263" i="1"/>
  <c r="M446" i="1"/>
  <c r="M109" i="1"/>
  <c r="M427" i="1"/>
  <c r="M507" i="1"/>
  <c r="M373" i="1"/>
  <c r="M278" i="1"/>
  <c r="M598" i="1"/>
  <c r="M588" i="1"/>
  <c r="M600" i="1"/>
  <c r="M332" i="1"/>
  <c r="M105" i="1"/>
  <c r="M59" i="1"/>
  <c r="M396" i="1"/>
  <c r="M516" i="1"/>
  <c r="M511" i="1"/>
  <c r="M585" i="1"/>
  <c r="M557" i="1"/>
  <c r="M121" i="1"/>
  <c r="M607" i="1"/>
  <c r="M562" i="1"/>
  <c r="M477" i="1"/>
  <c r="M409" i="1"/>
  <c r="M465" i="1"/>
  <c r="M597" i="1"/>
  <c r="M617" i="1"/>
  <c r="M72" i="1"/>
  <c r="M173" i="1"/>
  <c r="M596" i="1"/>
  <c r="M531" i="1"/>
  <c r="M553" i="1"/>
  <c r="M603" i="1"/>
  <c r="M31" i="1"/>
  <c r="M631" i="1"/>
  <c r="M310" i="1"/>
  <c r="M40" i="1"/>
  <c r="M630" i="1"/>
  <c r="M523" i="1"/>
  <c r="M149" i="1"/>
  <c r="M473" i="1"/>
  <c r="M534" i="1"/>
  <c r="M164" i="1"/>
  <c r="M622" i="1"/>
  <c r="M627" i="1"/>
  <c r="M198" i="1"/>
  <c r="M95" i="1"/>
  <c r="M148" i="1"/>
  <c r="M11" i="1"/>
  <c r="M388" i="1"/>
  <c r="M502" i="1"/>
  <c r="M538" i="1"/>
  <c r="M567" i="1"/>
  <c r="M526" i="1"/>
  <c r="M426" i="1"/>
  <c r="M510" i="1"/>
  <c r="M591" i="1"/>
  <c r="M42" i="1"/>
  <c r="M575" i="1"/>
  <c r="M380" i="1"/>
  <c r="M190" i="1"/>
  <c r="M246" i="1"/>
  <c r="M660" i="1"/>
  <c r="M129" i="1"/>
  <c r="M594" i="1"/>
  <c r="M610" i="1"/>
  <c r="M589" i="1"/>
  <c r="M108" i="1"/>
  <c r="M16" i="1"/>
  <c r="M665" i="1"/>
  <c r="M370" i="1"/>
  <c r="M519" i="1"/>
  <c r="M564" i="1"/>
  <c r="M668" i="1"/>
  <c r="M669" i="1"/>
  <c r="M662" i="1"/>
  <c r="M539" i="1"/>
  <c r="M309" i="1"/>
  <c r="M661" i="1"/>
  <c r="M120" i="1"/>
  <c r="M636" i="1"/>
  <c r="M529" i="1"/>
  <c r="M653" i="1"/>
  <c r="M545" i="1"/>
  <c r="M181" i="1"/>
  <c r="M348" i="1"/>
  <c r="M347" i="1"/>
  <c r="M647" i="1"/>
  <c r="M560" i="1"/>
  <c r="M293" i="1"/>
  <c r="M673" i="1"/>
  <c r="M154" i="1"/>
  <c r="M645" i="1"/>
  <c r="M459" i="1"/>
  <c r="M486" i="1"/>
  <c r="M140" i="1"/>
  <c r="M116" i="1"/>
  <c r="M679" i="1"/>
  <c r="M680" i="1"/>
  <c r="M632" i="1"/>
  <c r="M131" i="1"/>
  <c r="M643" i="1"/>
  <c r="M484" i="1"/>
  <c r="M615" i="1" l="1"/>
  <c r="M605" i="1"/>
  <c r="M472" i="1"/>
  <c r="M97" i="1"/>
  <c r="M152" i="1"/>
  <c r="M346" i="1"/>
  <c r="M71" i="1"/>
  <c r="M153" i="1"/>
  <c r="M28" i="1"/>
  <c r="M577" i="1"/>
  <c r="M425" i="1"/>
  <c r="M322" i="1"/>
  <c r="M515" i="1"/>
  <c r="M530" i="1"/>
  <c r="M505" i="1"/>
  <c r="M541" i="1"/>
  <c r="M685" i="1" l="1"/>
  <c r="M123" i="1"/>
  <c r="M683" i="1"/>
  <c r="M693" i="1"/>
  <c r="M699" i="1"/>
  <c r="M674" i="1" l="1"/>
  <c r="M99" i="1"/>
  <c r="M90" i="1"/>
  <c r="M496" i="1"/>
  <c r="M69" i="1"/>
  <c r="M331" i="1"/>
  <c r="M688" i="1"/>
  <c r="M3" i="1"/>
  <c r="M194" i="1"/>
  <c r="M83" i="1"/>
  <c r="M77" i="1"/>
  <c r="M175" i="1"/>
  <c r="M238" i="1"/>
  <c r="M342" i="1"/>
  <c r="M527" i="1"/>
  <c r="M5" i="1"/>
  <c r="M70" i="1"/>
  <c r="M80" i="1"/>
  <c r="M601" i="1"/>
  <c r="M37" i="1"/>
  <c r="M84" i="1"/>
  <c r="M692" i="1"/>
  <c r="M700" i="1"/>
  <c r="M702" i="1"/>
  <c r="M308" i="1"/>
  <c r="M416" i="1"/>
  <c r="M73" i="1"/>
  <c r="M451" i="1"/>
  <c r="M453" i="1"/>
  <c r="M518" i="1"/>
  <c r="M488" i="1"/>
  <c r="M91" i="1"/>
  <c r="M625" i="1"/>
  <c r="M7" i="1"/>
  <c r="M48" i="1"/>
  <c r="M162" i="1"/>
  <c r="M243" i="1"/>
  <c r="M463" i="1"/>
  <c r="M269" i="1"/>
  <c r="M304" i="1"/>
  <c r="M646" i="1"/>
  <c r="M461" i="1"/>
  <c r="M489" i="1"/>
  <c r="M621" i="1"/>
  <c r="M654" i="1"/>
  <c r="M707" i="1"/>
  <c r="M258" i="1"/>
  <c r="M299" i="1"/>
  <c r="M684" i="1"/>
  <c r="M659" i="1"/>
  <c r="M196" i="1"/>
  <c r="M628" i="1"/>
  <c r="M15" i="1"/>
  <c r="M420" i="1"/>
  <c r="M259" i="1"/>
  <c r="M369" i="1"/>
  <c r="M407" i="1"/>
  <c r="M260" i="1"/>
  <c r="M277" i="1"/>
  <c r="M268" i="1"/>
  <c r="M458" i="1"/>
  <c r="M624" i="1"/>
  <c r="M629" i="1"/>
  <c r="M633" i="1"/>
  <c r="M637" i="1"/>
  <c r="M703" i="1"/>
  <c r="M663" i="1"/>
  <c r="M670" i="1"/>
  <c r="M234" i="1"/>
  <c r="M254" i="1"/>
  <c r="M261" i="1"/>
  <c r="M522" i="1"/>
  <c r="M124" i="1"/>
  <c r="M132" i="1"/>
  <c r="M78" i="1"/>
  <c r="M163" i="1"/>
  <c r="M378" i="1"/>
  <c r="M408" i="1"/>
  <c r="M504" i="1"/>
  <c r="M565" i="1"/>
  <c r="M4" i="1"/>
  <c r="M321" i="1"/>
  <c r="M558" i="1"/>
  <c r="M710" i="1"/>
  <c r="M24" i="1"/>
  <c r="M179" i="1"/>
  <c r="M320" i="1"/>
  <c r="M9" i="1"/>
  <c r="M119" i="1"/>
  <c r="M357" i="1"/>
  <c r="M127" i="1"/>
  <c r="M554" i="1"/>
  <c r="M460" i="1"/>
  <c r="M704" i="1"/>
  <c r="M401" i="1"/>
  <c r="M640" i="1"/>
  <c r="M358" i="1"/>
  <c r="M635" i="1"/>
  <c r="M666" i="1"/>
  <c r="M626" i="1"/>
  <c r="M676" i="1"/>
  <c r="M675" i="1"/>
  <c r="M613" i="1"/>
  <c r="M89" i="1"/>
  <c r="M112" i="1"/>
  <c r="M394" i="1"/>
  <c r="M634" i="1"/>
  <c r="M578" i="1"/>
  <c r="M672" i="1"/>
  <c r="M203" i="1"/>
  <c r="M574" i="1"/>
  <c r="M583" i="1"/>
  <c r="M236" i="1"/>
  <c r="M81" i="1"/>
  <c r="M205" i="1"/>
  <c r="M402" i="1"/>
  <c r="M305" i="1"/>
  <c r="M494" i="1"/>
  <c r="M555" i="1"/>
  <c r="M572" i="1"/>
  <c r="M701" i="1"/>
  <c r="M88" i="1"/>
  <c r="M580" i="1"/>
  <c r="M199" i="1"/>
  <c r="M690" i="1"/>
  <c r="M244" i="1"/>
  <c r="M638" i="1"/>
  <c r="M6" i="1"/>
  <c r="M85" i="1"/>
  <c r="M18" i="1"/>
  <c r="M104" i="1"/>
  <c r="M56" i="1"/>
  <c r="M521" i="1"/>
  <c r="M576" i="1"/>
  <c r="M618" i="1"/>
  <c r="M126" i="1"/>
  <c r="M25" i="1"/>
  <c r="M20" i="1"/>
  <c r="M47" i="1"/>
  <c r="M67" i="1"/>
  <c r="M68" i="1"/>
  <c r="M623" i="1"/>
  <c r="M79" i="1"/>
  <c r="M92" i="1"/>
  <c r="M620" i="1"/>
  <c r="M651" i="1"/>
  <c r="M209" i="1"/>
  <c r="M141" i="1"/>
  <c r="M270" i="1"/>
  <c r="M542" i="1"/>
  <c r="M431" i="1"/>
  <c r="M686" i="1"/>
  <c r="M178" i="1"/>
  <c r="M421" i="1"/>
  <c r="M280" i="1"/>
  <c r="M681" i="1"/>
  <c r="M664" i="1"/>
  <c r="M648" i="1"/>
  <c r="M694" i="1"/>
  <c r="M705" i="1"/>
  <c r="M52" i="1"/>
  <c r="M82" i="1"/>
  <c r="M641" i="1"/>
  <c r="M22" i="1"/>
  <c r="M74" i="1"/>
  <c r="M595" i="1"/>
  <c r="M114" i="1"/>
  <c r="M590" i="1"/>
  <c r="M582" i="1"/>
  <c r="M23" i="1"/>
  <c r="M113" i="1"/>
  <c r="M10" i="1"/>
  <c r="M466" i="1"/>
  <c r="M470" i="1"/>
  <c r="M208" i="1"/>
  <c r="M695" i="1"/>
  <c r="M276" i="1"/>
  <c r="M649" i="1"/>
  <c r="M708" i="1"/>
  <c r="M642" i="1"/>
  <c r="M176" i="1"/>
  <c r="M134" i="1"/>
  <c r="M75" i="1"/>
  <c r="M566" i="1"/>
  <c r="M125" i="1"/>
  <c r="M655" i="1"/>
  <c r="M592" i="1"/>
  <c r="M344" i="1"/>
  <c r="M379" i="1"/>
  <c r="M467" i="1"/>
  <c r="M587" i="1"/>
  <c r="M639" i="1"/>
  <c r="M384" i="1"/>
  <c r="M483" i="1"/>
  <c r="M210" i="1"/>
  <c r="M492" i="1"/>
  <c r="M481" i="1"/>
  <c r="M479" i="1"/>
  <c r="M497" i="1"/>
  <c r="M478" i="1"/>
  <c r="M211" i="1"/>
  <c r="M403" i="1"/>
  <c r="M245" i="1"/>
  <c r="M476" i="1"/>
  <c r="M493" i="1"/>
  <c r="M422" i="1"/>
  <c r="M471" i="1"/>
  <c r="M212" i="1"/>
  <c r="M213" i="1"/>
  <c r="M150" i="1"/>
  <c r="M444" i="1"/>
  <c r="M698" i="1"/>
  <c r="M709" i="1"/>
  <c r="M687" i="1"/>
  <c r="M696" i="1"/>
  <c r="M385" i="1"/>
  <c r="M441" i="1"/>
  <c r="M35" i="1"/>
  <c r="M57" i="1"/>
  <c r="M61" i="1"/>
  <c r="M593" i="1"/>
  <c r="M559" i="1"/>
  <c r="M58" i="1"/>
  <c r="M536" i="1"/>
  <c r="M36" i="1"/>
  <c r="M200" i="1"/>
  <c r="M21" i="1"/>
  <c r="M30" i="1"/>
  <c r="M201" i="1"/>
  <c r="M500" i="1"/>
  <c r="M509" i="1"/>
  <c r="M491" i="1"/>
  <c r="M546" i="1"/>
  <c r="M667" i="1"/>
  <c r="M691" i="1"/>
  <c r="M8" i="1"/>
  <c r="M34" i="1"/>
  <c r="M386" i="1"/>
  <c r="M64" i="1"/>
  <c r="M656" i="1"/>
  <c r="M262" i="1"/>
  <c r="M514" i="1"/>
  <c r="M345" i="1"/>
  <c r="M579" i="1"/>
  <c r="M454" i="1"/>
  <c r="M65" i="1"/>
  <c r="M183" i="1"/>
  <c r="M706" i="1"/>
  <c r="M599" i="1"/>
  <c r="M689" i="1"/>
  <c r="M424" i="1"/>
  <c r="M609" i="1"/>
  <c r="M512" i="1"/>
  <c r="M204" i="1"/>
  <c r="M359" i="1"/>
  <c r="M55" i="1"/>
  <c r="M540" i="1"/>
  <c r="M93" i="1"/>
  <c r="M549" i="1"/>
  <c r="M611" i="1"/>
  <c r="M614" i="1"/>
  <c r="M616" i="1"/>
  <c r="M657" i="1"/>
  <c r="M94" i="1"/>
  <c r="M619" i="1"/>
  <c r="M644" i="1"/>
  <c r="M581" i="1"/>
  <c r="M13" i="1"/>
  <c r="M184" i="1"/>
  <c r="M101" i="1"/>
  <c r="M556" i="1"/>
  <c r="M102" i="1"/>
  <c r="M151" i="1"/>
  <c r="M177" i="1"/>
  <c r="M586" i="1"/>
  <c r="M677" i="1"/>
  <c r="M682" i="1"/>
  <c r="M360" i="1"/>
  <c r="M547" i="1"/>
  <c r="M395" i="1"/>
  <c r="M503" i="1"/>
  <c r="M604" i="1"/>
  <c r="M678" i="1"/>
  <c r="M4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tc={DFA66182-A4D1-4287-97E5-022922651CF5}</author>
  </authors>
  <commentList>
    <comment ref="R1" authorId="0" shapeId="0" xr:uid="{DFA66182-A4D1-4287-97E5-022922651CF5}">
      <text>
        <t>[Threaded comment]
Your version of Excel allows you to read this threaded comment; however, any edits to it will get removed if the file is opened in a newer version of Excel. Learn more: https://go.microsoft.com/fwlink/?linkid=870924
Comment:
    Thôi việc trong tháng</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9668A7-EBE9-45B8-BFCC-3265005148AC}" name="Connection" type="104" refreshedVersion="0" background="1">
    <extLst>
      <ext xmlns:x15="http://schemas.microsoft.com/office/spreadsheetml/2010/11/main" uri="{DE250136-89BD-433C-8126-D09CA5730AF9}">
        <x15:connection id="Calendar"/>
      </ext>
    </extLst>
  </connection>
  <connection id="2" xr16:uid="{24D988DE-0C4D-4EAA-9CD3-B0A2B55447FD}" name="Query - Data" description="Connection to the 'Data' query in the workbook." type="100" refreshedVersion="8" minRefreshableVersion="5">
    <extLst>
      <ext xmlns:x15="http://schemas.microsoft.com/office/spreadsheetml/2010/11/main" uri="{DE250136-89BD-433C-8126-D09CA5730AF9}">
        <x15:connection id="b33ae5b4-5b21-45b3-b929-4d4f9c0e017a"/>
      </ext>
    </extLst>
  </connection>
  <connection id="3" xr16:uid="{9E71F906-A4D8-4E0A-B7AF-9B16666C49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<sst xmlns="http://schemas.openxmlformats.org/spreadsheetml/2006/main" count="6774" uniqueCount="1001">
  <si>
    <t>STT</t>
  </si>
  <si>
    <t>ID</t>
  </si>
  <si>
    <t>Họ tên</t>
  </si>
  <si>
    <t>Vùng</t>
  </si>
  <si>
    <t>Khối</t>
  </si>
  <si>
    <t>Bộ phận</t>
  </si>
  <si>
    <t>Chức danh</t>
  </si>
  <si>
    <t>Ngày sinh</t>
  </si>
  <si>
    <t>Trình độ học vấn</t>
  </si>
  <si>
    <t>Ngày vào làm việc</t>
  </si>
  <si>
    <t>Hợp đồng hiện  tại</t>
  </si>
  <si>
    <t>Ngày thôi việc</t>
  </si>
  <si>
    <t>Ghi chú</t>
  </si>
  <si>
    <t>HN0379</t>
  </si>
  <si>
    <t>HN0512</t>
  </si>
  <si>
    <t>HN0122</t>
  </si>
  <si>
    <t>HN0114</t>
  </si>
  <si>
    <t>HN0411</t>
  </si>
  <si>
    <t>HN0091</t>
  </si>
  <si>
    <t>HN0315</t>
  </si>
  <si>
    <t>HCM0204</t>
  </si>
  <si>
    <t>LS0001</t>
  </si>
  <si>
    <t>HN0223</t>
  </si>
  <si>
    <t>HN0103</t>
  </si>
  <si>
    <t>HN0101</t>
  </si>
  <si>
    <t>HN0203</t>
  </si>
  <si>
    <t>HN0249</t>
  </si>
  <si>
    <t>HN0324</t>
  </si>
  <si>
    <t>HN0429</t>
  </si>
  <si>
    <t>LS0004</t>
  </si>
  <si>
    <t>HN0090</t>
  </si>
  <si>
    <t>HN0104</t>
  </si>
  <si>
    <t>HN0474</t>
  </si>
  <si>
    <t>DN0009</t>
  </si>
  <si>
    <t>HCM0037</t>
  </si>
  <si>
    <t>CTV015</t>
  </si>
  <si>
    <t>CTV017</t>
  </si>
  <si>
    <t>CTV018</t>
  </si>
  <si>
    <t>HN0297</t>
  </si>
  <si>
    <t>HN0365</t>
  </si>
  <si>
    <t>HN0095</t>
  </si>
  <si>
    <t>HN0386</t>
  </si>
  <si>
    <t>HN0390</t>
  </si>
  <si>
    <t>HN0424</t>
  </si>
  <si>
    <t>HN0409</t>
  </si>
  <si>
    <t>HN0115</t>
  </si>
  <si>
    <t>HN0487</t>
  </si>
  <si>
    <t>HN0021</t>
  </si>
  <si>
    <t>HN0058</t>
  </si>
  <si>
    <t>DN0027</t>
  </si>
  <si>
    <t>HCM0100</t>
  </si>
  <si>
    <t>HN0397</t>
  </si>
  <si>
    <t>HN0275</t>
  </si>
  <si>
    <t>HN0293</t>
  </si>
  <si>
    <t>HN0499</t>
  </si>
  <si>
    <t>HN0396</t>
  </si>
  <si>
    <t>HCM0153</t>
  </si>
  <si>
    <t>HN0484</t>
  </si>
  <si>
    <t>HN0503</t>
  </si>
  <si>
    <t>CTV009</t>
  </si>
  <si>
    <t>CTV019</t>
  </si>
  <si>
    <t>HN0261</t>
  </si>
  <si>
    <t>HN0291</t>
  </si>
  <si>
    <t>HN0522</t>
  </si>
  <si>
    <t>HN0505</t>
  </si>
  <si>
    <t>HN0225</t>
  </si>
  <si>
    <t>HN0490</t>
  </si>
  <si>
    <t>HN0030</t>
  </si>
  <si>
    <t>HN0368</t>
  </si>
  <si>
    <t>HN0265</t>
  </si>
  <si>
    <t>HN0341</t>
  </si>
  <si>
    <t>HN0362</t>
  </si>
  <si>
    <t>HN0263</t>
  </si>
  <si>
    <t>HN0222</t>
  </si>
  <si>
    <t>HN0272</t>
  </si>
  <si>
    <t>HN0391</t>
  </si>
  <si>
    <t>HN0486</t>
  </si>
  <si>
    <t>HN0491</t>
  </si>
  <si>
    <t>HN0494</t>
  </si>
  <si>
    <t>HN0495</t>
  </si>
  <si>
    <t>HN0531</t>
  </si>
  <si>
    <t>HN0507</t>
  </si>
  <si>
    <t>HCM0201</t>
  </si>
  <si>
    <t>HN0245</t>
  </si>
  <si>
    <t>HN0258</t>
  </si>
  <si>
    <t>HN0264</t>
  </si>
  <si>
    <t>HN0427</t>
  </si>
  <si>
    <t>HN0147</t>
  </si>
  <si>
    <t>HN0157</t>
  </si>
  <si>
    <t>HN0099</t>
  </si>
  <si>
    <t>HN0178</t>
  </si>
  <si>
    <t>HN0342</t>
  </si>
  <si>
    <t>HN0363</t>
  </si>
  <si>
    <t>HN0416</t>
  </si>
  <si>
    <t>HN0451</t>
  </si>
  <si>
    <t>HN0027</t>
  </si>
  <si>
    <t>HN0306</t>
  </si>
  <si>
    <t>HN0449</t>
  </si>
  <si>
    <t>HN0535</t>
  </si>
  <si>
    <t>HN0032</t>
  </si>
  <si>
    <t>HN0206</t>
  </si>
  <si>
    <t>HN0305</t>
  </si>
  <si>
    <t>HCM0012</t>
  </si>
  <si>
    <t>HCM0046</t>
  </si>
  <si>
    <t>HCM0119</t>
  </si>
  <si>
    <t>DN0021</t>
  </si>
  <si>
    <t>DN0068</t>
  </si>
  <si>
    <t>HN0395</t>
  </si>
  <si>
    <t>HN0532</t>
  </si>
  <si>
    <t>HN0361</t>
  </si>
  <si>
    <t>HN0498</t>
  </si>
  <si>
    <t>HN0335</t>
  </si>
  <si>
    <t>CTV010</t>
  </si>
  <si>
    <t>HN0510</t>
  </si>
  <si>
    <t>HN0489</t>
  </si>
  <si>
    <t>HN0516</t>
  </si>
  <si>
    <t>HN0514</t>
  </si>
  <si>
    <t>HN0525</t>
  </si>
  <si>
    <t>HN0113</t>
  </si>
  <si>
    <t>HCM0041</t>
  </si>
  <si>
    <t>HN0006</t>
  </si>
  <si>
    <t>CTV011</t>
  </si>
  <si>
    <t>HN0459</t>
  </si>
  <si>
    <t>HN0515</t>
  </si>
  <si>
    <t>HN0232</t>
  </si>
  <si>
    <t>HN0458</t>
  </si>
  <si>
    <t>HN0462</t>
  </si>
  <si>
    <t>HN0248</t>
  </si>
  <si>
    <t>HCM0036</t>
  </si>
  <si>
    <t>HN0234</t>
  </si>
  <si>
    <t>HN0360</t>
  </si>
  <si>
    <t>HN0294</t>
  </si>
  <si>
    <t>DN0065</t>
  </si>
  <si>
    <t>HCM0177</t>
  </si>
  <si>
    <t>HN0456</t>
  </si>
  <si>
    <t>CTV016</t>
  </si>
  <si>
    <t>HN0111</t>
  </si>
  <si>
    <t>HN0461</t>
  </si>
  <si>
    <t>HN0228</t>
  </si>
  <si>
    <t>HN0526</t>
  </si>
  <si>
    <t>HN0250</t>
  </si>
  <si>
    <t>HN0497</t>
  </si>
  <si>
    <t>HN0019</t>
  </si>
  <si>
    <t>HN0109</t>
  </si>
  <si>
    <t>HN0022</t>
  </si>
  <si>
    <t>HN0126</t>
  </si>
  <si>
    <t>HN0074</t>
  </si>
  <si>
    <t>HN0425</t>
  </si>
  <si>
    <t>HCM0183</t>
  </si>
  <si>
    <t>HCM0001</t>
  </si>
  <si>
    <t>HN0150</t>
  </si>
  <si>
    <t>HN0010</t>
  </si>
  <si>
    <t>HN0008</t>
  </si>
  <si>
    <t>HN0053</t>
  </si>
  <si>
    <t>HN0086</t>
  </si>
  <si>
    <t>HN0087</t>
  </si>
  <si>
    <t>HN0169</t>
  </si>
  <si>
    <t>HN0097</t>
  </si>
  <si>
    <t>HN0028</t>
  </si>
  <si>
    <t>HN0483</t>
  </si>
  <si>
    <t>HCM0197</t>
  </si>
  <si>
    <t>HN0237</t>
  </si>
  <si>
    <t>HN0162</t>
  </si>
  <si>
    <t>HN0013</t>
  </si>
  <si>
    <t>HN0439</t>
  </si>
  <si>
    <t>HN0372</t>
  </si>
  <si>
    <t>HN0151</t>
  </si>
  <si>
    <t>HN0204</t>
  </si>
  <si>
    <t>HN0369</t>
  </si>
  <si>
    <t>HN0286</t>
  </si>
  <si>
    <t>HN0519</t>
  </si>
  <si>
    <t>HN0509</t>
  </si>
  <si>
    <t>HN0501</t>
  </si>
  <si>
    <t>HN0527</t>
  </si>
  <si>
    <t>HCM0207</t>
  </si>
  <si>
    <t>DN0013</t>
  </si>
  <si>
    <t>DN0016</t>
  </si>
  <si>
    <t>DN0049</t>
  </si>
  <si>
    <t>DN0001</t>
  </si>
  <si>
    <t>DN0015</t>
  </si>
  <si>
    <t>DN0073</t>
  </si>
  <si>
    <t>DN0019</t>
  </si>
  <si>
    <t>DN0071</t>
  </si>
  <si>
    <t>DN0070</t>
  </si>
  <si>
    <t>DN0004</t>
  </si>
  <si>
    <t>HCM0042</t>
  </si>
  <si>
    <t>HCM0009</t>
  </si>
  <si>
    <t>HCM0146</t>
  </si>
  <si>
    <t>HCM0147</t>
  </si>
  <si>
    <t>HCM0072</t>
  </si>
  <si>
    <t>HCM0115</t>
  </si>
  <si>
    <t>HCM0104</t>
  </si>
  <si>
    <t>HCM0196</t>
  </si>
  <si>
    <t>HCM0127</t>
  </si>
  <si>
    <t>HCM0134</t>
  </si>
  <si>
    <t>HCM0069</t>
  </si>
  <si>
    <t>HCM0058</t>
  </si>
  <si>
    <t>HCM0035</t>
  </si>
  <si>
    <t>HCM0181</t>
  </si>
  <si>
    <t>HCM0050</t>
  </si>
  <si>
    <t>HCM0198</t>
  </si>
  <si>
    <t>HCM0186</t>
  </si>
  <si>
    <t>HCM0117</t>
  </si>
  <si>
    <t>HCM0129</t>
  </si>
  <si>
    <t>HCM0144</t>
  </si>
  <si>
    <t>HCM0185</t>
  </si>
  <si>
    <t>HN0496</t>
  </si>
  <si>
    <t>HN0347</t>
  </si>
  <si>
    <t>HN0405</t>
  </si>
  <si>
    <t>HCM0073</t>
  </si>
  <si>
    <t>HCM0155</t>
  </si>
  <si>
    <t>HN0403</t>
  </si>
  <si>
    <t>HN0402</t>
  </si>
  <si>
    <t>HN0410</t>
  </si>
  <si>
    <t>HN0401</t>
  </si>
  <si>
    <t>HN0238</t>
  </si>
  <si>
    <t>HN0358</t>
  </si>
  <si>
    <t>HN0255</t>
  </si>
  <si>
    <t>DN0063</t>
  </si>
  <si>
    <t>DN0064</t>
  </si>
  <si>
    <t>DN0053</t>
  </si>
  <si>
    <t>HCM0148</t>
  </si>
  <si>
    <t>HCM0074</t>
  </si>
  <si>
    <t>HCM0075</t>
  </si>
  <si>
    <t>HCM0064</t>
  </si>
  <si>
    <t>HCM0142</t>
  </si>
  <si>
    <t>HN0529</t>
  </si>
  <si>
    <t>HN0534</t>
  </si>
  <si>
    <t>HN0524</t>
  </si>
  <si>
    <t>HN0528</t>
  </si>
  <si>
    <t>HN0346</t>
  </si>
  <si>
    <t>HN0380</t>
  </si>
  <si>
    <t>HN0043</t>
  </si>
  <si>
    <t>HN0076</t>
  </si>
  <si>
    <t>HN0078</t>
  </si>
  <si>
    <t>HN0469</t>
  </si>
  <si>
    <t>HN0448</t>
  </si>
  <si>
    <t>HN0073</t>
  </si>
  <si>
    <t>HN0433</t>
  </si>
  <si>
    <t>HN0044</t>
  </si>
  <si>
    <t>HN0230</t>
  </si>
  <si>
    <t>DN0005</t>
  </si>
  <si>
    <t>DN0007</t>
  </si>
  <si>
    <t>DN0030</t>
  </si>
  <si>
    <t>HCM0157</t>
  </si>
  <si>
    <t>HCM0159</t>
  </si>
  <si>
    <t>HCM0154</t>
  </si>
  <si>
    <t>HCM0173</t>
  </si>
  <si>
    <t>HCM0200</t>
  </si>
  <si>
    <t>HCM0205</t>
  </si>
  <si>
    <t>HCM0017</t>
  </si>
  <si>
    <t>HCM0020</t>
  </si>
  <si>
    <t>HCM0131</t>
  </si>
  <si>
    <t>HCM0032</t>
  </si>
  <si>
    <t>HN0504</t>
  </si>
  <si>
    <t>HN0266</t>
  </si>
  <si>
    <t>HCM0161</t>
  </si>
  <si>
    <t>HN0331</t>
  </si>
  <si>
    <t>HN0460</t>
  </si>
  <si>
    <t>HN0387</t>
  </si>
  <si>
    <t>HN0081</t>
  </si>
  <si>
    <t>HN0213</t>
  </si>
  <si>
    <t>HN0533</t>
  </si>
  <si>
    <t>HN0472</t>
  </si>
  <si>
    <t>CTV014</t>
  </si>
  <si>
    <t>DN0057</t>
  </si>
  <si>
    <t>HCM0189</t>
  </si>
  <si>
    <t>HN0421</t>
  </si>
  <si>
    <t>HN0233</t>
  </si>
  <si>
    <t>HN0339</t>
  </si>
  <si>
    <t>HN0071</t>
  </si>
  <si>
    <t>HN0437</t>
  </si>
  <si>
    <t>LS0009</t>
  </si>
  <si>
    <t>HN0444</t>
  </si>
  <si>
    <t>HN0480</t>
  </si>
  <si>
    <t>HN0481</t>
  </si>
  <si>
    <t>DN0076</t>
  </si>
  <si>
    <t>DN0078</t>
  </si>
  <si>
    <t>DN0017</t>
  </si>
  <si>
    <t>HCM0191</t>
  </si>
  <si>
    <t>HCM0193</t>
  </si>
  <si>
    <t>HCM0184</t>
  </si>
  <si>
    <t>HN0034</t>
  </si>
  <si>
    <t>HN0211</t>
  </si>
  <si>
    <t>HN0124</t>
  </si>
  <si>
    <t>HN0446</t>
  </si>
  <si>
    <t>HN0123</t>
  </si>
  <si>
    <t>HN0174</t>
  </si>
  <si>
    <t>HN0200</t>
  </si>
  <si>
    <t>HN0465</t>
  </si>
  <si>
    <t>HN0517</t>
  </si>
  <si>
    <t>HN0520</t>
  </si>
  <si>
    <t>HN0337</t>
  </si>
  <si>
    <t>HN0443</t>
  </si>
  <si>
    <t>HN0354</t>
  </si>
  <si>
    <t>HN0414</t>
  </si>
  <si>
    <t>HN0476</t>
  </si>
  <si>
    <t>HN0518</t>
  </si>
  <si>
    <t>VP HN</t>
  </si>
  <si>
    <t>VP HCM</t>
  </si>
  <si>
    <t>VP ĐN</t>
  </si>
  <si>
    <t>TCKT</t>
  </si>
  <si>
    <t>KSNB</t>
  </si>
  <si>
    <t>BGĐ</t>
  </si>
  <si>
    <t>HCNS</t>
  </si>
  <si>
    <t>IT</t>
  </si>
  <si>
    <t>PM</t>
  </si>
  <si>
    <t>PP</t>
  </si>
  <si>
    <t>QA&amp;QC</t>
  </si>
  <si>
    <t>Logistics</t>
  </si>
  <si>
    <t>Marketing</t>
  </si>
  <si>
    <t>Kinh doanh</t>
  </si>
  <si>
    <t>Thái Lan (APAC)</t>
  </si>
  <si>
    <t>Retail MKT</t>
  </si>
  <si>
    <t>DVKH</t>
  </si>
  <si>
    <t>Admin</t>
  </si>
  <si>
    <t>Kinh doanh điều hòa</t>
  </si>
  <si>
    <t>Kinh doanh Tivi</t>
  </si>
  <si>
    <t>Kinh doanh HA</t>
  </si>
  <si>
    <t>Giám đốc ngành hàng</t>
  </si>
  <si>
    <t>Chuyên viên kinh doanh</t>
  </si>
  <si>
    <t>Trưởng phòng kinh doanh</t>
  </si>
  <si>
    <t>Trưởng phòng cao cấp Kinh doanh dự án</t>
  </si>
  <si>
    <t>Trưởng phòng Kinh doanh dự án</t>
  </si>
  <si>
    <t>Kinh doanh dự án</t>
  </si>
  <si>
    <t>Giám đốc Kinh doanh KA toàn quốc</t>
  </si>
  <si>
    <t>Kinh doanh chuỗi</t>
  </si>
  <si>
    <t>DVBH</t>
  </si>
  <si>
    <t>KHDV</t>
  </si>
  <si>
    <t>Kho vận</t>
  </si>
  <si>
    <t>CSKH</t>
  </si>
  <si>
    <t>Giám đốc Dịch vụ khách hàng</t>
  </si>
  <si>
    <t>Phó Giám đốc Trung tâm dịch vụ khách hàng</t>
  </si>
  <si>
    <t>Trưởng phòng Dịch vụ bảo hành</t>
  </si>
  <si>
    <t>Chuyên viên Admin kỹ thuật dịch vụ</t>
  </si>
  <si>
    <t>Nhân viên Admin kỹ thuật dịch vụ</t>
  </si>
  <si>
    <t>Chuyên viên Admin Dịch vụ bảo hành</t>
  </si>
  <si>
    <t>Chuyên viên Kiểm soát yêu cầu dịch vụ</t>
  </si>
  <si>
    <t>Chuyên viên Giám sát kỹ thuật</t>
  </si>
  <si>
    <t>Nhân viên Kỹ thuật dịch vụ</t>
  </si>
  <si>
    <t>Chuyên viên Admin Kỹ thuật dịch vụ</t>
  </si>
  <si>
    <t>Chuyên viên Kỹ thuật dịch vụ</t>
  </si>
  <si>
    <t>Trưởng phòng Kế hoạch dịch vụ</t>
  </si>
  <si>
    <t>Chuyên viên Kế toán thanh toán</t>
  </si>
  <si>
    <t>Nhân viên Quản lý giá và công nợ</t>
  </si>
  <si>
    <t>Chuyên viên quản lý chất lượng SOP</t>
  </si>
  <si>
    <t>Trưởng nhóm Kế hoạch linh kiện</t>
  </si>
  <si>
    <t>Nhân viên cấp phát thu hồi linh kiện</t>
  </si>
  <si>
    <t>Nhân viên cấp phát linh kiện</t>
  </si>
  <si>
    <t>Nhân viên Kế hoạch linh kiện</t>
  </si>
  <si>
    <t>Nhân viên Kế toán kho linh kiện</t>
  </si>
  <si>
    <t>Thực tập sinh kế toán linh kiện</t>
  </si>
  <si>
    <t xml:space="preserve">Chuyên viên QL hệ thống kho vận </t>
  </si>
  <si>
    <t>Nhân viên Kho</t>
  </si>
  <si>
    <t>Nhân viên Phụ kho</t>
  </si>
  <si>
    <t>Kỹ thuật viên kho</t>
  </si>
  <si>
    <t>Chuyên viên thủ kho</t>
  </si>
  <si>
    <t>Nhân viên kho</t>
  </si>
  <si>
    <t>Trưởng phòng Chăm sóc khách hàng</t>
  </si>
  <si>
    <t xml:space="preserve">Trưởng nhóm Chăm sóc khách hàng </t>
  </si>
  <si>
    <t>Nhân viên Quản lý chất lượng dịch vụ</t>
  </si>
  <si>
    <t>Nhân viên CSKH mạng xã hội</t>
  </si>
  <si>
    <t>Nhân viên CSKH kênh Digital</t>
  </si>
  <si>
    <t>Nhân viên giải quyết khiếu nại</t>
  </si>
  <si>
    <t>Nhân viên tư vấn kỹ thuật</t>
  </si>
  <si>
    <t>Tổng Giám đốc</t>
  </si>
  <si>
    <t>Phó Tổng Giám đốc</t>
  </si>
  <si>
    <t>Đào tạo-văn hóa</t>
  </si>
  <si>
    <t>Chính sách &amp; hệ thống</t>
  </si>
  <si>
    <t>Quản trị nhân tài</t>
  </si>
  <si>
    <t>Chuyên viên Nhân sự</t>
  </si>
  <si>
    <t>Nhân viên Lái xe</t>
  </si>
  <si>
    <t>Nhân viên Tạp vụ</t>
  </si>
  <si>
    <t>Chuyên viên Đào tạo kỹ thuật</t>
  </si>
  <si>
    <t>Trưởng phòng Đào tạo</t>
  </si>
  <si>
    <t>Chuyên viên đào tạo</t>
  </si>
  <si>
    <t>Chuyên viên Đào tạo &amp; Văn hóa</t>
  </si>
  <si>
    <t>Trưởng phòng dịch vụ nhân sự</t>
  </si>
  <si>
    <t>Chuyên viên C&amp;B</t>
  </si>
  <si>
    <t>Chuyên viên tuyển dụng</t>
  </si>
  <si>
    <t>Nhân viên Hành chính</t>
  </si>
  <si>
    <t>Nhân viên Hành chính Lễ tân</t>
  </si>
  <si>
    <t>Giám đốc Công nghệ thông tin</t>
  </si>
  <si>
    <t>Trưởng nhóm SAP</t>
  </si>
  <si>
    <t xml:space="preserve">Chuyên viên Công nghệ thông tin </t>
  </si>
  <si>
    <t>Chuyên viên IT Business Analyst</t>
  </si>
  <si>
    <t>Chuyên viên IT</t>
  </si>
  <si>
    <t>Nhân viên IT Helpdesk</t>
  </si>
  <si>
    <t>Chuyên viên Network and System Administration</t>
  </si>
  <si>
    <t>CTV SAP ABAP</t>
  </si>
  <si>
    <t>Thực tập sinh IT</t>
  </si>
  <si>
    <t>ERP</t>
  </si>
  <si>
    <t>Application</t>
  </si>
  <si>
    <t>Hạ tầng</t>
  </si>
  <si>
    <t>Pháp chế</t>
  </si>
  <si>
    <t>Trưởng Ban Kiểm soát nội bộ</t>
  </si>
  <si>
    <t>Trưởng nhóm Pháp chế</t>
  </si>
  <si>
    <t>Chuyên viên Pháp chế</t>
  </si>
  <si>
    <t>Chuyên viên Kiểm soát nội bộ</t>
  </si>
  <si>
    <t>Xuất nhập khẩu</t>
  </si>
  <si>
    <t>Giám đốc Logistics</t>
  </si>
  <si>
    <t>Trưởng nhóm Xuất Nhập khẩu</t>
  </si>
  <si>
    <t>Chuyên viên Xuất nhập khẩu</t>
  </si>
  <si>
    <t>Chuyên viên nhập khẩu</t>
  </si>
  <si>
    <t>Trưởng phòng Điều vận</t>
  </si>
  <si>
    <t>Nhân viên quản lý dữ liệu kho</t>
  </si>
  <si>
    <t>Nhân viên Kế toán kho</t>
  </si>
  <si>
    <t>Chuyên viên Điều phối</t>
  </si>
  <si>
    <t>Chuyên viên Giám sát kho</t>
  </si>
  <si>
    <t>Nhân viên Giám sát kho</t>
  </si>
  <si>
    <t>Trưởng nhóm Điều vận</t>
  </si>
  <si>
    <t>Nhân viên Điều vận</t>
  </si>
  <si>
    <t>Creative</t>
  </si>
  <si>
    <t>PR</t>
  </si>
  <si>
    <t>Digital</t>
  </si>
  <si>
    <t>Brand</t>
  </si>
  <si>
    <t>Giám đốc Marketing</t>
  </si>
  <si>
    <t>Brand Manager</t>
  </si>
  <si>
    <t>Chuyên viên Marcom</t>
  </si>
  <si>
    <t>Chuyên viên Brand Marketing</t>
  </si>
  <si>
    <t>Chuyên viên thiết kế đồ họa</t>
  </si>
  <si>
    <t>CTV Thiết kế</t>
  </si>
  <si>
    <t>Chuyên viên Thiết kế</t>
  </si>
  <si>
    <t>PR Manager</t>
  </si>
  <si>
    <t>Digital &amp; Media Planning Manager</t>
  </si>
  <si>
    <t>Chuyên viên Digital Marketing</t>
  </si>
  <si>
    <t>Nhân viên Content Marketing</t>
  </si>
  <si>
    <t>Chuyên viên Admin Marketing</t>
  </si>
  <si>
    <t>Giám đốc PM</t>
  </si>
  <si>
    <t>Chuyên viên Product Marketing</t>
  </si>
  <si>
    <t>Nhân viên Admin Product Marketing</t>
  </si>
  <si>
    <t>Trưởng phòng Sales Planning</t>
  </si>
  <si>
    <t>Chuyên viên Admin SPM</t>
  </si>
  <si>
    <t>Kỹ sư SP</t>
  </si>
  <si>
    <t>Mua hàng</t>
  </si>
  <si>
    <t>Giám đốc Product Planning</t>
  </si>
  <si>
    <t>Trưởng phòng Phát triển sản phẩm</t>
  </si>
  <si>
    <t>Chuyên viên Kế hoạch sản phẩm</t>
  </si>
  <si>
    <t>Phó phòng Mua hàng</t>
  </si>
  <si>
    <t>Chuyên viên mua hàng</t>
  </si>
  <si>
    <t>Chuyên viên Mua hàng</t>
  </si>
  <si>
    <t>BP Kiểm soát chất lượng tỉ lệ lỗi &amp; chi phí</t>
  </si>
  <si>
    <t>BP Công nghệ &amp; Đảm bảo chất lượng</t>
  </si>
  <si>
    <t>Trưởng bộ phận</t>
  </si>
  <si>
    <t>Chuyên viên quản lý chất lượng</t>
  </si>
  <si>
    <t>Chuyên viên Phân tích dữ liệu</t>
  </si>
  <si>
    <t>Phó phòng Phát triển sản phẩm</t>
  </si>
  <si>
    <t>Chuyên viên QC</t>
  </si>
  <si>
    <t>Training</t>
  </si>
  <si>
    <t>Merchandise</t>
  </si>
  <si>
    <t>Retail</t>
  </si>
  <si>
    <t>Channel</t>
  </si>
  <si>
    <t>Chuyên viên Đào tạo</t>
  </si>
  <si>
    <t>Trưởng phòng Visual Merchandising</t>
  </si>
  <si>
    <t xml:space="preserve"> Chuyên viên Visual Management</t>
  </si>
  <si>
    <t>Trưởng phòng Trade Rep</t>
  </si>
  <si>
    <t>Trưởng nhóm Retail</t>
  </si>
  <si>
    <t>Chuyên viên Activation</t>
  </si>
  <si>
    <t>Trưởng nhóm Merchandise</t>
  </si>
  <si>
    <t>Trưởng nhóm Trade Rep</t>
  </si>
  <si>
    <t>Trưởng nhóm Activation</t>
  </si>
  <si>
    <t>Chuyên viên Admin Retail MKT</t>
  </si>
  <si>
    <t>Chuyên viên Planning</t>
  </si>
  <si>
    <t>Chuyên viên Business Analyst</t>
  </si>
  <si>
    <t>Kế toán</t>
  </si>
  <si>
    <t>Tài chính</t>
  </si>
  <si>
    <t>Quản trị, Quan hệ NĐT và ĐT</t>
  </si>
  <si>
    <t>Thuế</t>
  </si>
  <si>
    <t xml:space="preserve">Kế toán trưởng </t>
  </si>
  <si>
    <t>Phó phòng Tài chính</t>
  </si>
  <si>
    <t>Chuyên viên Tài chính</t>
  </si>
  <si>
    <t>Chuyên viên Giám sát Tài chính</t>
  </si>
  <si>
    <t>Chuyên viên Kế toán</t>
  </si>
  <si>
    <t>Chuyên viên Kế toán Kho</t>
  </si>
  <si>
    <t>Trưởng nhóm Kế toán</t>
  </si>
  <si>
    <t>Thực tập sinh kế toán</t>
  </si>
  <si>
    <t>Thực tập sinh Kế toán</t>
  </si>
  <si>
    <t>Trưởng phòng Kế toán</t>
  </si>
  <si>
    <t>Nhân viên Kế toán Chi phí</t>
  </si>
  <si>
    <t>Trướng nhóm bán hàng công nợ</t>
  </si>
  <si>
    <t>Chuyên viên Kế toán Bán hàng</t>
  </si>
  <si>
    <t>Nhân viên Kế toán</t>
  </si>
  <si>
    <t>Chuyên viên Kế toán Bán hàng - Chiết khấu</t>
  </si>
  <si>
    <t>Chuyên viên Kế toán bán hàng chiết khấu</t>
  </si>
  <si>
    <t>Chuyên viên Kế toán thanh toán quốc tế</t>
  </si>
  <si>
    <t>Trưởng phòng Thuế</t>
  </si>
  <si>
    <t>Nhân viên kế toán Thuế</t>
  </si>
  <si>
    <t>Trợ lý Giám đốc Kinh doanh</t>
  </si>
  <si>
    <t>CTV Marketing</t>
  </si>
  <si>
    <t>Giám đốc Kinh doanh thị trường Châu Á</t>
  </si>
  <si>
    <t>Giới tính</t>
  </si>
  <si>
    <t>Nữ</t>
  </si>
  <si>
    <t>Nam</t>
  </si>
  <si>
    <t>nam</t>
  </si>
  <si>
    <t>Thời gian thử việc</t>
  </si>
  <si>
    <t>HĐLĐ</t>
  </si>
  <si>
    <t>Hình thức</t>
  </si>
  <si>
    <t>HĐ Dịch vụ</t>
  </si>
  <si>
    <t>Mã HĐ</t>
  </si>
  <si>
    <t>12 tháng</t>
  </si>
  <si>
    <t>24 tháng</t>
  </si>
  <si>
    <t>36 tháng</t>
  </si>
  <si>
    <t>Không xác định</t>
  </si>
  <si>
    <t>Thử việc</t>
  </si>
  <si>
    <t>Đại học</t>
  </si>
  <si>
    <t>Thạc sỹ</t>
  </si>
  <si>
    <t>THPT</t>
  </si>
  <si>
    <t>Cao đẳng</t>
  </si>
  <si>
    <t>HN0523</t>
  </si>
  <si>
    <t>HCM0047</t>
  </si>
  <si>
    <t>HN0521</t>
  </si>
  <si>
    <t>HCM0206</t>
  </si>
  <si>
    <t>HCM0190</t>
  </si>
  <si>
    <t>HN0404</t>
  </si>
  <si>
    <t>HN0121</t>
  </si>
  <si>
    <t>HN0173</t>
  </si>
  <si>
    <t>HN0329</t>
  </si>
  <si>
    <t>HN0094</t>
  </si>
  <si>
    <t>HN0170</t>
  </si>
  <si>
    <t>DN0006</t>
  </si>
  <si>
    <t>DN0069</t>
  </si>
  <si>
    <t>DN0056</t>
  </si>
  <si>
    <t>HCM0112</t>
  </si>
  <si>
    <t>HCM0163</t>
  </si>
  <si>
    <t>HCM0167</t>
  </si>
  <si>
    <t>Trưởng phòng Sales Rep</t>
  </si>
  <si>
    <t>Chuyên viên Kinh doanh dự án</t>
  </si>
  <si>
    <t>Chuyên viên Thủ kho linh kiện</t>
  </si>
  <si>
    <t xml:space="preserve">Nhân viên Đào tạo </t>
  </si>
  <si>
    <t>Nhân viên kỹ thuật dịch vụ</t>
  </si>
  <si>
    <t>HN0417</t>
  </si>
  <si>
    <t>HCM0172</t>
  </si>
  <si>
    <t>HN0530</t>
  </si>
  <si>
    <t>Giám đốc Tài chính Kế toán</t>
  </si>
  <si>
    <t>Chuyên viên Trade marketing Admin</t>
  </si>
  <si>
    <t xml:space="preserve">Channel Development &amp; Management Manager  </t>
  </si>
  <si>
    <t>HĐTV</t>
  </si>
  <si>
    <t>Tình trạng hôn nhân</t>
  </si>
  <si>
    <t>Đã kết hôn</t>
  </si>
  <si>
    <t>Độc thân</t>
  </si>
  <si>
    <t>Độc Thân</t>
  </si>
  <si>
    <t/>
  </si>
  <si>
    <t>Đã ly hôn</t>
  </si>
  <si>
    <t>03 tháng</t>
  </si>
  <si>
    <t>DN0024</t>
  </si>
  <si>
    <t>HCM0101</t>
  </si>
  <si>
    <t>HN0267</t>
  </si>
  <si>
    <t>HN0260</t>
  </si>
  <si>
    <t>HN0186</t>
  </si>
  <si>
    <t>DN0038</t>
  </si>
  <si>
    <t>HCM0108</t>
  </si>
  <si>
    <t>HN0209</t>
  </si>
  <si>
    <t>HN0214</t>
  </si>
  <si>
    <t>HN0210</t>
  </si>
  <si>
    <t>HN0285</t>
  </si>
  <si>
    <t>DN0039</t>
  </si>
  <si>
    <t>HN0015</t>
  </si>
  <si>
    <t>HN0280</t>
  </si>
  <si>
    <t>HN0207</t>
  </si>
  <si>
    <t>HCM0052</t>
  </si>
  <si>
    <t>HCM0110</t>
  </si>
  <si>
    <t>HCM0067</t>
  </si>
  <si>
    <t>HCM0103</t>
  </si>
  <si>
    <t>DN0043</t>
  </si>
  <si>
    <t>HN0314</t>
  </si>
  <si>
    <t>HN0303</t>
  </si>
  <si>
    <t>HCM0113</t>
  </si>
  <si>
    <t>HN0322</t>
  </si>
  <si>
    <t>HCM0098</t>
  </si>
  <si>
    <t>HN0002</t>
  </si>
  <si>
    <t>HCM0023</t>
  </si>
  <si>
    <t>HCM0038</t>
  </si>
  <si>
    <t>DN0018</t>
  </si>
  <si>
    <t>DN0026</t>
  </si>
  <si>
    <t>DN0031</t>
  </si>
  <si>
    <t>HCM0092</t>
  </si>
  <si>
    <t>HCM0094</t>
  </si>
  <si>
    <t>HN0271</t>
  </si>
  <si>
    <t>HN0281</t>
  </si>
  <si>
    <t>DN0036</t>
  </si>
  <si>
    <t>HN0295</t>
  </si>
  <si>
    <t>HN0321</t>
  </si>
  <si>
    <t>HN0338</t>
  </si>
  <si>
    <t>HN0184</t>
  </si>
  <si>
    <t>HN0252</t>
  </si>
  <si>
    <t>HN0269</t>
  </si>
  <si>
    <t>HCM0130</t>
  </si>
  <si>
    <t>HN0160</t>
  </si>
  <si>
    <t>DN0020</t>
  </si>
  <si>
    <t>HN0107</t>
  </si>
  <si>
    <t>HN0284</t>
  </si>
  <si>
    <t>DN0042</t>
  </si>
  <si>
    <t>HCM0116</t>
  </si>
  <si>
    <t>HN0132</t>
  </si>
  <si>
    <t>DN0044</t>
  </si>
  <si>
    <t>HCM0122</t>
  </si>
  <si>
    <t>HN0349</t>
  </si>
  <si>
    <t>HCM0132</t>
  </si>
  <si>
    <t>HN0308</t>
  </si>
  <si>
    <t>HN0083</t>
  </si>
  <si>
    <t>HN0061</t>
  </si>
  <si>
    <t>HN0316</t>
  </si>
  <si>
    <t>HN0259</t>
  </si>
  <si>
    <t>HN0292</t>
  </si>
  <si>
    <t>HN0236</t>
  </si>
  <si>
    <t>HN0327</t>
  </si>
  <si>
    <t>HN0371</t>
  </si>
  <si>
    <t>HCM0141</t>
  </si>
  <si>
    <t>HN0378</t>
  </si>
  <si>
    <t>HN0127</t>
  </si>
  <si>
    <t>DN0045</t>
  </si>
  <si>
    <t>HCM0061</t>
  </si>
  <si>
    <t>HN0183</t>
  </si>
  <si>
    <t>HN0221</t>
  </si>
  <si>
    <t>DN0033</t>
  </si>
  <si>
    <t>HN0288</t>
  </si>
  <si>
    <t>HCM0124</t>
  </si>
  <si>
    <t>HCM0028</t>
  </si>
  <si>
    <t>HN0018</t>
  </si>
  <si>
    <t>HN0385</t>
  </si>
  <si>
    <t>HCM0143</t>
  </si>
  <si>
    <t>HN0382</t>
  </si>
  <si>
    <t>HCM0137</t>
  </si>
  <si>
    <t>HN0070</t>
  </si>
  <si>
    <t>HCM0138</t>
  </si>
  <si>
    <t>HN0367</t>
  </si>
  <si>
    <t>HCM0051</t>
  </si>
  <si>
    <t>HN0309</t>
  </si>
  <si>
    <t>HN0310</t>
  </si>
  <si>
    <t>HN0311</t>
  </si>
  <si>
    <t>HN0312</t>
  </si>
  <si>
    <t>HN0345</t>
  </si>
  <si>
    <t>HN0348</t>
  </si>
  <si>
    <t>HN0351</t>
  </si>
  <si>
    <t>HN0355</t>
  </si>
  <si>
    <t>HN0257</t>
  </si>
  <si>
    <t>HN0356</t>
  </si>
  <si>
    <t>HN0235</t>
  </si>
  <si>
    <t>HCM0118</t>
  </si>
  <si>
    <t>DN0051</t>
  </si>
  <si>
    <t>HN0381</t>
  </si>
  <si>
    <t>HN0253</t>
  </si>
  <si>
    <t>HN0370</t>
  </si>
  <si>
    <t>HCM0029</t>
  </si>
  <si>
    <t>DN0059</t>
  </si>
  <si>
    <t>HN0224</t>
  </si>
  <si>
    <t>HN0079</t>
  </si>
  <si>
    <t>CTV002</t>
  </si>
  <si>
    <t>HN0166</t>
  </si>
  <si>
    <t>HCM0133</t>
  </si>
  <si>
    <t>LS0007</t>
  </si>
  <si>
    <t>HCM0078</t>
  </si>
  <si>
    <t>HN0384</t>
  </si>
  <si>
    <t>CTV004</t>
  </si>
  <si>
    <t>HN0140</t>
  </si>
  <si>
    <t>HCM0135</t>
  </si>
  <si>
    <t>DN0041</t>
  </si>
  <si>
    <t>HN0205</t>
  </si>
  <si>
    <t>HN0276</t>
  </si>
  <si>
    <t>HN0366</t>
  </si>
  <si>
    <t>HN0313</t>
  </si>
  <si>
    <t>DN0062</t>
  </si>
  <si>
    <t>HN0408</t>
  </si>
  <si>
    <t>HCM0151</t>
  </si>
  <si>
    <t>HCM0083</t>
  </si>
  <si>
    <t>HCM0086</t>
  </si>
  <si>
    <t>DN0032</t>
  </si>
  <si>
    <t>HN0212</t>
  </si>
  <si>
    <t>HCM0107</t>
  </si>
  <si>
    <t>HN0182</t>
  </si>
  <si>
    <t>HN0190</t>
  </si>
  <si>
    <t>HCM0109</t>
  </si>
  <si>
    <t>HN0039</t>
  </si>
  <si>
    <t>HN0118</t>
  </si>
  <si>
    <t>HN0176</t>
  </si>
  <si>
    <t>HN0217</t>
  </si>
  <si>
    <t>HN0219</t>
  </si>
  <si>
    <t>HN0227</t>
  </si>
  <si>
    <t>HN0320</t>
  </si>
  <si>
    <t>HN0319</t>
  </si>
  <si>
    <t>HN0336</t>
  </si>
  <si>
    <t>HN0344</t>
  </si>
  <si>
    <t>HN0389</t>
  </si>
  <si>
    <t>HN0254</t>
  </si>
  <si>
    <t>DN0066</t>
  </si>
  <si>
    <t>HN0412</t>
  </si>
  <si>
    <t>DN0052</t>
  </si>
  <si>
    <t>HN0415</t>
  </si>
  <si>
    <t>HN0144</t>
  </si>
  <si>
    <t>HN0287</t>
  </si>
  <si>
    <t>HN0195</t>
  </si>
  <si>
    <t>HN0420</t>
  </si>
  <si>
    <t>HCM0004</t>
  </si>
  <si>
    <t>HCM0030</t>
  </si>
  <si>
    <t>HCM0070</t>
  </si>
  <si>
    <t>DN0046</t>
  </si>
  <si>
    <t>HN0196</t>
  </si>
  <si>
    <t>HN0172</t>
  </si>
  <si>
    <t>HN0120</t>
  </si>
  <si>
    <t>HCM0156</t>
  </si>
  <si>
    <t>HCM0021</t>
  </si>
  <si>
    <t>HN0328</t>
  </si>
  <si>
    <t>HCM0082</t>
  </si>
  <si>
    <t>HN0398</t>
  </si>
  <si>
    <t>HCM0065</t>
  </si>
  <si>
    <t>HN0005</t>
  </si>
  <si>
    <t>HN0020</t>
  </si>
  <si>
    <t>HN0357</t>
  </si>
  <si>
    <t>HCM0165</t>
  </si>
  <si>
    <t>HCM0166</t>
  </si>
  <si>
    <t>HN0077</t>
  </si>
  <si>
    <t>HN0406</t>
  </si>
  <si>
    <t>HCM0169</t>
  </si>
  <si>
    <t>HCM0121</t>
  </si>
  <si>
    <t>HCM0120</t>
  </si>
  <si>
    <t>HN0241</t>
  </si>
  <si>
    <t>HN0129</t>
  </si>
  <si>
    <t>HN0283</t>
  </si>
  <si>
    <t>DN0037</t>
  </si>
  <si>
    <t>DN0010</t>
  </si>
  <si>
    <t>HN0282</t>
  </si>
  <si>
    <t>HN0432</t>
  </si>
  <si>
    <t>DN0040</t>
  </si>
  <si>
    <t>HN0240</t>
  </si>
  <si>
    <t>HN0376</t>
  </si>
  <si>
    <t>HN0434</t>
  </si>
  <si>
    <t>HN0239</t>
  </si>
  <si>
    <t>HCM0114</t>
  </si>
  <si>
    <t>HCM0152</t>
  </si>
  <si>
    <t>HN0110</t>
  </si>
  <si>
    <t>HN0135</t>
  </si>
  <si>
    <t>HN0185</t>
  </si>
  <si>
    <t>HN0096</t>
  </si>
  <si>
    <t>HN0158</t>
  </si>
  <si>
    <t>HN0180</t>
  </si>
  <si>
    <t>HN0277</t>
  </si>
  <si>
    <t>HN0181</t>
  </si>
  <si>
    <t>HN0243</t>
  </si>
  <si>
    <t>HCM0085</t>
  </si>
  <si>
    <t>HCM0096</t>
  </si>
  <si>
    <t>HCM0089</t>
  </si>
  <si>
    <t>HCM0093</t>
  </si>
  <si>
    <t>HCM0095</t>
  </si>
  <si>
    <t>HCM0099</t>
  </si>
  <si>
    <t>HCM0102</t>
  </si>
  <si>
    <t>HN0304</t>
  </si>
  <si>
    <t>HN0307</t>
  </si>
  <si>
    <t>HN0333</t>
  </si>
  <si>
    <t>HN0332</t>
  </si>
  <si>
    <t>HN0334</t>
  </si>
  <si>
    <t>HN0392</t>
  </si>
  <si>
    <t>HN0393</t>
  </si>
  <si>
    <t>HCM0136</t>
  </si>
  <si>
    <t>HCM0139</t>
  </si>
  <si>
    <t>DN0048</t>
  </si>
  <si>
    <t>DN0060</t>
  </si>
  <si>
    <t>HCM0106</t>
  </si>
  <si>
    <t>HCM0080</t>
  </si>
  <si>
    <t>HCM0022</t>
  </si>
  <si>
    <t>HN0301</t>
  </si>
  <si>
    <t>HN0302</t>
  </si>
  <si>
    <t>HN0274</t>
  </si>
  <si>
    <t>HN0242</t>
  </si>
  <si>
    <t>HN0159</t>
  </si>
  <si>
    <t>HN0256</t>
  </si>
  <si>
    <t>HCM0013</t>
  </si>
  <si>
    <t>DN0067</t>
  </si>
  <si>
    <t>DN0047</t>
  </si>
  <si>
    <t>DN0034</t>
  </si>
  <si>
    <t>HCM0059</t>
  </si>
  <si>
    <t>HCM0053</t>
  </si>
  <si>
    <t>HCM0111</t>
  </si>
  <si>
    <t>HCM0091</t>
  </si>
  <si>
    <t>HCM0076</t>
  </si>
  <si>
    <t>HCM0140</t>
  </si>
  <si>
    <t>HCM0079</t>
  </si>
  <si>
    <t>HCM0054</t>
  </si>
  <si>
    <t>HCM0060</t>
  </si>
  <si>
    <t>HCM0105</t>
  </si>
  <si>
    <t>HN0052</t>
  </si>
  <si>
    <t>HCM0160</t>
  </si>
  <si>
    <t>HCM0162</t>
  </si>
  <si>
    <t>HCM0171</t>
  </si>
  <si>
    <t>HN0359</t>
  </si>
  <si>
    <t>HCM0174</t>
  </si>
  <si>
    <t>HN0325</t>
  </si>
  <si>
    <t>HN0452</t>
  </si>
  <si>
    <t>HCM0063</t>
  </si>
  <si>
    <t>HN0299</t>
  </si>
  <si>
    <t>HN0374</t>
  </si>
  <si>
    <t>HN0455</t>
  </si>
  <si>
    <t>HCM0150</t>
  </si>
  <si>
    <t>HN0279</t>
  </si>
  <si>
    <t>HN0289</t>
  </si>
  <si>
    <t>HN0317</t>
  </si>
  <si>
    <t>HCM0145</t>
  </si>
  <si>
    <t>HCM0176</t>
  </si>
  <si>
    <t>DN0035</t>
  </si>
  <si>
    <t>HN0457</t>
  </si>
  <si>
    <t>HN0442</t>
  </si>
  <si>
    <t>CTV006</t>
  </si>
  <si>
    <t>HN0450</t>
  </si>
  <si>
    <t>HN0004</t>
  </si>
  <si>
    <t>HN0426</t>
  </si>
  <si>
    <t>HN0323</t>
  </si>
  <si>
    <t>HCM0149</t>
  </si>
  <si>
    <t>HN0463</t>
  </si>
  <si>
    <t>DN0023</t>
  </si>
  <si>
    <t>HN0454</t>
  </si>
  <si>
    <t>HN0377</t>
  </si>
  <si>
    <t>HN0350</t>
  </si>
  <si>
    <t>HN0175</t>
  </si>
  <si>
    <t>HN0383</t>
  </si>
  <si>
    <t>DN0014</t>
  </si>
  <si>
    <t>HN0134</t>
  </si>
  <si>
    <t>DN0055</t>
  </si>
  <si>
    <t>HCM0128</t>
  </si>
  <si>
    <t>HN0419</t>
  </si>
  <si>
    <t>HCM0126</t>
  </si>
  <si>
    <t>HN0278</t>
  </si>
  <si>
    <t>HCM0187</t>
  </si>
  <si>
    <t>HN0466</t>
  </si>
  <si>
    <t>HN0473</t>
  </si>
  <si>
    <t>HN0318</t>
  </si>
  <si>
    <t>HN0128</t>
  </si>
  <si>
    <t>HN0072</t>
  </si>
  <si>
    <t>HN0353</t>
  </si>
  <si>
    <t>HN0422</t>
  </si>
  <si>
    <t>HN0418</t>
  </si>
  <si>
    <t>DN0061</t>
  </si>
  <si>
    <t>HN0464</t>
  </si>
  <si>
    <t>DN0074</t>
  </si>
  <si>
    <t>DN0058</t>
  </si>
  <si>
    <t>HN0447</t>
  </si>
  <si>
    <t>HN0146</t>
  </si>
  <si>
    <t>HN0440</t>
  </si>
  <si>
    <t>HN0478</t>
  </si>
  <si>
    <t>DN0075</t>
  </si>
  <si>
    <t>HCM0188</t>
  </si>
  <si>
    <t>HCM0179</t>
  </si>
  <si>
    <t>HCM0175</t>
  </si>
  <si>
    <t>HN0400</t>
  </si>
  <si>
    <t>HN0364</t>
  </si>
  <si>
    <t>HN0399</t>
  </si>
  <si>
    <t>HN0050</t>
  </si>
  <si>
    <t>HN0471</t>
  </si>
  <si>
    <t>HN0477</t>
  </si>
  <si>
    <t>HN0482</t>
  </si>
  <si>
    <t>HN0093</t>
  </si>
  <si>
    <t>HN0453</t>
  </si>
  <si>
    <t>HN0192</t>
  </si>
  <si>
    <t>HN0470</t>
  </si>
  <si>
    <t>HN0431</t>
  </si>
  <si>
    <t>HN0445</t>
  </si>
  <si>
    <t>HN0475</t>
  </si>
  <si>
    <t>HN0017</t>
  </si>
  <si>
    <t>HCM0097</t>
  </si>
  <si>
    <t>HN0493</t>
  </si>
  <si>
    <t>HN0298</t>
  </si>
  <si>
    <t>HN0047</t>
  </si>
  <si>
    <t>DN0011</t>
  </si>
  <si>
    <t>HN0492</t>
  </si>
  <si>
    <t>HCM0164</t>
  </si>
  <si>
    <t>HN0165</t>
  </si>
  <si>
    <t>HCM0125</t>
  </si>
  <si>
    <t>CTV005</t>
  </si>
  <si>
    <t>HCM0170</t>
  </si>
  <si>
    <t>HN0179</t>
  </si>
  <si>
    <t>HN0485</t>
  </si>
  <si>
    <t>HN0488</t>
  </si>
  <si>
    <t>DN0050</t>
  </si>
  <si>
    <t>HN0226</t>
  </si>
  <si>
    <t>HCM0066</t>
  </si>
  <si>
    <t>HN0116</t>
  </si>
  <si>
    <t>HN0164</t>
  </si>
  <si>
    <t>HN0137</t>
  </si>
  <si>
    <t>HCM0016</t>
  </si>
  <si>
    <t>HN0352</t>
  </si>
  <si>
    <t>HN0413</t>
  </si>
  <si>
    <t>HN0435</t>
  </si>
  <si>
    <t>HCM0178</t>
  </si>
  <si>
    <t>HN0428</t>
  </si>
  <si>
    <t>DN0054</t>
  </si>
  <si>
    <t>HCM0158</t>
  </si>
  <si>
    <t>HN0468</t>
  </si>
  <si>
    <t>HCM0024</t>
  </si>
  <si>
    <t>HCM0182</t>
  </si>
  <si>
    <t>HN0343</t>
  </si>
  <si>
    <t>HN0218</t>
  </si>
  <si>
    <t>HN0251</t>
  </si>
  <si>
    <t>HCM0123</t>
  </si>
  <si>
    <t>HCM0199</t>
  </si>
  <si>
    <t>HN0154</t>
  </si>
  <si>
    <t>DN0072</t>
  </si>
  <si>
    <t>HN0479</t>
  </si>
  <si>
    <t>HCM0088</t>
  </si>
  <si>
    <t>HN0467</t>
  </si>
  <si>
    <t>HCM0039</t>
  </si>
  <si>
    <t>HN0035</t>
  </si>
  <si>
    <t>DN0079</t>
  </si>
  <si>
    <t>HN0340</t>
  </si>
  <si>
    <t>HN0423</t>
  </si>
  <si>
    <t>HCM0180</t>
  </si>
  <si>
    <t>HN0511</t>
  </si>
  <si>
    <t>HN0441</t>
  </si>
  <si>
    <t>DN0080</t>
  </si>
  <si>
    <t>HN0508</t>
  </si>
  <si>
    <t>HN0436</t>
  </si>
  <si>
    <t>HN0296</t>
  </si>
  <si>
    <t>HN0506</t>
  </si>
  <si>
    <t>HCM0195</t>
  </si>
  <si>
    <t>HCM0049</t>
  </si>
  <si>
    <t>DN0077</t>
  </si>
  <si>
    <t>HN0430</t>
  </si>
  <si>
    <t>HN0502</t>
  </si>
  <si>
    <t>HN0438</t>
  </si>
  <si>
    <t>HN0208</t>
  </si>
  <si>
    <t>HN0330</t>
  </si>
  <si>
    <t>HN0326</t>
  </si>
  <si>
    <t>HN0500</t>
  </si>
  <si>
    <t>HN0290</t>
  </si>
  <si>
    <t>HN0513</t>
  </si>
  <si>
    <t>HCM0202</t>
  </si>
  <si>
    <t>HN0171</t>
  </si>
  <si>
    <t>HCM0194</t>
  </si>
  <si>
    <t>HN0394</t>
  </si>
  <si>
    <t>HN0407</t>
  </si>
  <si>
    <t>HN0167</t>
  </si>
  <si>
    <t>HCM0048</t>
  </si>
  <si>
    <t>DN0081</t>
  </si>
  <si>
    <t>HCM0203</t>
  </si>
  <si>
    <t>HCM0192</t>
  </si>
  <si>
    <t>HN0156</t>
  </si>
  <si>
    <t>CTV012</t>
  </si>
  <si>
    <t xml:space="preserve">VP HCM </t>
  </si>
  <si>
    <t>Trung cấp</t>
  </si>
  <si>
    <t>Cao Đẳng</t>
  </si>
  <si>
    <t xml:space="preserve"> Cao Đẳng</t>
  </si>
  <si>
    <t>Kết hôn</t>
  </si>
  <si>
    <t>Sales rep</t>
  </si>
  <si>
    <t>Kho</t>
  </si>
  <si>
    <t>Lái xe</t>
  </si>
  <si>
    <t>Trade Rep</t>
  </si>
  <si>
    <t>CMI</t>
  </si>
  <si>
    <t>Activation</t>
  </si>
  <si>
    <t>Chuyên viên văn hóa</t>
  </si>
  <si>
    <t>Giám đốc nhân sự</t>
  </si>
  <si>
    <t>Trưởng phòng đào tạo</t>
  </si>
  <si>
    <t>Trưởng phòng HRBP</t>
  </si>
  <si>
    <t>Trưởng phòng HCNS</t>
  </si>
  <si>
    <t>Trưởng phòng IT</t>
  </si>
  <si>
    <t>Phó Giám đốc MKT</t>
  </si>
  <si>
    <t>Trưởng phòng Digital</t>
  </si>
  <si>
    <t>Chuyên viên Content</t>
  </si>
  <si>
    <t>Trưởng phòng thiết kế đồ họa</t>
  </si>
  <si>
    <t>Giám đốc MKT</t>
  </si>
  <si>
    <t>Apac</t>
  </si>
  <si>
    <t>Giám đốc</t>
  </si>
  <si>
    <t>Trưởng nhóm</t>
  </si>
  <si>
    <t>Trưởng phòng</t>
  </si>
  <si>
    <t>Nhân viên</t>
  </si>
  <si>
    <t>Phó phòng</t>
  </si>
  <si>
    <t xml:space="preserve">Chuyên viên </t>
  </si>
  <si>
    <t>Giám đốc SHA</t>
  </si>
  <si>
    <t>Nhân viên sale rep</t>
  </si>
  <si>
    <t>Giám đốc retail MKT</t>
  </si>
  <si>
    <t>Giám đốc miền Bắc</t>
  </si>
  <si>
    <t>Nhân sự</t>
  </si>
  <si>
    <t>06 tháng</t>
  </si>
  <si>
    <t>CTV020</t>
  </si>
  <si>
    <t>HCM0208</t>
  </si>
  <si>
    <t>Chuyên viên Kinh doanh</t>
  </si>
  <si>
    <t>Định hướng khác</t>
  </si>
  <si>
    <t>Lý do khác</t>
  </si>
  <si>
    <t>Lý do thôi việc</t>
  </si>
  <si>
    <t>Cắt giảm nhân sự</t>
  </si>
  <si>
    <t>Không phù hợp với cách làm việc của quản lý, tổ chức</t>
  </si>
  <si>
    <t>Không gia hạn hợp đồng</t>
  </si>
  <si>
    <t>Số NV</t>
  </si>
  <si>
    <t>Số tuyển mới</t>
  </si>
  <si>
    <t>SL tuyển mới</t>
  </si>
  <si>
    <t>SL nghỉ việc</t>
  </si>
  <si>
    <t>Tuổi TB</t>
  </si>
  <si>
    <t>Tỷ lệ NV</t>
  </si>
  <si>
    <t>Grand Total</t>
  </si>
  <si>
    <t>Chi nhánh</t>
  </si>
  <si>
    <t>Phòng ban</t>
  </si>
  <si>
    <t>25-34</t>
  </si>
  <si>
    <t>35-44</t>
  </si>
  <si>
    <t>45-55</t>
  </si>
  <si>
    <t>Dưới 25</t>
  </si>
  <si>
    <t>Dưới 6 tháng</t>
  </si>
  <si>
    <t>Từ 1 năm - dưới 3 năm</t>
  </si>
  <si>
    <t>Từ 3 năm - dưới 5 năm</t>
  </si>
  <si>
    <t>Từ 5 năm - dưới 10 năm</t>
  </si>
  <si>
    <t>Nhóm tuổi</t>
  </si>
  <si>
    <t>Thâm niên CT</t>
  </si>
  <si>
    <t>Từ 6 tháng - dưới 1 năm</t>
  </si>
  <si>
    <t>Chênh lệch NV</t>
  </si>
  <si>
    <t>Chênh lệch TM</t>
  </si>
  <si>
    <t>Chênh lệch nghỉ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</si>
</sst>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0.00%"/>
  </numFmts>
  <fonts count="5" x14ac:knownFonts="1">
    <font>
      <sz val="11"/>
      <color theme="1"/>
      <name val="Calibri"/>
      <family val="2"/>
      <scheme val="minor"/>
    </font>
    <font>
      <sz val="11"/>
      <color theme="1"/>
      <name val="Calibri"/>
      <family val="2"/>
      <charset val="163"/>
      <scheme val="minor"/>
    </font>
    <font>
      <sz val="11"/>
      <color rgb="FFFF0000"/>
      <name val="Calibri"/>
      <family val="2"/>
      <charset val="163"/>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hair">
        <color indexed="64"/>
      </top>
      <bottom/>
      <diagonal/>
    </border>
  </borders>
  <cellStyleXfs count="2">
    <xf numFmtId="0" fontId="0" fillId="0" borderId="0"/>
    <xf numFmtId="0" fontId="1" fillId="0" borderId="0"/>
  </cellStyleXfs>
  <cellXfs count="39">
    <xf numFmtId="0" fontId="0" fillId="0" borderId="0" xfId="0"/>
    <xf numFmtId="0" fontId="0" fillId="0" borderId="0" xfId="0" applyAlignment="1">
      <alignment horizontal="center"/>
    </xf>
    <xf numFmtId="0" fontId="0" fillId="0" borderId="0" xfId="0" applyAlignment="1">
      <alignment horizontal="left"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0" fillId="0" borderId="0" xfId="0" pivotButton="1"/>
    <xf numFmtId="165" fontId="0" fillId="0" borderId="0" xfId="0" applyNumberFormat="1"/>
    <xf numFmtId="1" fontId="0" fillId="0" borderId="0" xfId="0" applyNumberFormat="1"/>
    <xf numFmtId="0" fontId="0" fillId="0" borderId="0" xfId="0" applyAlignment="1">
      <alignment horizontal="left"/>
    </xf>
    <xf numFmtId="0" fontId="0" fillId="0" borderId="0" xfId="0" applyAlignment="1">
      <alignment horizontal="left" indent="1"/>
    </xf>
    <xf numFmtId="0" fontId="0" fillId="2" borderId="0" xfId="0" applyFill="1"/>
    <xf numFmtId="0" fontId="1" fillId="0" borderId="2" xfId="1" applyBorder="1" applyAlignment="1">
      <alignment horizontal="center" vertical="center"/>
    </xf>
    <xf numFmtId="14" fontId="1" fillId="0" borderId="1" xfId="1" applyNumberFormat="1" applyBorder="1" applyAlignment="1">
      <alignment vertical="center"/>
    </xf>
    <xf numFmtId="14" fontId="1" fillId="0" borderId="1" xfId="1" applyNumberFormat="1" applyBorder="1" applyAlignment="1">
      <alignment horizontal="left" vertical="center"/>
    </xf>
    <xf numFmtId="14" fontId="1" fillId="0" borderId="1" xfId="1" applyNumberFormat="1" applyBorder="1" applyAlignment="1">
      <alignment horizontal="left" vertical="center" wrapText="1"/>
    </xf>
    <xf numFmtId="0" fontId="1" fillId="0" borderId="1" xfId="1" applyBorder="1" applyAlignment="1">
      <alignment horizontal="center" vertical="center"/>
    </xf>
    <xf numFmtId="1" fontId="1" fillId="0" borderId="1" xfId="1" applyNumberFormat="1" applyBorder="1" applyAlignment="1">
      <alignment vertical="center"/>
    </xf>
    <xf numFmtId="14" fontId="1" fillId="0" borderId="5" xfId="1" applyNumberFormat="1" applyBorder="1" applyAlignment="1">
      <alignment horizontal="left" vertical="center"/>
    </xf>
    <xf numFmtId="0" fontId="0" fillId="0" borderId="0" xfId="0" applyAlignment="1">
      <alignment vertical="center"/>
    </xf>
    <xf numFmtId="0" fontId="1" fillId="0" borderId="1" xfId="1" applyBorder="1" applyAlignment="1">
      <alignment vertical="center"/>
    </xf>
    <xf numFmtId="0" fontId="1" fillId="0" borderId="1" xfId="1" applyBorder="1" applyAlignment="1">
      <alignment horizontal="left" vertical="center"/>
    </xf>
    <xf numFmtId="0" fontId="1" fillId="0" borderId="1" xfId="1" applyBorder="1" applyAlignment="1">
      <alignment horizontal="left" vertical="center" wrapText="1"/>
    </xf>
    <xf numFmtId="1" fontId="1" fillId="0" borderId="1" xfId="1" applyNumberFormat="1" applyBorder="1" applyAlignment="1">
      <alignment horizontal="left" vertical="center"/>
    </xf>
    <xf numFmtId="14" fontId="1" fillId="0" borderId="5" xfId="1" applyNumberFormat="1" applyBorder="1" applyAlignment="1">
      <alignment horizontal="center" vertical="center"/>
    </xf>
    <xf numFmtId="164" fontId="1" fillId="0" borderId="1" xfId="1" applyNumberFormat="1" applyBorder="1" applyAlignment="1">
      <alignment horizontal="left" vertical="center" wrapText="1"/>
    </xf>
    <xf numFmtId="14" fontId="1" fillId="0" borderId="1" xfId="1" applyNumberFormat="1" applyBorder="1" applyAlignment="1">
      <alignment horizontal="center" vertical="center"/>
    </xf>
    <xf numFmtId="14" fontId="1" fillId="0" borderId="3" xfId="1" applyNumberFormat="1" applyBorder="1" applyAlignment="1">
      <alignment vertical="center"/>
    </xf>
    <xf numFmtId="1" fontId="1" fillId="0" borderId="4" xfId="1" applyNumberFormat="1" applyBorder="1" applyAlignment="1">
      <alignment vertical="center"/>
    </xf>
    <xf numFmtId="14" fontId="3" fillId="0" borderId="1" xfId="1" applyNumberFormat="1" applyFont="1" applyBorder="1" applyAlignment="1">
      <alignment horizontal="left" vertical="center" wrapText="1"/>
    </xf>
    <xf numFmtId="14" fontId="2" fillId="0" borderId="1" xfId="1" applyNumberFormat="1" applyFont="1" applyBorder="1" applyAlignment="1">
      <alignment horizontal="left" vertical="center"/>
    </xf>
    <xf numFmtId="0" fontId="1" fillId="0" borderId="4" xfId="1" applyBorder="1" applyAlignment="1">
      <alignment vertical="center"/>
    </xf>
    <xf numFmtId="14" fontId="1" fillId="0" borderId="4" xfId="1" applyNumberFormat="1" applyBorder="1" applyAlignment="1">
      <alignment horizontal="left" vertical="center"/>
    </xf>
    <xf numFmtId="0" fontId="1" fillId="0" borderId="4" xfId="1" applyBorder="1" applyAlignment="1">
      <alignment horizontal="left" vertical="center"/>
    </xf>
    <xf numFmtId="0" fontId="1" fillId="0" borderId="4" xfId="1" applyBorder="1" applyAlignment="1">
      <alignment horizontal="left" vertical="center" wrapText="1"/>
    </xf>
    <xf numFmtId="0" fontId="1" fillId="0" borderId="4" xfId="1" applyBorder="1" applyAlignment="1">
      <alignment horizontal="center" vertical="center"/>
    </xf>
    <xf numFmtId="14" fontId="1" fillId="0" borderId="4" xfId="1" applyNumberFormat="1" applyBorder="1" applyAlignment="1">
      <alignment vertical="center"/>
    </xf>
    <xf numFmtId="14" fontId="1" fillId="0" borderId="9" xfId="1" applyNumberFormat="1" applyBorder="1" applyAlignment="1">
      <alignment horizontal="left" vertical="center"/>
    </xf>
    <xf numFmtId="0" fontId="0" fillId="0" borderId="0" xfId="0" applyNumberFormat="1"/>
  </cellXfs>
  <cellStyles count="2">
    <cellStyle name="Normal" xfId="0" builtinId="0"/>
    <cellStyle name="Normal 2" xfId="1" xr:uid="{332B277F-BF0B-4EBA-A3BC-D2C858C9B9E7}"/>
  </cellStyles>
  <dxfs count="31">
    <dxf>
      <numFmt numFmtId="1" formatCode="0"/>
    </dxf>
    <dxf>
      <numFmt numFmtId="1" formatCode="0"/>
    </dxf>
    <dxf>
      <numFmt numFmtId="1" formatCode="0"/>
    </dxf>
    <dxf>
      <numFmt numFmtId="1" formatCode="0"/>
    </dxf>
    <dxf>
      <numFmt numFmtId="19" formatCode="dd/mm/yyyy"/>
      <alignment horizontal="center" vertical="center" textRotation="0" wrapText="0" indent="0" justifyLastLine="0" shrinkToFit="0" readingOrder="0"/>
      <border diagonalUp="0" diagonalDown="0" outline="0">
        <left style="thin">
          <color indexed="64"/>
        </left>
        <right/>
        <top style="hair">
          <color indexed="64"/>
        </top>
        <bottom style="hair">
          <color indexed="64"/>
        </bottom>
      </border>
    </dxf>
    <dxf>
      <numFmt numFmtId="1" formatCode="0"/>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 formatCode="0"/>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numFmt numFmtId="1" formatCode="0"/>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numFmt numFmtId="19" formatCode="dd/mm/yyyy"/>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alignment vertical="center" textRotation="0" indent="0" justifyLastLine="0" shrinkToFit="0" readingOrder="0"/>
      <border diagonalUp="0" diagonalDown="0" outline="0">
        <left style="thin">
          <color indexed="64"/>
        </left>
        <right style="thin">
          <color indexed="64"/>
        </right>
        <top style="hair">
          <color indexed="64"/>
        </top>
        <bottom style="hair">
          <color indexed="64"/>
        </bottom>
      </border>
    </dxf>
    <dxf>
      <alignment horizontal="center" vertical="center" textRotation="0" wrapText="0" indent="0" justifyLastLine="0" shrinkToFit="0" readingOrder="0"/>
      <border diagonalUp="0" diagonalDown="0" outline="0">
        <left/>
        <right style="thin">
          <color indexed="64"/>
        </right>
        <top style="hair">
          <color indexed="64"/>
        </top>
        <bottom style="hair">
          <color indexed="64"/>
        </bottom>
      </border>
    </dxf>
    <dxf>
      <border outline="0">
        <top style="hair">
          <color indexed="64"/>
        </top>
      </border>
    </dxf>
    <dxf>
      <border outline="0">
        <left style="thin">
          <color indexed="64"/>
        </left>
        <right style="thin">
          <color indexed="64"/>
        </right>
        <top style="thin">
          <color indexed="64"/>
        </top>
        <bottom style="hair">
          <color indexed="64"/>
        </bottom>
      </border>
    </dxf>
    <dxf>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z val="9"/>
        <color rgb="FF00B0F0"/>
        <name val="Arial"/>
        <family val="2"/>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FBE8D06-C809-47BE-9B0D-FD7B315E68D5}">
      <tableStyleElement type="wholeTable" dxfId="30"/>
      <tableStyleElement type="headerRow" dxfId="29"/>
    </tableStyle>
  </tableStyles>
  <colors>
    <mruColors>
      <color rgb="FF63CAA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rgb="FF002060"/>
            <name val="Arial"/>
            <family val="2"/>
            <scheme val="none"/>
          </font>
          <fill>
            <patternFill patternType="solid">
              <fgColor theme="4"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1.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2.xml"/><Relationship Id="rId61" Type="http://schemas.openxmlformats.org/officeDocument/2006/relationships/customXml" Target="../customXml/item33.xml"/><Relationship Id="rId19" Type="http://schemas.microsoft.com/office/2007/relationships/slicerCache" Target="slicerCaches/slicerCache2.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5.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3.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7.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900" b="1" i="0" u="none" strike="noStrike" kern="1200" spc="0" baseline="0">
                <a:solidFill>
                  <a:srgbClr val="0070C0"/>
                </a:solidFill>
                <a:latin typeface="Corbel" panose="020B0503020204020204" pitchFamily="34" charset="0"/>
                <a:ea typeface="+mn-ea"/>
                <a:cs typeface="+mn-cs"/>
              </a:defRPr>
            </a:pPr>
            <a:r>
              <a:rPr lang="en-US" sz="900" b="1" i="0" u="none" strike="noStrike" kern="1200" spc="0" baseline="0">
                <a:solidFill>
                  <a:srgbClr val="0070C0"/>
                </a:solidFill>
                <a:latin typeface="Corbel" panose="020B0503020204020204" pitchFamily="34" charset="0"/>
                <a:ea typeface="+mn-ea"/>
                <a:cs typeface="+mn-cs"/>
              </a:rPr>
              <a:t>NHÓM TUỔI</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lumMod val="40000"/>
              <a:lumOff val="60000"/>
            </a:schemeClr>
          </a:solidFill>
          <a:ln w="25400">
            <a:solidFill>
              <a:schemeClr val="lt1"/>
            </a:solidFill>
          </a:ln>
          <a:effectLst/>
          <a:sp3d contourW="25400">
            <a:contourClr>
              <a:schemeClr val="lt1"/>
            </a:contourClr>
          </a:sp3d>
        </c:spPr>
      </c:pivotFmt>
      <c:pivotFmt>
        <c:idx val="16"/>
        <c:spPr>
          <a:solidFill>
            <a:srgbClr val="E63946"/>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19"/>
        <c:spPr>
          <a:solidFill>
            <a:srgbClr val="457B9D"/>
          </a:solidFill>
          <a:ln w="25400">
            <a:solidFill>
              <a:schemeClr val="lt1"/>
            </a:solidFill>
          </a:ln>
          <a:effectLst/>
          <a:sp3d contourW="25400">
            <a:contourClr>
              <a:schemeClr val="lt1"/>
            </a:contourClr>
          </a:sp3d>
        </c:spPr>
      </c:pivotFmt>
      <c:pivotFmt>
        <c:idx val="20"/>
        <c:spPr>
          <a:solidFill>
            <a:srgbClr val="A8DADC"/>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lumMod val="40000"/>
              <a:lumOff val="60000"/>
            </a:schemeClr>
          </a:solidFill>
          <a:ln w="25400">
            <a:solidFill>
              <a:schemeClr val="lt1"/>
            </a:solidFill>
          </a:ln>
          <a:effectLst/>
          <a:sp3d contourW="25400">
            <a:contourClr>
              <a:schemeClr val="lt1"/>
            </a:contourClr>
          </a:sp3d>
        </c:spPr>
      </c:pivotFmt>
      <c:pivotFmt>
        <c:idx val="23"/>
        <c:spPr>
          <a:solidFill>
            <a:srgbClr val="E63946"/>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26"/>
        <c:spPr>
          <a:solidFill>
            <a:srgbClr val="457B9D"/>
          </a:solidFill>
          <a:ln w="25400">
            <a:solidFill>
              <a:schemeClr val="lt1"/>
            </a:solidFill>
          </a:ln>
          <a:effectLst/>
          <a:sp3d contourW="25400">
            <a:contourClr>
              <a:schemeClr val="lt1"/>
            </a:contourClr>
          </a:sp3d>
        </c:spPr>
      </c:pivotFmt>
      <c:pivotFmt>
        <c:idx val="27"/>
        <c:spPr>
          <a:solidFill>
            <a:srgbClr val="A8DADC"/>
          </a:solidFill>
          <a:ln w="25400">
            <a:solidFill>
              <a:schemeClr val="lt1"/>
            </a:solidFill>
          </a:ln>
          <a:effectLst/>
          <a:sp3d contourW="25400">
            <a:contourClr>
              <a:schemeClr val="lt1"/>
            </a:contourClr>
          </a:sp3d>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lumMod val="40000"/>
              <a:lumOff val="60000"/>
            </a:schemeClr>
          </a:solidFill>
          <a:ln w="25400">
            <a:solidFill>
              <a:schemeClr val="lt1"/>
            </a:solidFill>
          </a:ln>
          <a:effectLst/>
          <a:sp3d contourW="25400">
            <a:contourClr>
              <a:schemeClr val="lt1"/>
            </a:contourClr>
          </a:sp3d>
        </c:spPr>
      </c:pivotFmt>
      <c:pivotFmt>
        <c:idx val="30"/>
        <c:spPr>
          <a:solidFill>
            <a:srgbClr val="E63946"/>
          </a:solidFill>
          <a:ln w="25400">
            <a:solidFill>
              <a:schemeClr val="lt1"/>
            </a:solidFill>
          </a:ln>
          <a:effectLst/>
          <a:sp3d contourW="25400">
            <a:contourClr>
              <a:schemeClr val="lt1"/>
            </a:contourClr>
          </a:sp3d>
        </c:spPr>
      </c:pivotFmt>
      <c:pivotFmt>
        <c:idx val="31"/>
        <c:spPr>
          <a:solidFill>
            <a:schemeClr val="accent3"/>
          </a:solidFill>
          <a:ln w="25400">
            <a:solidFill>
              <a:schemeClr val="lt1"/>
            </a:solidFill>
          </a:ln>
          <a:effectLst/>
          <a:sp3d contourW="25400">
            <a:contourClr>
              <a:schemeClr val="lt1"/>
            </a:contourClr>
          </a:sp3d>
        </c:spPr>
      </c:pivotFmt>
      <c:pivotFmt>
        <c:idx val="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33"/>
        <c:spPr>
          <a:solidFill>
            <a:srgbClr val="457B9D"/>
          </a:solidFill>
          <a:ln w="25400">
            <a:solidFill>
              <a:schemeClr val="lt1"/>
            </a:solidFill>
          </a:ln>
          <a:effectLst/>
          <a:sp3d contourW="25400">
            <a:contourClr>
              <a:schemeClr val="lt1"/>
            </a:contourClr>
          </a:sp3d>
        </c:spPr>
      </c:pivotFmt>
      <c:pivotFmt>
        <c:idx val="34"/>
        <c:spPr>
          <a:solidFill>
            <a:srgbClr val="A8DADC"/>
          </a:solidFill>
          <a:ln w="25400">
            <a:solidFill>
              <a:schemeClr val="lt1"/>
            </a:solidFill>
          </a:ln>
          <a:effectLst/>
          <a:sp3d contourW="25400">
            <a:contourClr>
              <a:schemeClr val="lt1"/>
            </a:contourClr>
          </a:sp3d>
        </c:spPr>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lumMod val="40000"/>
              <a:lumOff val="60000"/>
            </a:schemeClr>
          </a:solidFill>
          <a:ln w="25400">
            <a:solidFill>
              <a:schemeClr val="lt1"/>
            </a:solidFill>
          </a:ln>
          <a:effectLst/>
          <a:sp3d contourW="25400">
            <a:contourClr>
              <a:schemeClr val="lt1"/>
            </a:contourClr>
          </a:sp3d>
        </c:spPr>
      </c:pivotFmt>
      <c:pivotFmt>
        <c:idx val="37"/>
        <c:spPr>
          <a:solidFill>
            <a:srgbClr val="E63946"/>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0"/>
        <c:spPr>
          <a:solidFill>
            <a:srgbClr val="457B9D"/>
          </a:solidFill>
          <a:ln w="25400">
            <a:solidFill>
              <a:schemeClr val="lt1"/>
            </a:solidFill>
          </a:ln>
          <a:effectLst/>
          <a:sp3d contourW="25400">
            <a:contourClr>
              <a:schemeClr val="lt1"/>
            </a:contourClr>
          </a:sp3d>
        </c:spPr>
      </c:pivotFmt>
      <c:pivotFmt>
        <c:idx val="41"/>
        <c:spPr>
          <a:solidFill>
            <a:srgbClr val="A8DADC"/>
          </a:solidFill>
          <a:ln w="25400">
            <a:solidFill>
              <a:schemeClr val="lt1"/>
            </a:solidFill>
          </a:ln>
          <a:effectLst/>
          <a:sp3d contourW="25400">
            <a:contourClr>
              <a:schemeClr val="lt1"/>
            </a:contourClr>
          </a:sp3d>
        </c:spPr>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3"/>
        <c:spPr>
          <a:solidFill>
            <a:schemeClr val="accent1">
              <a:lumMod val="40000"/>
              <a:lumOff val="60000"/>
            </a:schemeClr>
          </a:solidFill>
          <a:ln w="25400">
            <a:solidFill>
              <a:schemeClr val="lt1"/>
            </a:solidFill>
          </a:ln>
          <a:effectLst/>
          <a:sp3d contourW="25400">
            <a:contourClr>
              <a:schemeClr val="lt1"/>
            </a:contourClr>
          </a:sp3d>
        </c:spPr>
      </c:pivotFmt>
      <c:pivotFmt>
        <c:idx val="44"/>
        <c:spPr>
          <a:solidFill>
            <a:srgbClr val="63CAAA"/>
          </a:solidFill>
          <a:ln w="25400">
            <a:solidFill>
              <a:schemeClr val="lt1"/>
            </a:solidFill>
          </a:ln>
          <a:effectLst/>
          <a:sp3d contourW="25400">
            <a:contourClr>
              <a:schemeClr val="lt1"/>
            </a:contourClr>
          </a:sp3d>
        </c:spPr>
      </c:pivotFmt>
      <c:pivotFmt>
        <c:idx val="45"/>
        <c:spPr>
          <a:solidFill>
            <a:srgbClr val="A5A5A5"/>
          </a:solidFill>
          <a:ln w="25400">
            <a:solidFill>
              <a:schemeClr val="lt1"/>
            </a:solidFill>
          </a:ln>
          <a:effectLst/>
          <a:sp3d contourW="25400">
            <a:contourClr>
              <a:schemeClr val="lt1"/>
            </a:contourClr>
          </a:sp3d>
        </c:spPr>
      </c:pivotFmt>
      <c:pivotFmt>
        <c:idx val="4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7"/>
        <c:spPr>
          <a:solidFill>
            <a:srgbClr val="457B9D"/>
          </a:solidFill>
          <a:ln w="25400">
            <a:solidFill>
              <a:schemeClr val="lt1"/>
            </a:solidFill>
          </a:ln>
          <a:effectLst/>
          <a:sp3d contourW="25400">
            <a:contourClr>
              <a:schemeClr val="lt1"/>
            </a:contourClr>
          </a:sp3d>
        </c:spPr>
      </c:pivotFmt>
      <c:pivotFmt>
        <c:idx val="48"/>
        <c:spPr>
          <a:solidFill>
            <a:srgbClr val="A8DADC"/>
          </a:solidFill>
          <a:ln w="25400">
            <a:solidFill>
              <a:schemeClr val="lt1"/>
            </a:solidFill>
          </a:ln>
          <a:effectLst/>
          <a:sp3d contourW="25400">
            <a:contourClr>
              <a:schemeClr val="lt1"/>
            </a:contourClr>
          </a:sp3d>
        </c:spPr>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0"/>
        <c:spPr>
          <a:solidFill>
            <a:schemeClr val="accent1">
              <a:lumMod val="40000"/>
              <a:lumOff val="60000"/>
            </a:schemeClr>
          </a:solidFill>
          <a:ln w="25400">
            <a:solidFill>
              <a:schemeClr val="lt1"/>
            </a:solidFill>
          </a:ln>
          <a:effectLst/>
          <a:sp3d contourW="25400">
            <a:contourClr>
              <a:schemeClr val="lt1"/>
            </a:contourClr>
          </a:sp3d>
        </c:spPr>
      </c:pivotFmt>
      <c:pivotFmt>
        <c:idx val="51"/>
        <c:spPr>
          <a:solidFill>
            <a:srgbClr val="63CAAA"/>
          </a:solidFill>
          <a:ln w="25400">
            <a:solidFill>
              <a:schemeClr val="lt1"/>
            </a:solidFill>
          </a:ln>
          <a:effectLst/>
          <a:sp3d contourW="25400">
            <a:contourClr>
              <a:schemeClr val="lt1"/>
            </a:contourClr>
          </a:sp3d>
        </c:spPr>
      </c:pivotFmt>
      <c:pivotFmt>
        <c:idx val="52"/>
        <c:spPr>
          <a:solidFill>
            <a:srgbClr val="A5A5A5"/>
          </a:solidFill>
          <a:ln w="25400">
            <a:solidFill>
              <a:schemeClr val="lt1"/>
            </a:solidFill>
          </a:ln>
          <a:effectLst/>
          <a:sp3d contourW="25400">
            <a:contourClr>
              <a:schemeClr val="lt1"/>
            </a:contourClr>
          </a:sp3d>
        </c:spPr>
      </c:pivotFmt>
      <c:pivotFmt>
        <c:idx val="53"/>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54"/>
        <c:spPr>
          <a:solidFill>
            <a:srgbClr val="457B9D"/>
          </a:solidFill>
          <a:ln w="25400">
            <a:solidFill>
              <a:schemeClr val="lt1"/>
            </a:solidFill>
          </a:ln>
          <a:effectLst/>
          <a:sp3d contourW="25400">
            <a:contourClr>
              <a:schemeClr val="lt1"/>
            </a:contourClr>
          </a:sp3d>
        </c:spPr>
      </c:pivotFmt>
      <c:pivotFmt>
        <c:idx val="55"/>
        <c:spPr>
          <a:solidFill>
            <a:srgbClr val="A8DADC"/>
          </a:solidFill>
          <a:ln w="25400">
            <a:solidFill>
              <a:schemeClr val="lt1"/>
            </a:solidFill>
          </a:ln>
          <a:effectLst/>
          <a:sp3d contourW="25400">
            <a:contourClr>
              <a:schemeClr val="lt1"/>
            </a:contourClr>
          </a:sp3d>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7"/>
        <c:spPr>
          <a:solidFill>
            <a:schemeClr val="accent1">
              <a:lumMod val="40000"/>
              <a:lumOff val="60000"/>
            </a:schemeClr>
          </a:solidFill>
          <a:ln w="25400">
            <a:solidFill>
              <a:schemeClr val="lt1"/>
            </a:solidFill>
          </a:ln>
          <a:effectLst/>
          <a:sp3d contourW="25400">
            <a:contourClr>
              <a:schemeClr val="lt1"/>
            </a:contourClr>
          </a:sp3d>
        </c:spPr>
      </c:pivotFmt>
      <c:pivotFmt>
        <c:idx val="58"/>
        <c:spPr>
          <a:solidFill>
            <a:srgbClr val="63CAAA"/>
          </a:solidFill>
          <a:ln w="25400">
            <a:solidFill>
              <a:schemeClr val="lt1"/>
            </a:solidFill>
          </a:ln>
          <a:effectLst/>
          <a:sp3d contourW="25400">
            <a:contourClr>
              <a:schemeClr val="lt1"/>
            </a:contourClr>
          </a:sp3d>
        </c:spPr>
      </c:pivotFmt>
      <c:pivotFmt>
        <c:idx val="59"/>
        <c:spPr>
          <a:solidFill>
            <a:srgbClr val="A5A5A5"/>
          </a:solidFill>
          <a:ln w="25400">
            <a:solidFill>
              <a:schemeClr val="lt1"/>
            </a:solidFill>
          </a:ln>
          <a:effectLst/>
          <a:sp3d contourW="25400">
            <a:contourClr>
              <a:schemeClr val="lt1"/>
            </a:contourClr>
          </a:sp3d>
        </c:spPr>
      </c:pivotFmt>
      <c:pivotFmt>
        <c:idx val="6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1"/>
        <c:spPr>
          <a:solidFill>
            <a:srgbClr val="457B9D"/>
          </a:solidFill>
          <a:ln w="25400">
            <a:solidFill>
              <a:schemeClr val="lt1"/>
            </a:solidFill>
          </a:ln>
          <a:effectLst/>
          <a:sp3d contourW="25400">
            <a:contourClr>
              <a:schemeClr val="lt1"/>
            </a:contourClr>
          </a:sp3d>
        </c:spPr>
      </c:pivotFmt>
      <c:pivotFmt>
        <c:idx val="6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3"/>
        <c:spPr>
          <a:solidFill>
            <a:schemeClr val="accent1">
              <a:lumMod val="40000"/>
              <a:lumOff val="60000"/>
            </a:schemeClr>
          </a:solidFill>
          <a:ln w="25400">
            <a:solidFill>
              <a:schemeClr val="lt1"/>
            </a:solidFill>
          </a:ln>
          <a:effectLst/>
          <a:sp3d contourW="25400">
            <a:contourClr>
              <a:schemeClr val="lt1"/>
            </a:contourClr>
          </a:sp3d>
        </c:spPr>
      </c:pivotFmt>
      <c:pivotFmt>
        <c:idx val="64"/>
        <c:spPr>
          <a:solidFill>
            <a:srgbClr val="63CAAA"/>
          </a:solidFill>
          <a:ln w="25400">
            <a:solidFill>
              <a:schemeClr val="lt1"/>
            </a:solidFill>
          </a:ln>
          <a:effectLst/>
          <a:sp3d contourW="25400">
            <a:contourClr>
              <a:schemeClr val="lt1"/>
            </a:contourClr>
          </a:sp3d>
        </c:spPr>
      </c:pivotFmt>
      <c:pivotFmt>
        <c:idx val="65"/>
        <c:spPr>
          <a:solidFill>
            <a:srgbClr val="A5A5A5"/>
          </a:solidFill>
          <a:ln w="25400">
            <a:solidFill>
              <a:schemeClr val="lt1"/>
            </a:solidFill>
          </a:ln>
          <a:effectLst/>
          <a:sp3d contourW="25400">
            <a:contourClr>
              <a:schemeClr val="lt1"/>
            </a:contourClr>
          </a:sp3d>
        </c:spPr>
      </c:pivotFmt>
      <c:pivotFmt>
        <c:idx val="6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7"/>
        <c:spPr>
          <a:solidFill>
            <a:srgbClr val="457B9D"/>
          </a:solidFill>
          <a:ln w="25400">
            <a:solidFill>
              <a:schemeClr val="lt1"/>
            </a:solidFill>
          </a:ln>
          <a:effectLst/>
          <a:sp3d contourW="25400">
            <a:contourClr>
              <a:schemeClr val="lt1"/>
            </a:contourClr>
          </a:sp3d>
        </c:spPr>
      </c:pivotFmt>
      <c:pivotFmt>
        <c:idx val="6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lumMod val="40000"/>
              <a:lumOff val="60000"/>
            </a:schemeClr>
          </a:solidFill>
          <a:ln w="25400">
            <a:solidFill>
              <a:schemeClr val="lt1"/>
            </a:solidFill>
          </a:ln>
          <a:effectLst/>
          <a:sp3d contourW="25400">
            <a:contourClr>
              <a:schemeClr val="lt1"/>
            </a:contourClr>
          </a:sp3d>
        </c:spPr>
      </c:pivotFmt>
      <c:pivotFmt>
        <c:idx val="70"/>
        <c:spPr>
          <a:solidFill>
            <a:srgbClr val="63CAAA"/>
          </a:solidFill>
          <a:ln w="25400">
            <a:solidFill>
              <a:schemeClr val="lt1"/>
            </a:solidFill>
          </a:ln>
          <a:effectLst/>
          <a:sp3d contourW="25400">
            <a:contourClr>
              <a:schemeClr val="lt1"/>
            </a:contourClr>
          </a:sp3d>
        </c:spPr>
      </c:pivotFmt>
      <c:pivotFmt>
        <c:idx val="71"/>
        <c:spPr>
          <a:solidFill>
            <a:srgbClr val="A5A5A5"/>
          </a:solidFill>
          <a:ln w="25400">
            <a:solidFill>
              <a:schemeClr val="lt1"/>
            </a:solidFill>
          </a:ln>
          <a:effectLst/>
          <a:sp3d contourW="25400">
            <a:contourClr>
              <a:schemeClr val="lt1"/>
            </a:contourClr>
          </a:sp3d>
        </c:spPr>
      </c:pivotFmt>
      <c:pivotFmt>
        <c:idx val="7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3"/>
        <c:spPr>
          <a:solidFill>
            <a:srgbClr val="457B9D"/>
          </a:solidFill>
          <a:ln w="25400">
            <a:solidFill>
              <a:schemeClr val="lt1"/>
            </a:solidFill>
          </a:ln>
          <a:effectLst/>
          <a:sp3d contourW="25400">
            <a:contourClr>
              <a:schemeClr val="lt1"/>
            </a:contourClr>
          </a:sp3d>
        </c:spPr>
      </c:pivotFmt>
      <c:pivotFmt>
        <c:idx val="7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lumMod val="40000"/>
              <a:lumOff val="60000"/>
            </a:schemeClr>
          </a:solidFill>
          <a:ln w="25400">
            <a:solidFill>
              <a:schemeClr val="lt1"/>
            </a:solidFill>
          </a:ln>
          <a:effectLst/>
          <a:sp3d contourW="25400">
            <a:contourClr>
              <a:schemeClr val="lt1"/>
            </a:contourClr>
          </a:sp3d>
        </c:spPr>
      </c:pivotFmt>
      <c:pivotFmt>
        <c:idx val="76"/>
        <c:spPr>
          <a:solidFill>
            <a:srgbClr val="63CAAA"/>
          </a:solidFill>
          <a:ln w="25400">
            <a:solidFill>
              <a:schemeClr val="lt1"/>
            </a:solidFill>
          </a:ln>
          <a:effectLst/>
          <a:sp3d contourW="25400">
            <a:contourClr>
              <a:schemeClr val="lt1"/>
            </a:contourClr>
          </a:sp3d>
        </c:spPr>
      </c:pivotFmt>
      <c:pivotFmt>
        <c:idx val="77"/>
        <c:spPr>
          <a:solidFill>
            <a:srgbClr val="A5A5A5"/>
          </a:solidFill>
          <a:ln w="25400">
            <a:solidFill>
              <a:schemeClr val="lt1"/>
            </a:solidFill>
          </a:ln>
          <a:effectLst/>
          <a:sp3d contourW="25400">
            <a:contourClr>
              <a:schemeClr val="lt1"/>
            </a:contourClr>
          </a:sp3d>
        </c:spPr>
      </c:pivotFmt>
      <c:pivotFmt>
        <c:idx val="7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9"/>
        <c:spPr>
          <a:solidFill>
            <a:srgbClr val="457B9D"/>
          </a:solidFill>
          <a:ln w="25400">
            <a:solidFill>
              <a:schemeClr val="lt1"/>
            </a:solidFill>
          </a:ln>
          <a:effectLst/>
          <a:sp3d contourW="25400">
            <a:contourClr>
              <a:schemeClr val="lt1"/>
            </a:contourClr>
          </a:sp3d>
        </c:spPr>
      </c:pivotFmt>
      <c:pivotFmt>
        <c:idx val="8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lumMod val="40000"/>
              <a:lumOff val="60000"/>
            </a:schemeClr>
          </a:solidFill>
          <a:ln w="25400">
            <a:solidFill>
              <a:schemeClr val="lt1"/>
            </a:solidFill>
          </a:ln>
          <a:effectLst/>
          <a:sp3d contourW="25400">
            <a:contourClr>
              <a:schemeClr val="lt1"/>
            </a:contourClr>
          </a:sp3d>
        </c:spPr>
      </c:pivotFmt>
      <c:pivotFmt>
        <c:idx val="82"/>
        <c:spPr>
          <a:solidFill>
            <a:srgbClr val="63CAAA"/>
          </a:solidFill>
          <a:ln w="25400">
            <a:solidFill>
              <a:schemeClr val="lt1"/>
            </a:solidFill>
          </a:ln>
          <a:effectLst/>
          <a:sp3d contourW="25400">
            <a:contourClr>
              <a:schemeClr val="lt1"/>
            </a:contourClr>
          </a:sp3d>
        </c:spPr>
      </c:pivotFmt>
      <c:pivotFmt>
        <c:idx val="83"/>
        <c:spPr>
          <a:solidFill>
            <a:srgbClr val="A5A5A5"/>
          </a:solidFill>
          <a:ln w="25400">
            <a:solidFill>
              <a:schemeClr val="lt1"/>
            </a:solidFill>
          </a:ln>
          <a:effectLst/>
          <a:sp3d contourW="25400">
            <a:contourClr>
              <a:schemeClr val="lt1"/>
            </a:contourClr>
          </a:sp3d>
        </c:spPr>
      </c:pivotFmt>
      <c:pivotFmt>
        <c:idx val="8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85"/>
        <c:spPr>
          <a:solidFill>
            <a:srgbClr val="457B9D"/>
          </a:solidFill>
          <a:ln w="25400">
            <a:solidFill>
              <a:schemeClr val="lt1"/>
            </a:solidFill>
          </a:ln>
          <a:effectLst/>
          <a:sp3d contourW="25400">
            <a:contourClr>
              <a:schemeClr val="lt1"/>
            </a:contourClr>
          </a:sp3d>
        </c:spPr>
      </c:pivotFmt>
      <c:pivotFmt>
        <c:idx val="8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lumMod val="40000"/>
              <a:lumOff val="60000"/>
            </a:schemeClr>
          </a:solidFill>
          <a:ln w="25400">
            <a:solidFill>
              <a:schemeClr val="lt1"/>
            </a:solidFill>
          </a:ln>
          <a:effectLst/>
          <a:sp3d contourW="25400">
            <a:contourClr>
              <a:schemeClr val="lt1"/>
            </a:contourClr>
          </a:sp3d>
        </c:spPr>
      </c:pivotFmt>
      <c:pivotFmt>
        <c:idx val="88"/>
        <c:spPr>
          <a:solidFill>
            <a:srgbClr val="63CAAA"/>
          </a:solidFill>
          <a:ln w="25400">
            <a:solidFill>
              <a:schemeClr val="lt1"/>
            </a:solidFill>
          </a:ln>
          <a:effectLst/>
          <a:sp3d contourW="25400">
            <a:contourClr>
              <a:schemeClr val="lt1"/>
            </a:contourClr>
          </a:sp3d>
        </c:spPr>
      </c:pivotFmt>
      <c:pivotFmt>
        <c:idx val="89"/>
        <c:spPr>
          <a:solidFill>
            <a:srgbClr val="A5A5A5"/>
          </a:solidFill>
          <a:ln w="25400">
            <a:solidFill>
              <a:schemeClr val="lt1"/>
            </a:solidFill>
          </a:ln>
          <a:effectLst/>
          <a:sp3d contourW="25400">
            <a:contourClr>
              <a:schemeClr val="lt1"/>
            </a:contourClr>
          </a:sp3d>
        </c:spPr>
      </c:pivotFmt>
      <c:pivotFmt>
        <c:idx val="9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1"/>
        <c:spPr>
          <a:solidFill>
            <a:srgbClr val="457B9D"/>
          </a:solidFill>
          <a:ln w="25400">
            <a:solidFill>
              <a:schemeClr val="lt1"/>
            </a:solidFill>
          </a:ln>
          <a:effectLst/>
          <a:sp3d contourW="25400">
            <a:contourClr>
              <a:schemeClr val="lt1"/>
            </a:contourClr>
          </a:sp3d>
        </c:spPr>
      </c:pivotFmt>
      <c:pivotFmt>
        <c:idx val="9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3"/>
        <c:spPr>
          <a:solidFill>
            <a:schemeClr val="accent1">
              <a:lumMod val="40000"/>
              <a:lumOff val="60000"/>
            </a:schemeClr>
          </a:solidFill>
          <a:ln w="25400">
            <a:solidFill>
              <a:schemeClr val="lt1"/>
            </a:solidFill>
          </a:ln>
          <a:effectLst/>
          <a:sp3d contourW="25400">
            <a:contourClr>
              <a:schemeClr val="lt1"/>
            </a:contourClr>
          </a:sp3d>
        </c:spPr>
      </c:pivotFmt>
      <c:pivotFmt>
        <c:idx val="94"/>
        <c:spPr>
          <a:solidFill>
            <a:srgbClr val="63CAAA"/>
          </a:solidFill>
          <a:ln w="25400">
            <a:solidFill>
              <a:schemeClr val="lt1"/>
            </a:solidFill>
          </a:ln>
          <a:effectLst/>
          <a:sp3d contourW="25400">
            <a:contourClr>
              <a:schemeClr val="lt1"/>
            </a:contourClr>
          </a:sp3d>
        </c:spPr>
      </c:pivotFmt>
      <c:pivotFmt>
        <c:idx val="95"/>
        <c:spPr>
          <a:solidFill>
            <a:srgbClr val="A5A5A5"/>
          </a:solidFill>
          <a:ln w="25400">
            <a:solidFill>
              <a:schemeClr val="lt1"/>
            </a:solidFill>
          </a:ln>
          <a:effectLst/>
          <a:sp3d contourW="25400">
            <a:contourClr>
              <a:schemeClr val="lt1"/>
            </a:contourClr>
          </a:sp3d>
        </c:spPr>
      </c:pivotFmt>
      <c:pivotFmt>
        <c:idx val="9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7"/>
        <c:spPr>
          <a:solidFill>
            <a:srgbClr val="457B9D"/>
          </a:solidFill>
          <a:ln w="25400">
            <a:solidFill>
              <a:schemeClr val="lt1"/>
            </a:solidFill>
          </a:ln>
          <a:effectLst/>
          <a:sp3d contourW="25400">
            <a:contourClr>
              <a:schemeClr val="lt1"/>
            </a:contourClr>
          </a:sp3d>
        </c:spPr>
      </c:pivotFmt>
      <c:pivotFmt>
        <c:idx val="9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9"/>
        <c:spPr>
          <a:solidFill>
            <a:schemeClr val="accent1">
              <a:lumMod val="40000"/>
              <a:lumOff val="60000"/>
            </a:schemeClr>
          </a:solidFill>
          <a:ln w="25400">
            <a:solidFill>
              <a:schemeClr val="lt1"/>
            </a:solidFill>
          </a:ln>
          <a:effectLst/>
          <a:sp3d contourW="25400">
            <a:contourClr>
              <a:schemeClr val="lt1"/>
            </a:contourClr>
          </a:sp3d>
        </c:spPr>
      </c:pivotFmt>
      <c:pivotFmt>
        <c:idx val="100"/>
        <c:spPr>
          <a:solidFill>
            <a:srgbClr val="63CAAA"/>
          </a:solidFill>
          <a:ln w="25400">
            <a:solidFill>
              <a:schemeClr val="lt1"/>
            </a:solidFill>
          </a:ln>
          <a:effectLst/>
          <a:sp3d contourW="25400">
            <a:contourClr>
              <a:schemeClr val="lt1"/>
            </a:contourClr>
          </a:sp3d>
        </c:spPr>
      </c:pivotFmt>
      <c:pivotFmt>
        <c:idx val="101"/>
        <c:spPr>
          <a:solidFill>
            <a:srgbClr val="A5A5A5"/>
          </a:solidFill>
          <a:ln w="25400">
            <a:solidFill>
              <a:schemeClr val="lt1"/>
            </a:solidFill>
          </a:ln>
          <a:effectLst/>
          <a:sp3d contourW="25400">
            <a:contourClr>
              <a:schemeClr val="lt1"/>
            </a:contourClr>
          </a:sp3d>
        </c:spPr>
      </c:pivotFmt>
      <c:pivotFmt>
        <c:idx val="10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3"/>
        <c:spPr>
          <a:solidFill>
            <a:srgbClr val="457B9D"/>
          </a:solidFill>
          <a:ln w="25400">
            <a:solidFill>
              <a:schemeClr val="lt1"/>
            </a:solidFill>
          </a:ln>
          <a:effectLst/>
          <a:sp3d contourW="25400">
            <a:contourClr>
              <a:schemeClr val="lt1"/>
            </a:contourClr>
          </a:sp3d>
        </c:spPr>
      </c:pivotFmt>
      <c:pivotFmt>
        <c:idx val="10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1">
              <a:lumMod val="40000"/>
              <a:lumOff val="60000"/>
            </a:schemeClr>
          </a:solidFill>
          <a:ln w="25400">
            <a:solidFill>
              <a:schemeClr val="lt1"/>
            </a:solidFill>
          </a:ln>
          <a:effectLst/>
          <a:sp3d contourW="25400">
            <a:contourClr>
              <a:schemeClr val="lt1"/>
            </a:contourClr>
          </a:sp3d>
        </c:spPr>
      </c:pivotFmt>
      <c:pivotFmt>
        <c:idx val="106"/>
        <c:spPr>
          <a:solidFill>
            <a:srgbClr val="63CAAA"/>
          </a:solidFill>
          <a:ln w="25400">
            <a:solidFill>
              <a:schemeClr val="lt1"/>
            </a:solidFill>
          </a:ln>
          <a:effectLst/>
          <a:sp3d contourW="25400">
            <a:contourClr>
              <a:schemeClr val="lt1"/>
            </a:contourClr>
          </a:sp3d>
        </c:spPr>
      </c:pivotFmt>
      <c:pivotFmt>
        <c:idx val="107"/>
        <c:spPr>
          <a:solidFill>
            <a:srgbClr val="A5A5A5"/>
          </a:solidFill>
          <a:ln w="25400">
            <a:solidFill>
              <a:schemeClr val="lt1"/>
            </a:solidFill>
          </a:ln>
          <a:effectLst/>
          <a:sp3d contourW="25400">
            <a:contourClr>
              <a:schemeClr val="lt1"/>
            </a:contourClr>
          </a:sp3d>
        </c:spPr>
      </c:pivotFmt>
      <c:pivotFmt>
        <c:idx val="10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9"/>
        <c:spPr>
          <a:solidFill>
            <a:srgbClr val="457B9D"/>
          </a:solidFill>
          <a:ln w="25400">
            <a:solidFill>
              <a:schemeClr val="lt1"/>
            </a:solidFill>
          </a:ln>
          <a:effectLst/>
          <a:sp3d contourW="25400">
            <a:contourClr>
              <a:schemeClr val="lt1"/>
            </a:contourClr>
          </a:sp3d>
        </c:spPr>
      </c:pivotFmt>
      <c:pivotFmt>
        <c:idx val="1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1">
              <a:lumMod val="40000"/>
              <a:lumOff val="60000"/>
            </a:schemeClr>
          </a:solidFill>
          <a:ln w="25400">
            <a:solidFill>
              <a:schemeClr val="lt1"/>
            </a:solidFill>
          </a:ln>
          <a:effectLst/>
          <a:sp3d contourW="25400">
            <a:contourClr>
              <a:schemeClr val="lt1"/>
            </a:contourClr>
          </a:sp3d>
        </c:spPr>
      </c:pivotFmt>
      <c:pivotFmt>
        <c:idx val="112"/>
        <c:spPr>
          <a:solidFill>
            <a:srgbClr val="63CAAA"/>
          </a:solidFill>
          <a:ln w="25400">
            <a:solidFill>
              <a:schemeClr val="lt1"/>
            </a:solidFill>
          </a:ln>
          <a:effectLst/>
          <a:sp3d contourW="25400">
            <a:contourClr>
              <a:schemeClr val="lt1"/>
            </a:contourClr>
          </a:sp3d>
        </c:spPr>
      </c:pivotFmt>
      <c:pivotFmt>
        <c:idx val="113"/>
        <c:spPr>
          <a:solidFill>
            <a:srgbClr val="A5A5A5"/>
          </a:solidFill>
          <a:ln w="25400">
            <a:solidFill>
              <a:schemeClr val="lt1"/>
            </a:solidFill>
          </a:ln>
          <a:effectLst/>
          <a:sp3d contourW="25400">
            <a:contourClr>
              <a:schemeClr val="lt1"/>
            </a:contourClr>
          </a:sp3d>
        </c:spPr>
      </c:pivotFmt>
      <c:pivotFmt>
        <c:idx val="11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15"/>
        <c:spPr>
          <a:solidFill>
            <a:srgbClr val="457B9D"/>
          </a:solidFill>
          <a:ln w="25400">
            <a:solidFill>
              <a:schemeClr val="lt1"/>
            </a:solidFill>
          </a:ln>
          <a:effectLst/>
          <a:sp3d contourW="25400">
            <a:contourClr>
              <a:schemeClr val="lt1"/>
            </a:contourClr>
          </a:sp3d>
        </c:spPr>
      </c:pivotFmt>
      <c:pivotFmt>
        <c:idx val="1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7"/>
        <c:spPr>
          <a:solidFill>
            <a:schemeClr val="accent1">
              <a:lumMod val="40000"/>
              <a:lumOff val="60000"/>
            </a:schemeClr>
          </a:solidFill>
          <a:ln w="25400">
            <a:solidFill>
              <a:schemeClr val="lt1"/>
            </a:solidFill>
          </a:ln>
          <a:effectLst/>
          <a:sp3d contourW="25400">
            <a:contourClr>
              <a:schemeClr val="lt1"/>
            </a:contourClr>
          </a:sp3d>
        </c:spPr>
      </c:pivotFmt>
      <c:pivotFmt>
        <c:idx val="118"/>
        <c:spPr>
          <a:solidFill>
            <a:srgbClr val="63CAAA"/>
          </a:solidFill>
          <a:ln w="25400">
            <a:solidFill>
              <a:schemeClr val="lt1"/>
            </a:solidFill>
          </a:ln>
          <a:effectLst/>
          <a:sp3d contourW="25400">
            <a:contourClr>
              <a:schemeClr val="lt1"/>
            </a:contourClr>
          </a:sp3d>
        </c:spPr>
      </c:pivotFmt>
      <c:pivotFmt>
        <c:idx val="119"/>
        <c:spPr>
          <a:solidFill>
            <a:srgbClr val="A5A5A5"/>
          </a:solidFill>
          <a:ln w="25400">
            <a:solidFill>
              <a:schemeClr val="lt1"/>
            </a:solidFill>
          </a:ln>
          <a:effectLst/>
          <a:sp3d contourW="25400">
            <a:contourClr>
              <a:schemeClr val="lt1"/>
            </a:contourClr>
          </a:sp3d>
        </c:spPr>
      </c:pivotFmt>
      <c:pivotFmt>
        <c:idx val="12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1"/>
        <c:spPr>
          <a:solidFill>
            <a:srgbClr val="457B9D"/>
          </a:solidFill>
          <a:ln w="25400">
            <a:solidFill>
              <a:schemeClr val="lt1"/>
            </a:solidFill>
          </a:ln>
          <a:effectLst/>
          <a:sp3d contourW="25400">
            <a:contourClr>
              <a:schemeClr val="lt1"/>
            </a:contourClr>
          </a:sp3d>
        </c:spPr>
      </c:pivotFmt>
      <c:pivotFmt>
        <c:idx val="1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1">
              <a:lumMod val="40000"/>
              <a:lumOff val="60000"/>
            </a:schemeClr>
          </a:solidFill>
          <a:ln w="25400">
            <a:solidFill>
              <a:schemeClr val="lt1"/>
            </a:solidFill>
          </a:ln>
          <a:effectLst/>
          <a:sp3d contourW="25400">
            <a:contourClr>
              <a:schemeClr val="lt1"/>
            </a:contourClr>
          </a:sp3d>
        </c:spPr>
      </c:pivotFmt>
      <c:pivotFmt>
        <c:idx val="124"/>
        <c:spPr>
          <a:solidFill>
            <a:srgbClr val="63CAAA"/>
          </a:solidFill>
          <a:ln w="25400">
            <a:solidFill>
              <a:schemeClr val="lt1"/>
            </a:solidFill>
          </a:ln>
          <a:effectLst/>
          <a:sp3d contourW="25400">
            <a:contourClr>
              <a:schemeClr val="lt1"/>
            </a:contourClr>
          </a:sp3d>
        </c:spPr>
      </c:pivotFmt>
      <c:pivotFmt>
        <c:idx val="125"/>
        <c:spPr>
          <a:solidFill>
            <a:srgbClr val="A5A5A5"/>
          </a:solidFill>
          <a:ln w="25400">
            <a:solidFill>
              <a:schemeClr val="lt1"/>
            </a:solidFill>
          </a:ln>
          <a:effectLst/>
          <a:sp3d contourW="25400">
            <a:contourClr>
              <a:schemeClr val="lt1"/>
            </a:contourClr>
          </a:sp3d>
        </c:spPr>
      </c:pivotFmt>
      <c:pivotFmt>
        <c:idx val="12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7"/>
        <c:spPr>
          <a:solidFill>
            <a:srgbClr val="457B9D"/>
          </a:solidFill>
          <a:ln w="25400">
            <a:solidFill>
              <a:schemeClr val="lt1"/>
            </a:solidFill>
          </a:ln>
          <a:effectLst/>
          <a:sp3d contourW="25400">
            <a:contourClr>
              <a:schemeClr val="lt1"/>
            </a:contourClr>
          </a:sp3d>
        </c:spPr>
      </c:pivotFmt>
      <c:pivotFmt>
        <c:idx val="1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9"/>
        <c:spPr>
          <a:solidFill>
            <a:schemeClr val="accent1">
              <a:lumMod val="40000"/>
              <a:lumOff val="60000"/>
            </a:schemeClr>
          </a:solidFill>
          <a:ln w="25400">
            <a:solidFill>
              <a:schemeClr val="lt1"/>
            </a:solidFill>
          </a:ln>
          <a:effectLst/>
          <a:sp3d contourW="25400">
            <a:contourClr>
              <a:schemeClr val="lt1"/>
            </a:contourClr>
          </a:sp3d>
        </c:spPr>
      </c:pivotFmt>
      <c:pivotFmt>
        <c:idx val="130"/>
        <c:spPr>
          <a:solidFill>
            <a:srgbClr val="63CAAA"/>
          </a:solidFill>
          <a:ln w="25400">
            <a:solidFill>
              <a:schemeClr val="lt1"/>
            </a:solidFill>
          </a:ln>
          <a:effectLst/>
          <a:sp3d contourW="25400">
            <a:contourClr>
              <a:schemeClr val="lt1"/>
            </a:contourClr>
          </a:sp3d>
        </c:spPr>
      </c:pivotFmt>
      <c:pivotFmt>
        <c:idx val="131"/>
        <c:spPr>
          <a:solidFill>
            <a:srgbClr val="A5A5A5"/>
          </a:solidFill>
          <a:ln w="25400">
            <a:solidFill>
              <a:schemeClr val="lt1"/>
            </a:solidFill>
          </a:ln>
          <a:effectLst/>
          <a:sp3d contourW="25400">
            <a:contourClr>
              <a:schemeClr val="lt1"/>
            </a:contourClr>
          </a:sp3d>
        </c:spPr>
      </c:pivotFmt>
      <c:pivotFmt>
        <c:idx val="1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3"/>
        <c:spPr>
          <a:solidFill>
            <a:srgbClr val="457B9D"/>
          </a:solidFill>
          <a:ln w="25400">
            <a:solidFill>
              <a:schemeClr val="lt1"/>
            </a:solidFill>
          </a:ln>
          <a:effectLst/>
          <a:sp3d contourW="25400">
            <a:contourClr>
              <a:schemeClr val="lt1"/>
            </a:contourClr>
          </a:sp3d>
        </c:spPr>
      </c:pivotFmt>
      <c:pivotFmt>
        <c:idx val="13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5"/>
        <c:spPr>
          <a:solidFill>
            <a:schemeClr val="accent1">
              <a:lumMod val="40000"/>
              <a:lumOff val="60000"/>
            </a:schemeClr>
          </a:solidFill>
          <a:ln w="25400">
            <a:solidFill>
              <a:schemeClr val="lt1"/>
            </a:solidFill>
          </a:ln>
          <a:effectLst/>
          <a:sp3d contourW="25400">
            <a:contourClr>
              <a:schemeClr val="lt1"/>
            </a:contourClr>
          </a:sp3d>
        </c:spPr>
      </c:pivotFmt>
      <c:pivotFmt>
        <c:idx val="136"/>
        <c:spPr>
          <a:solidFill>
            <a:srgbClr val="63CAAA"/>
          </a:solidFill>
          <a:ln w="25400">
            <a:solidFill>
              <a:schemeClr val="lt1"/>
            </a:solidFill>
          </a:ln>
          <a:effectLst/>
          <a:sp3d contourW="25400">
            <a:contourClr>
              <a:schemeClr val="lt1"/>
            </a:contourClr>
          </a:sp3d>
        </c:spPr>
      </c:pivotFmt>
      <c:pivotFmt>
        <c:idx val="137"/>
        <c:spPr>
          <a:solidFill>
            <a:srgbClr val="A5A5A5"/>
          </a:solidFill>
          <a:ln w="25400">
            <a:solidFill>
              <a:schemeClr val="lt1"/>
            </a:solidFill>
          </a:ln>
          <a:effectLst/>
          <a:sp3d contourW="25400">
            <a:contourClr>
              <a:schemeClr val="lt1"/>
            </a:contourClr>
          </a:sp3d>
        </c:spPr>
      </c:pivotFmt>
      <c:pivotFmt>
        <c:idx val="13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9"/>
        <c:spPr>
          <a:solidFill>
            <a:srgbClr val="457B9D"/>
          </a:solidFill>
          <a:ln w="25400">
            <a:solidFill>
              <a:schemeClr val="lt1"/>
            </a:solidFill>
          </a:ln>
          <a:effectLst/>
          <a:sp3d contourW="25400">
            <a:contourClr>
              <a:schemeClr val="lt1"/>
            </a:contourClr>
          </a:sp3d>
        </c:spPr>
      </c:pivotFmt>
      <c:pivotFmt>
        <c:idx val="1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1"/>
        <c:spPr>
          <a:solidFill>
            <a:schemeClr val="accent1">
              <a:lumMod val="40000"/>
              <a:lumOff val="60000"/>
            </a:schemeClr>
          </a:solidFill>
          <a:ln w="25400">
            <a:solidFill>
              <a:schemeClr val="lt1"/>
            </a:solidFill>
          </a:ln>
          <a:effectLst/>
          <a:sp3d contourW="25400">
            <a:contourClr>
              <a:schemeClr val="lt1"/>
            </a:contourClr>
          </a:sp3d>
        </c:spPr>
      </c:pivotFmt>
      <c:pivotFmt>
        <c:idx val="142"/>
        <c:spPr>
          <a:solidFill>
            <a:srgbClr val="63CAAA"/>
          </a:solidFill>
          <a:ln w="25400">
            <a:solidFill>
              <a:schemeClr val="lt1"/>
            </a:solidFill>
          </a:ln>
          <a:effectLst/>
          <a:sp3d contourW="25400">
            <a:contourClr>
              <a:schemeClr val="lt1"/>
            </a:contourClr>
          </a:sp3d>
        </c:spPr>
      </c:pivotFmt>
      <c:pivotFmt>
        <c:idx val="143"/>
        <c:spPr>
          <a:solidFill>
            <a:srgbClr val="A5A5A5"/>
          </a:solidFill>
          <a:ln w="25400">
            <a:solidFill>
              <a:schemeClr val="lt1"/>
            </a:solidFill>
          </a:ln>
          <a:effectLst/>
          <a:sp3d contourW="25400">
            <a:contourClr>
              <a:schemeClr val="lt1"/>
            </a:contourClr>
          </a:sp3d>
        </c:spPr>
      </c:pivotFmt>
      <c:pivotFmt>
        <c:idx val="14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45"/>
        <c:spPr>
          <a:solidFill>
            <a:srgbClr val="457B9D"/>
          </a:solidFill>
          <a:ln w="25400">
            <a:solidFill>
              <a:schemeClr val="lt1"/>
            </a:solidFill>
          </a:ln>
          <a:effectLst/>
          <a:sp3d contourW="25400">
            <a:contourClr>
              <a:schemeClr val="lt1"/>
            </a:contourClr>
          </a:sp3d>
        </c:spPr>
      </c:pivotFmt>
      <c:pivotFmt>
        <c:idx val="1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7"/>
        <c:spPr>
          <a:solidFill>
            <a:schemeClr val="accent1">
              <a:lumMod val="40000"/>
              <a:lumOff val="60000"/>
            </a:schemeClr>
          </a:solidFill>
          <a:ln w="25400">
            <a:solidFill>
              <a:schemeClr val="lt1"/>
            </a:solidFill>
          </a:ln>
          <a:effectLst/>
          <a:sp3d contourW="25400">
            <a:contourClr>
              <a:schemeClr val="lt1"/>
            </a:contourClr>
          </a:sp3d>
        </c:spPr>
      </c:pivotFmt>
      <c:pivotFmt>
        <c:idx val="148"/>
        <c:spPr>
          <a:solidFill>
            <a:srgbClr val="63CAAA"/>
          </a:solidFill>
          <a:ln w="25400">
            <a:solidFill>
              <a:schemeClr val="lt1"/>
            </a:solidFill>
          </a:ln>
          <a:effectLst/>
          <a:sp3d contourW="25400">
            <a:contourClr>
              <a:schemeClr val="lt1"/>
            </a:contourClr>
          </a:sp3d>
        </c:spPr>
      </c:pivotFmt>
      <c:pivotFmt>
        <c:idx val="149"/>
        <c:spPr>
          <a:solidFill>
            <a:srgbClr val="A5A5A5"/>
          </a:solidFill>
          <a:ln w="25400">
            <a:solidFill>
              <a:schemeClr val="lt1"/>
            </a:solidFill>
          </a:ln>
          <a:effectLst/>
          <a:sp3d contourW="25400">
            <a:contourClr>
              <a:schemeClr val="lt1"/>
            </a:contourClr>
          </a:sp3d>
        </c:spPr>
      </c:pivotFmt>
      <c:pivotFmt>
        <c:idx val="15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1"/>
        <c:spPr>
          <a:solidFill>
            <a:srgbClr val="457B9D"/>
          </a:solidFill>
          <a:ln w="25400">
            <a:solidFill>
              <a:schemeClr val="lt1"/>
            </a:solidFill>
          </a:ln>
          <a:effectLst/>
          <a:sp3d contourW="25400">
            <a:contourClr>
              <a:schemeClr val="lt1"/>
            </a:contourClr>
          </a:sp3d>
        </c:spPr>
      </c:pivotFmt>
      <c:pivotFmt>
        <c:idx val="1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3"/>
        <c:spPr>
          <a:solidFill>
            <a:schemeClr val="accent1">
              <a:lumMod val="40000"/>
              <a:lumOff val="60000"/>
            </a:schemeClr>
          </a:solidFill>
          <a:ln w="25400">
            <a:solidFill>
              <a:schemeClr val="lt1"/>
            </a:solidFill>
          </a:ln>
          <a:effectLst/>
          <a:sp3d contourW="25400">
            <a:contourClr>
              <a:schemeClr val="lt1"/>
            </a:contourClr>
          </a:sp3d>
        </c:spPr>
      </c:pivotFmt>
      <c:pivotFmt>
        <c:idx val="154"/>
        <c:spPr>
          <a:solidFill>
            <a:srgbClr val="63CAAA"/>
          </a:solidFill>
          <a:ln w="25400">
            <a:solidFill>
              <a:schemeClr val="lt1"/>
            </a:solidFill>
          </a:ln>
          <a:effectLst/>
          <a:sp3d contourW="25400">
            <a:contourClr>
              <a:schemeClr val="lt1"/>
            </a:contourClr>
          </a:sp3d>
        </c:spPr>
      </c:pivotFmt>
      <c:pivotFmt>
        <c:idx val="155"/>
        <c:spPr>
          <a:solidFill>
            <a:srgbClr val="A5A5A5"/>
          </a:solidFill>
          <a:ln w="25400">
            <a:solidFill>
              <a:schemeClr val="lt1"/>
            </a:solidFill>
          </a:ln>
          <a:effectLst/>
          <a:sp3d contourW="25400">
            <a:contourClr>
              <a:schemeClr val="lt1"/>
            </a:contourClr>
          </a:sp3d>
        </c:spPr>
      </c:pivotFmt>
      <c:pivotFmt>
        <c:idx val="15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7"/>
        <c:spPr>
          <a:solidFill>
            <a:srgbClr val="457B9D"/>
          </a:solidFill>
          <a:ln w="25400">
            <a:solidFill>
              <a:schemeClr val="lt1"/>
            </a:solidFill>
          </a:ln>
          <a:effectLst/>
          <a:sp3d contourW="25400">
            <a:contourClr>
              <a:schemeClr val="lt1"/>
            </a:contourClr>
          </a:sp3d>
        </c:spPr>
      </c:pivotFmt>
      <c:pivotFmt>
        <c:idx val="15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9"/>
        <c:spPr>
          <a:solidFill>
            <a:schemeClr val="accent1">
              <a:lumMod val="40000"/>
              <a:lumOff val="60000"/>
            </a:schemeClr>
          </a:solidFill>
          <a:ln w="25400">
            <a:solidFill>
              <a:schemeClr val="lt1"/>
            </a:solidFill>
          </a:ln>
          <a:effectLst/>
          <a:sp3d contourW="25400">
            <a:contourClr>
              <a:schemeClr val="lt1"/>
            </a:contourClr>
          </a:sp3d>
        </c:spPr>
      </c:pivotFmt>
      <c:pivotFmt>
        <c:idx val="160"/>
        <c:spPr>
          <a:solidFill>
            <a:srgbClr val="63CAAA"/>
          </a:solidFill>
          <a:ln w="25400">
            <a:solidFill>
              <a:schemeClr val="lt1"/>
            </a:solidFill>
          </a:ln>
          <a:effectLst/>
          <a:sp3d contourW="25400">
            <a:contourClr>
              <a:schemeClr val="lt1"/>
            </a:contourClr>
          </a:sp3d>
        </c:spPr>
      </c:pivotFmt>
      <c:pivotFmt>
        <c:idx val="161"/>
        <c:spPr>
          <a:solidFill>
            <a:srgbClr val="A5A5A5"/>
          </a:solidFill>
          <a:ln w="25400">
            <a:solidFill>
              <a:schemeClr val="lt1"/>
            </a:solidFill>
          </a:ln>
          <a:effectLst/>
          <a:sp3d contourW="25400">
            <a:contourClr>
              <a:schemeClr val="lt1"/>
            </a:contourClr>
          </a:sp3d>
        </c:spPr>
      </c:pivotFmt>
      <c:pivotFmt>
        <c:idx val="16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3"/>
        <c:spPr>
          <a:solidFill>
            <a:srgbClr val="457B9D"/>
          </a:solidFill>
          <a:ln w="25400">
            <a:solidFill>
              <a:schemeClr val="lt1"/>
            </a:solidFill>
          </a:ln>
          <a:effectLst/>
          <a:sp3d contourW="25400">
            <a:contourClr>
              <a:schemeClr val="lt1"/>
            </a:contourClr>
          </a:sp3d>
        </c:spPr>
      </c:pivotFmt>
      <c:pivotFmt>
        <c:idx val="16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5"/>
        <c:spPr>
          <a:solidFill>
            <a:schemeClr val="accent1">
              <a:lumMod val="40000"/>
              <a:lumOff val="60000"/>
            </a:schemeClr>
          </a:solidFill>
          <a:ln w="25400">
            <a:solidFill>
              <a:schemeClr val="lt1"/>
            </a:solidFill>
          </a:ln>
          <a:effectLst/>
          <a:sp3d contourW="25400">
            <a:contourClr>
              <a:schemeClr val="lt1"/>
            </a:contourClr>
          </a:sp3d>
        </c:spPr>
      </c:pivotFmt>
      <c:pivotFmt>
        <c:idx val="166"/>
        <c:spPr>
          <a:solidFill>
            <a:srgbClr val="63CAAA"/>
          </a:solidFill>
          <a:ln w="25400">
            <a:solidFill>
              <a:schemeClr val="lt1"/>
            </a:solidFill>
          </a:ln>
          <a:effectLst/>
          <a:sp3d contourW="25400">
            <a:contourClr>
              <a:schemeClr val="lt1"/>
            </a:contourClr>
          </a:sp3d>
        </c:spPr>
      </c:pivotFmt>
      <c:pivotFmt>
        <c:idx val="167"/>
        <c:spPr>
          <a:solidFill>
            <a:srgbClr val="A5A5A5"/>
          </a:solidFill>
          <a:ln w="25400">
            <a:solidFill>
              <a:schemeClr val="lt1"/>
            </a:solidFill>
          </a:ln>
          <a:effectLst/>
          <a:sp3d contourW="25400">
            <a:contourClr>
              <a:schemeClr val="lt1"/>
            </a:contourClr>
          </a:sp3d>
        </c:spPr>
      </c:pivotFmt>
      <c:pivotFmt>
        <c:idx val="16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9"/>
        <c:spPr>
          <a:solidFill>
            <a:srgbClr val="457B9D"/>
          </a:solidFill>
          <a:ln w="25400">
            <a:solidFill>
              <a:schemeClr val="lt1"/>
            </a:solidFill>
          </a:ln>
          <a:effectLst/>
          <a:sp3d contourW="25400">
            <a:contourClr>
              <a:schemeClr val="lt1"/>
            </a:contourClr>
          </a:sp3d>
        </c:spPr>
      </c:pivotFmt>
    </c:pivotFmts>
    <c:plotArea>
      <c:layout>
        <c:manualLayout>
          <c:layoutTarget val="inner"/>
          <c:xMode val="edge"/>
          <c:yMode val="edge"/>
          <c:x val="0"/>
          <c:y val="0.12541666666666668"/>
          <c:w val="1"/>
          <c:h val="0.85606481481481478"/>
        </c:manualLayout>
      </c:layout>
      <c:doughnutChart>
        <c:varyColors val="1"/>
        <c:ser>
          <c:idx val="0"/>
          <c:order val="0"/>
          <c:tx>
            <c:v>Total</c:v>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9A-43BC-84AA-8D4184EF7CFC}"/>
              </c:ext>
            </c:extLst>
          </c:dPt>
          <c:dPt>
            <c:idx val="1"/>
            <c:bubble3D val="0"/>
            <c:spPr>
              <a:solidFill>
                <a:srgbClr val="63CAAA"/>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9A-43BC-84AA-8D4184EF7CFC}"/>
              </c:ext>
            </c:extLst>
          </c:dPt>
          <c:dPt>
            <c:idx val="2"/>
            <c:bubble3D val="0"/>
            <c:spPr>
              <a:solidFill>
                <a:srgbClr val="A5A5A5"/>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9A-43BC-84AA-8D4184EF7CFC}"/>
              </c:ext>
            </c:extLst>
          </c:dPt>
          <c:dPt>
            <c:idx val="3"/>
            <c:bubble3D val="0"/>
            <c:spPr>
              <a:solidFill>
                <a:srgbClr val="1D3557"/>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9A-43BC-84AA-8D4184EF7CFC}"/>
              </c:ext>
            </c:extLst>
          </c:dPt>
          <c:dPt>
            <c:idx val="4"/>
            <c:bubble3D val="0"/>
            <c:spPr>
              <a:solidFill>
                <a:srgbClr val="457B9D"/>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9A-43BC-84AA-8D4184EF7CFC}"/>
              </c:ext>
            </c:extLst>
          </c:dPt>
          <c:dLbls>
            <c:dLbl>
              <c:idx val="3"/>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 xmlns:c16="http://schemas.microsoft.com/office/drawing/2014/chart" uri="{C3380CC4-5D6E-409C-BE32-E72D297353CC}">
                  <c16:uniqueId val="{00000007-0E9A-43BC-84AA-8D4184EF7CFC}"/>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20-24</c:v>
              </c:pt>
              <c:pt idx="1">
                <c:v>25-29</c:v>
              </c:pt>
              <c:pt idx="2">
                <c:v>30-34</c:v>
              </c:pt>
              <c:pt idx="3">
                <c:v>35-44</c:v>
              </c:pt>
              <c:pt idx="4">
                <c:v>45-54</c:v>
              </c:pt>
              <c:pt idx="5">
                <c:v>55+</c:v>
              </c:pt>
            </c:strLit>
          </c:cat>
          <c:val>
            <c:numLit>
              <c:formatCode>General</c:formatCode>
              <c:ptCount val="6"/>
              <c:pt idx="0">
                <c:v>36</c:v>
              </c:pt>
              <c:pt idx="1">
                <c:v>205</c:v>
              </c:pt>
              <c:pt idx="2">
                <c:v>288</c:v>
              </c:pt>
              <c:pt idx="3">
                <c:v>157</c:v>
              </c:pt>
              <c:pt idx="4">
                <c:v>26</c:v>
              </c:pt>
              <c:pt idx="5">
                <c:v>1</c:v>
              </c:pt>
            </c:numLit>
          </c:val>
          <c:extLst>
            <c:ext xmlns:c16="http://schemas.microsoft.com/office/drawing/2014/chart" uri="{C3380CC4-5D6E-409C-BE32-E72D297353CC}">
              <c16:uniqueId val="{0000000A-0E9A-43BC-84AA-8D4184EF7CFC}"/>
            </c:ext>
          </c:extLst>
        </c:ser>
        <c:dLbls>
          <c:showLegendKey val="0"/>
          <c:showVal val="0"/>
          <c:showCatName val="0"/>
          <c:showSerName val="0"/>
          <c:showPercent val="0"/>
          <c:showBubbleSize val="0"/>
          <c:showLeaderLines val="1"/>
        </c:dLbls>
        <c:firstSliceAng val="0"/>
        <c:holeSize val="22"/>
      </c:doughnutChart>
      <c:spPr>
        <a:noFill/>
        <a:ln>
          <a:noFill/>
        </a:ln>
        <a:effectLst/>
        <a:sp3d/>
      </c:spPr>
    </c:plotArea>
    <c:plotVisOnly val="1"/>
    <c:dispBlanksAs val="gap"/>
    <c:showDLblsOverMax val="0"/>
    <c:extLst/>
  </c:chart>
  <c:spPr>
    <a:ln w="19050">
      <a:solidFill>
        <a:srgbClr val="002060"/>
      </a:solidFill>
    </a:ln>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tích!Chi nhánh</c:name>
    <c:fmtId val="6"/>
  </c:pivotSource>
  <c:chart>
    <c:title>
      <c:tx>
        <c:rich>
          <a:bodyPr rot="0" vert="horz"/>
          <a:lstStyle/>
          <a:p>
            <a:pPr algn="ctr" rtl="0">
              <a:defRPr/>
            </a:pPr>
            <a:r>
              <a:rPr lang="en-US" sz="900" b="1">
                <a:solidFill>
                  <a:srgbClr val="00B0F0"/>
                </a:solidFill>
              </a:rPr>
              <a:t>BIẾN ĐỘNG THEO CHI NHÁNH</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C46A"/>
          </a:solidFill>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1"/>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3"/>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4"/>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6"/>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7"/>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9"/>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0"/>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2"/>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5"/>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8"/>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1"/>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4"/>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5"/>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7"/>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51"/>
        <c:marker>
          <c:symbol val="none"/>
        </c:marker>
      </c:pivotFmt>
      <c:pivotFmt>
        <c:idx val="52"/>
        <c:marker>
          <c:spPr>
            <a:solidFill>
              <a:srgbClr val="FFFF00"/>
            </a:solidFill>
          </c:spPr>
        </c:marker>
        <c:dLbl>
          <c:idx val="0"/>
          <c:delete val="1"/>
          <c:extLst>
            <c:ext xmlns:c15="http://schemas.microsoft.com/office/drawing/2012/chart" uri="{CE6537A1-D6FC-4f65-9D91-7224C49458BB}"/>
          </c:extLst>
        </c:dLbl>
      </c:pivotFmt>
      <c:pivotFmt>
        <c:idx val="5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5"/>
        <c:marker>
          <c:spPr>
            <a:solidFill>
              <a:srgbClr val="FFFF00"/>
            </a:solidFill>
          </c:spPr>
        </c:marker>
        <c:dLbl>
          <c:idx val="0"/>
          <c:delete val="1"/>
          <c:extLst>
            <c:ext xmlns:c15="http://schemas.microsoft.com/office/drawing/2012/chart" uri="{CE6537A1-D6FC-4f65-9D91-7224C49458BB}"/>
          </c:extLst>
        </c:dLbl>
      </c:pivotFmt>
      <c:pivotFmt>
        <c:idx val="5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8"/>
        <c:marker>
          <c:spPr>
            <a:solidFill>
              <a:srgbClr val="FFFF00"/>
            </a:solidFill>
          </c:spPr>
        </c:marker>
        <c:dLbl>
          <c:idx val="0"/>
          <c:delete val="1"/>
          <c:extLst>
            <c:ext xmlns:c15="http://schemas.microsoft.com/office/drawing/2012/chart" uri="{CE6537A1-D6FC-4f65-9D91-7224C49458BB}"/>
          </c:extLst>
        </c:dLbl>
      </c:pivotFmt>
      <c:pivotFmt>
        <c:idx val="5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1"/>
        <c:marker>
          <c:spPr>
            <a:solidFill>
              <a:srgbClr val="FFFF00"/>
            </a:solidFill>
          </c:spPr>
        </c:marker>
        <c:dLbl>
          <c:idx val="0"/>
          <c:delete val="1"/>
          <c:extLst>
            <c:ext xmlns:c15="http://schemas.microsoft.com/office/drawing/2012/chart" uri="{CE6537A1-D6FC-4f65-9D91-7224C49458BB}"/>
          </c:extLst>
        </c:dLbl>
      </c:pivotFmt>
      <c:pivotFmt>
        <c:idx val="6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4"/>
        <c:marker>
          <c:spPr>
            <a:solidFill>
              <a:srgbClr val="FFFF00"/>
            </a:solidFill>
          </c:spPr>
        </c:marker>
        <c:dLbl>
          <c:idx val="0"/>
          <c:delete val="1"/>
          <c:extLst>
            <c:ext xmlns:c15="http://schemas.microsoft.com/office/drawing/2012/chart" uri="{CE6537A1-D6FC-4f65-9D91-7224C49458BB}"/>
          </c:extLst>
        </c:dLbl>
      </c:pivotFmt>
      <c:pivotFmt>
        <c:idx val="65"/>
        <c:spPr>
          <a:solidFill>
            <a:srgbClr val="63CAAA"/>
          </a:solidFill>
          <a:effectLst/>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68"/>
        <c:spPr>
          <a:solidFill>
            <a:srgbClr val="63CAAA"/>
          </a:solidFill>
          <a:effectLst/>
        </c:spPr>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1"/>
        <c:spPr>
          <a:solidFill>
            <a:srgbClr val="63CAAA"/>
          </a:solidFill>
          <a:effectLst/>
        </c:spPr>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0.35217486338797815"/>
          <c:y val="0.16158732999284181"/>
          <c:w val="0.6478251366120219"/>
          <c:h val="0.44253042233357193"/>
        </c:manualLayout>
      </c:layout>
      <c:barChart>
        <c:barDir val="col"/>
        <c:grouping val="clustered"/>
        <c:varyColors val="0"/>
        <c:ser>
          <c:idx val="1"/>
          <c:order val="1"/>
          <c:tx>
            <c:strRef>
              <c:f>'Phân tích'!$C$8</c:f>
              <c:strCache>
                <c:ptCount val="1"/>
                <c:pt idx="0">
                  <c:v>Số tuyển mới</c:v>
                </c:pt>
              </c:strCache>
            </c:strRef>
          </c:tx>
          <c:spPr>
            <a:solidFill>
              <a:srgbClr val="63CAAA"/>
            </a:solidFill>
            <a:effectLst/>
          </c:spPr>
          <c:invertIfNegative val="0"/>
          <c:cat>
            <c:strRef>
              <c:f>'Phân tích'!$A$9:$A$12</c:f>
              <c:strCache>
                <c:ptCount val="3"/>
                <c:pt idx="0">
                  <c:v>VP ĐN</c:v>
                </c:pt>
                <c:pt idx="1">
                  <c:v>VP HCM</c:v>
                </c:pt>
                <c:pt idx="2">
                  <c:v>VP HN</c:v>
                </c:pt>
              </c:strCache>
            </c:strRef>
          </c:cat>
          <c:val>
            <c:numRef>
              <c:f>'Phân tích'!$C$9:$C$12</c:f>
              <c:numCache>
                <c:formatCode>General</c:formatCode>
                <c:ptCount val="3"/>
                <c:pt idx="0">
                  <c:v>5</c:v>
                </c:pt>
                <c:pt idx="1">
                  <c:v>20</c:v>
                </c:pt>
                <c:pt idx="2">
                  <c:v>47</c:v>
                </c:pt>
              </c:numCache>
            </c:numRef>
          </c:val>
          <c:extLst>
            <c:ext xmlns:c16="http://schemas.microsoft.com/office/drawing/2014/chart" uri="{C3380CC4-5D6E-409C-BE32-E72D297353CC}">
              <c16:uniqueId val="{00000000-7C39-4721-820D-1D190B298214}"/>
            </c:ext>
          </c:extLst>
        </c:ser>
        <c:ser>
          <c:idx val="2"/>
          <c:order val="2"/>
          <c:tx>
            <c:strRef>
              <c:f>'Phân tích'!$D$8</c:f>
              <c:strCache>
                <c:ptCount val="1"/>
                <c:pt idx="0">
                  <c:v>SL nghỉ việc</c:v>
                </c:pt>
              </c:strCache>
            </c:strRef>
          </c:tx>
          <c:invertIfNegative val="0"/>
          <c:cat>
            <c:strRef>
              <c:f>'Phân tích'!$A$9:$A$12</c:f>
              <c:strCache>
                <c:ptCount val="3"/>
                <c:pt idx="0">
                  <c:v>VP ĐN</c:v>
                </c:pt>
                <c:pt idx="1">
                  <c:v>VP HCM</c:v>
                </c:pt>
                <c:pt idx="2">
                  <c:v>VP HN</c:v>
                </c:pt>
              </c:strCache>
            </c:strRef>
          </c:cat>
          <c:val>
            <c:numRef>
              <c:f>'Phân tích'!$D$9:$D$12</c:f>
              <c:numCache>
                <c:formatCode>General</c:formatCode>
                <c:ptCount val="3"/>
                <c:pt idx="0">
                  <c:v>10</c:v>
                </c:pt>
                <c:pt idx="1">
                  <c:v>29</c:v>
                </c:pt>
                <c:pt idx="2">
                  <c:v>58</c:v>
                </c:pt>
              </c:numCache>
            </c:numRef>
          </c:val>
          <c:extLst>
            <c:ext xmlns:c16="http://schemas.microsoft.com/office/drawing/2014/chart" uri="{C3380CC4-5D6E-409C-BE32-E72D297353CC}">
              <c16:uniqueId val="{00000001-7C39-4721-820D-1D190B298214}"/>
            </c:ext>
          </c:extLst>
        </c:ser>
        <c:dLbls>
          <c:showLegendKey val="0"/>
          <c:showVal val="0"/>
          <c:showCatName val="0"/>
          <c:showSerName val="0"/>
          <c:showPercent val="0"/>
          <c:showBubbleSize val="0"/>
        </c:dLbls>
        <c:gapWidth val="80"/>
        <c:axId val="118943744"/>
        <c:axId val="118939168"/>
      </c:barChart>
      <c:lineChart>
        <c:grouping val="stacked"/>
        <c:varyColors val="0"/>
        <c:ser>
          <c:idx val="0"/>
          <c:order val="0"/>
          <c:tx>
            <c:strRef>
              <c:f>'Phân tích'!$B$8</c:f>
              <c:strCache>
                <c:ptCount val="1"/>
                <c:pt idx="0">
                  <c:v>Số NV</c:v>
                </c:pt>
              </c:strCache>
            </c:strRef>
          </c:tx>
          <c:spPr>
            <a:ln>
              <a:solidFill>
                <a:schemeClr val="accent1"/>
              </a:solidFill>
            </a:ln>
            <a:effectLst/>
          </c:spPr>
          <c:marker>
            <c:spPr>
              <a:solidFill>
                <a:srgbClr val="FFFF00"/>
              </a:solidFill>
            </c:spPr>
          </c:marker>
          <c:cat>
            <c:strRef>
              <c:f>'Phân tích'!$A$9:$A$12</c:f>
              <c:strCache>
                <c:ptCount val="3"/>
                <c:pt idx="0">
                  <c:v>VP ĐN</c:v>
                </c:pt>
                <c:pt idx="1">
                  <c:v>VP HCM</c:v>
                </c:pt>
                <c:pt idx="2">
                  <c:v>VP HN</c:v>
                </c:pt>
              </c:strCache>
            </c:strRef>
          </c:cat>
          <c:val>
            <c:numRef>
              <c:f>'Phân tích'!$B$9:$B$12</c:f>
              <c:numCache>
                <c:formatCode>General</c:formatCode>
                <c:ptCount val="3"/>
                <c:pt idx="0">
                  <c:v>34</c:v>
                </c:pt>
                <c:pt idx="1">
                  <c:v>88</c:v>
                </c:pt>
                <c:pt idx="2">
                  <c:v>262</c:v>
                </c:pt>
              </c:numCache>
            </c:numRef>
          </c:val>
          <c:smooth val="0"/>
          <c:extLst>
            <c:ext xmlns:c16="http://schemas.microsoft.com/office/drawing/2014/chart" uri="{C3380CC4-5D6E-409C-BE32-E72D297353CC}">
              <c16:uniqueId val="{00000002-7C39-4721-820D-1D190B298214}"/>
            </c:ext>
          </c:extLst>
        </c:ser>
        <c:dLbls>
          <c:showLegendKey val="0"/>
          <c:showVal val="0"/>
          <c:showCatName val="0"/>
          <c:showSerName val="0"/>
          <c:showPercent val="0"/>
          <c:showBubbleSize val="0"/>
        </c:dLbls>
        <c:marker val="1"/>
        <c:smooth val="0"/>
        <c:axId val="1433854176"/>
        <c:axId val="1429620128"/>
      </c:lineChart>
      <c:catAx>
        <c:axId val="118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939168"/>
        <c:crosses val="autoZero"/>
        <c:auto val="1"/>
        <c:lblAlgn val="ctr"/>
        <c:lblOffset val="100"/>
        <c:noMultiLvlLbl val="0"/>
      </c:catAx>
      <c:valAx>
        <c:axId val="118939168"/>
        <c:scaling>
          <c:orientation val="minMax"/>
        </c:scaling>
        <c:delete val="1"/>
        <c:axPos val="l"/>
        <c:numFmt formatCode="General" sourceLinked="1"/>
        <c:majorTickMark val="out"/>
        <c:minorTickMark val="none"/>
        <c:tickLblPos val="nextTo"/>
        <c:crossAx val="118943744"/>
        <c:crosses val="autoZero"/>
        <c:crossBetween val="between"/>
      </c:valAx>
      <c:valAx>
        <c:axId val="1429620128"/>
        <c:scaling>
          <c:orientation val="minMax"/>
        </c:scaling>
        <c:delete val="1"/>
        <c:axPos val="r"/>
        <c:numFmt formatCode="General" sourceLinked="1"/>
        <c:majorTickMark val="out"/>
        <c:minorTickMark val="none"/>
        <c:tickLblPos val="nextTo"/>
        <c:crossAx val="1433854176"/>
        <c:crosses val="max"/>
        <c:crossBetween val="between"/>
      </c:valAx>
      <c:catAx>
        <c:axId val="1433854176"/>
        <c:scaling>
          <c:orientation val="minMax"/>
        </c:scaling>
        <c:delete val="1"/>
        <c:axPos val="b"/>
        <c:numFmt formatCode="General" sourceLinked="1"/>
        <c:majorTickMark val="out"/>
        <c:minorTickMark val="none"/>
        <c:tickLblPos val="nextTo"/>
        <c:crossAx val="1429620128"/>
        <c:crosses val="autoZero"/>
        <c:auto val="1"/>
        <c:lblAlgn val="ctr"/>
        <c:lblOffset val="100"/>
        <c:noMultiLvlLbl val="0"/>
      </c:catAx>
      <c:dTable>
        <c:showHorzBorder val="1"/>
        <c:showVertBorder val="1"/>
        <c:showOutline val="1"/>
        <c:showKeys val="1"/>
      </c:dTable>
    </c:plotArea>
    <c:plotVisOnly val="1"/>
    <c:dispBlanksAs val="gap"/>
    <c:showDLblsOverMax val="0"/>
    <c:extLst/>
  </c:chart>
  <c:spPr>
    <a:ln w="19050">
      <a:solidFill>
        <a:srgbClr val="1D3557"/>
      </a:solidFill>
    </a:ln>
    <a:scene3d>
      <a:camera prst="orthographicFront"/>
      <a:lightRig rig="threePt" dir="t"/>
    </a:scene3d>
    <a:sp3d prstMaterial="matte">
      <a:bevelT w="63500" h="63500" prst="artDeco"/>
      <a:contourClr>
        <a:srgbClr val="000000"/>
      </a:contourClr>
    </a:sp3d>
  </c:spPr>
  <c:txPr>
    <a:bodyPr/>
    <a:lstStyle/>
    <a:p>
      <a:pPr>
        <a:defRPr lang="en-US" sz="7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tích!Phòng ban</c:name>
    <c:fmtId val="8"/>
  </c:pivotSource>
  <c:chart>
    <c:title>
      <c:tx>
        <c:rich>
          <a:bodyPr rot="0" vert="horz"/>
          <a:lstStyle/>
          <a:p>
            <a:pPr algn="ctr" rtl="0">
              <a:defRPr/>
            </a:pPr>
            <a:r>
              <a:rPr lang="en-US" sz="900" b="1">
                <a:solidFill>
                  <a:srgbClr val="00B0F0"/>
                </a:solidFill>
              </a:rPr>
              <a:t>BIẾN ĐỘNG THEO PHÒNG BAN</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C46A"/>
          </a:solidFill>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1"/>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3"/>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4"/>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6"/>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7"/>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9"/>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0"/>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2"/>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5"/>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8"/>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1"/>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4"/>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5"/>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7"/>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51"/>
        <c:marker>
          <c:symbol val="none"/>
        </c:marker>
      </c:pivotFmt>
      <c:pivotFmt>
        <c:idx val="52"/>
        <c:marker>
          <c:spPr>
            <a:solidFill>
              <a:srgbClr val="FFFF00"/>
            </a:solidFill>
          </c:spPr>
        </c:marker>
        <c:dLbl>
          <c:idx val="0"/>
          <c:delete val="1"/>
          <c:extLst>
            <c:ext xmlns:c15="http://schemas.microsoft.com/office/drawing/2012/chart" uri="{CE6537A1-D6FC-4f65-9D91-7224C49458BB}"/>
          </c:extLst>
        </c:dLbl>
      </c:pivotFmt>
      <c:pivotFmt>
        <c:idx val="5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5"/>
        <c:marker>
          <c:spPr>
            <a:solidFill>
              <a:srgbClr val="FFFF00"/>
            </a:solidFill>
          </c:spPr>
        </c:marker>
        <c:dLbl>
          <c:idx val="0"/>
          <c:delete val="1"/>
          <c:extLst>
            <c:ext xmlns:c15="http://schemas.microsoft.com/office/drawing/2012/chart" uri="{CE6537A1-D6FC-4f65-9D91-7224C49458BB}"/>
          </c:extLst>
        </c:dLbl>
      </c:pivotFmt>
      <c:pivotFmt>
        <c:idx val="5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8"/>
        <c:marker>
          <c:spPr>
            <a:solidFill>
              <a:srgbClr val="FFFF00"/>
            </a:solidFill>
          </c:spPr>
        </c:marker>
        <c:dLbl>
          <c:idx val="0"/>
          <c:delete val="1"/>
          <c:extLst>
            <c:ext xmlns:c15="http://schemas.microsoft.com/office/drawing/2012/chart" uri="{CE6537A1-D6FC-4f65-9D91-7224C49458BB}"/>
          </c:extLst>
        </c:dLbl>
      </c:pivotFmt>
      <c:pivotFmt>
        <c:idx val="5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1"/>
        <c:marker>
          <c:spPr>
            <a:solidFill>
              <a:srgbClr val="FFFF00"/>
            </a:solidFill>
          </c:spPr>
        </c:marker>
        <c:dLbl>
          <c:idx val="0"/>
          <c:delete val="1"/>
          <c:extLst>
            <c:ext xmlns:c15="http://schemas.microsoft.com/office/drawing/2012/chart" uri="{CE6537A1-D6FC-4f65-9D91-7224C49458BB}"/>
          </c:extLst>
        </c:dLbl>
      </c:pivotFmt>
      <c:pivotFmt>
        <c:idx val="6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4"/>
        <c:marker>
          <c:spPr>
            <a:solidFill>
              <a:srgbClr val="FFFF00"/>
            </a:solidFill>
          </c:spPr>
        </c:marker>
        <c:dLbl>
          <c:idx val="0"/>
          <c:delete val="1"/>
          <c:extLst>
            <c:ext xmlns:c15="http://schemas.microsoft.com/office/drawing/2012/chart" uri="{CE6537A1-D6FC-4f65-9D91-7224C49458BB}"/>
          </c:extLst>
        </c:dLbl>
      </c:pivotFmt>
      <c:pivotFmt>
        <c:idx val="65"/>
        <c:spPr>
          <a:solidFill>
            <a:srgbClr val="63CAAA"/>
          </a:solidFill>
          <a:effectLst/>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68"/>
        <c:spPr>
          <a:solidFill>
            <a:srgbClr val="63CAAA"/>
          </a:solidFill>
          <a:effectLst/>
        </c:spPr>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1"/>
        <c:spPr>
          <a:solidFill>
            <a:srgbClr val="63CAAA"/>
          </a:solidFill>
          <a:effectLst/>
        </c:spPr>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4"/>
        <c:spPr>
          <a:solidFill>
            <a:srgbClr val="63CAAA"/>
          </a:solidFill>
          <a:effectLst/>
        </c:spPr>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7"/>
        <c:spPr>
          <a:solidFill>
            <a:srgbClr val="63CAAA"/>
          </a:solidFill>
          <a:effectLst/>
        </c:spPr>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0"/>
        <c:spPr>
          <a:solidFill>
            <a:srgbClr val="63CAAA"/>
          </a:solidFill>
          <a:effectLst/>
        </c:spPr>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0.12224703813355808"/>
          <c:y val="0.14177965001867238"/>
          <c:w val="0.84530225388493108"/>
          <c:h val="0.39356896531431329"/>
        </c:manualLayout>
      </c:layout>
      <c:barChart>
        <c:barDir val="col"/>
        <c:grouping val="clustered"/>
        <c:varyColors val="0"/>
        <c:ser>
          <c:idx val="1"/>
          <c:order val="1"/>
          <c:tx>
            <c:strRef>
              <c:f>'Phân tích'!$C$16</c:f>
              <c:strCache>
                <c:ptCount val="1"/>
                <c:pt idx="0">
                  <c:v>Số tuyển mới</c:v>
                </c:pt>
              </c:strCache>
            </c:strRef>
          </c:tx>
          <c:spPr>
            <a:solidFill>
              <a:srgbClr val="63CAAA"/>
            </a:solidFill>
            <a:effectLst/>
          </c:spPr>
          <c:invertIfNegative val="0"/>
          <c:cat>
            <c:strRef>
              <c:f>'Phân tích'!$A$17:$A$31</c:f>
              <c:strCache>
                <c:ptCount val="14"/>
                <c:pt idx="0">
                  <c:v>BGĐ</c:v>
                </c:pt>
                <c:pt idx="1">
                  <c:v>DVKH</c:v>
                </c:pt>
                <c:pt idx="2">
                  <c:v>HCNS</c:v>
                </c:pt>
                <c:pt idx="3">
                  <c:v>IT</c:v>
                </c:pt>
                <c:pt idx="4">
                  <c:v>Kinh doanh</c:v>
                </c:pt>
                <c:pt idx="5">
                  <c:v>KSNB</c:v>
                </c:pt>
                <c:pt idx="6">
                  <c:v>Logistics</c:v>
                </c:pt>
                <c:pt idx="7">
                  <c:v>Marketing</c:v>
                </c:pt>
                <c:pt idx="8">
                  <c:v>PM</c:v>
                </c:pt>
                <c:pt idx="9">
                  <c:v>PP</c:v>
                </c:pt>
                <c:pt idx="10">
                  <c:v>QA&amp;QC</c:v>
                </c:pt>
                <c:pt idx="11">
                  <c:v>Retail MKT</c:v>
                </c:pt>
                <c:pt idx="12">
                  <c:v>TCKT</c:v>
                </c:pt>
                <c:pt idx="13">
                  <c:v>Thái Lan (APAC)</c:v>
                </c:pt>
              </c:strCache>
            </c:strRef>
          </c:cat>
          <c:val>
            <c:numRef>
              <c:f>'Phân tích'!$C$17:$C$31</c:f>
              <c:numCache>
                <c:formatCode>General</c:formatCode>
                <c:ptCount val="14"/>
                <c:pt idx="0">
                  <c:v>1</c:v>
                </c:pt>
                <c:pt idx="1">
                  <c:v>20</c:v>
                </c:pt>
                <c:pt idx="3">
                  <c:v>5</c:v>
                </c:pt>
                <c:pt idx="4">
                  <c:v>20</c:v>
                </c:pt>
                <c:pt idx="5">
                  <c:v>2</c:v>
                </c:pt>
                <c:pt idx="6">
                  <c:v>2</c:v>
                </c:pt>
                <c:pt idx="7">
                  <c:v>5</c:v>
                </c:pt>
                <c:pt idx="8">
                  <c:v>1</c:v>
                </c:pt>
                <c:pt idx="9">
                  <c:v>1</c:v>
                </c:pt>
                <c:pt idx="10">
                  <c:v>5</c:v>
                </c:pt>
                <c:pt idx="11">
                  <c:v>4</c:v>
                </c:pt>
                <c:pt idx="12">
                  <c:v>6</c:v>
                </c:pt>
              </c:numCache>
            </c:numRef>
          </c:val>
          <c:extLst>
            <c:ext xmlns:c16="http://schemas.microsoft.com/office/drawing/2014/chart" uri="{C3380CC4-5D6E-409C-BE32-E72D297353CC}">
              <c16:uniqueId val="{00000000-5AC4-41A6-AB05-EA7D6CA8609B}"/>
            </c:ext>
          </c:extLst>
        </c:ser>
        <c:ser>
          <c:idx val="2"/>
          <c:order val="2"/>
          <c:tx>
            <c:strRef>
              <c:f>'Phân tích'!$D$16</c:f>
              <c:strCache>
                <c:ptCount val="1"/>
                <c:pt idx="0">
                  <c:v>SL nghỉ việc</c:v>
                </c:pt>
              </c:strCache>
            </c:strRef>
          </c:tx>
          <c:invertIfNegative val="0"/>
          <c:cat>
            <c:strRef>
              <c:f>'Phân tích'!$A$17:$A$31</c:f>
              <c:strCache>
                <c:ptCount val="14"/>
                <c:pt idx="0">
                  <c:v>BGĐ</c:v>
                </c:pt>
                <c:pt idx="1">
                  <c:v>DVKH</c:v>
                </c:pt>
                <c:pt idx="2">
                  <c:v>HCNS</c:v>
                </c:pt>
                <c:pt idx="3">
                  <c:v>IT</c:v>
                </c:pt>
                <c:pt idx="4">
                  <c:v>Kinh doanh</c:v>
                </c:pt>
                <c:pt idx="5">
                  <c:v>KSNB</c:v>
                </c:pt>
                <c:pt idx="6">
                  <c:v>Logistics</c:v>
                </c:pt>
                <c:pt idx="7">
                  <c:v>Marketing</c:v>
                </c:pt>
                <c:pt idx="8">
                  <c:v>PM</c:v>
                </c:pt>
                <c:pt idx="9">
                  <c:v>PP</c:v>
                </c:pt>
                <c:pt idx="10">
                  <c:v>QA&amp;QC</c:v>
                </c:pt>
                <c:pt idx="11">
                  <c:v>Retail MKT</c:v>
                </c:pt>
                <c:pt idx="12">
                  <c:v>TCKT</c:v>
                </c:pt>
                <c:pt idx="13">
                  <c:v>Thái Lan (APAC)</c:v>
                </c:pt>
              </c:strCache>
            </c:strRef>
          </c:cat>
          <c:val>
            <c:numRef>
              <c:f>'Phân tích'!$D$17:$D$31</c:f>
              <c:numCache>
                <c:formatCode>General</c:formatCode>
                <c:ptCount val="14"/>
                <c:pt idx="1">
                  <c:v>43</c:v>
                </c:pt>
                <c:pt idx="2">
                  <c:v>3</c:v>
                </c:pt>
                <c:pt idx="3">
                  <c:v>2</c:v>
                </c:pt>
                <c:pt idx="4">
                  <c:v>18</c:v>
                </c:pt>
                <c:pt idx="5">
                  <c:v>1</c:v>
                </c:pt>
                <c:pt idx="6">
                  <c:v>7</c:v>
                </c:pt>
                <c:pt idx="7">
                  <c:v>7</c:v>
                </c:pt>
                <c:pt idx="8">
                  <c:v>1</c:v>
                </c:pt>
                <c:pt idx="9">
                  <c:v>2</c:v>
                </c:pt>
                <c:pt idx="10">
                  <c:v>2</c:v>
                </c:pt>
                <c:pt idx="11">
                  <c:v>8</c:v>
                </c:pt>
                <c:pt idx="12">
                  <c:v>3</c:v>
                </c:pt>
              </c:numCache>
            </c:numRef>
          </c:val>
          <c:extLst>
            <c:ext xmlns:c16="http://schemas.microsoft.com/office/drawing/2014/chart" uri="{C3380CC4-5D6E-409C-BE32-E72D297353CC}">
              <c16:uniqueId val="{00000001-5AC4-41A6-AB05-EA7D6CA8609B}"/>
            </c:ext>
          </c:extLst>
        </c:ser>
        <c:dLbls>
          <c:showLegendKey val="0"/>
          <c:showVal val="0"/>
          <c:showCatName val="0"/>
          <c:showSerName val="0"/>
          <c:showPercent val="0"/>
          <c:showBubbleSize val="0"/>
        </c:dLbls>
        <c:gapWidth val="80"/>
        <c:axId val="118943744"/>
        <c:axId val="118939168"/>
      </c:barChart>
      <c:lineChart>
        <c:grouping val="stacked"/>
        <c:varyColors val="0"/>
        <c:ser>
          <c:idx val="0"/>
          <c:order val="0"/>
          <c:tx>
            <c:strRef>
              <c:f>'Phân tích'!$B$16</c:f>
              <c:strCache>
                <c:ptCount val="1"/>
                <c:pt idx="0">
                  <c:v>Số NV</c:v>
                </c:pt>
              </c:strCache>
            </c:strRef>
          </c:tx>
          <c:spPr>
            <a:ln>
              <a:solidFill>
                <a:schemeClr val="accent1"/>
              </a:solidFill>
            </a:ln>
            <a:effectLst/>
          </c:spPr>
          <c:marker>
            <c:spPr>
              <a:solidFill>
                <a:srgbClr val="FFFF00"/>
              </a:solidFill>
            </c:spPr>
          </c:marker>
          <c:cat>
            <c:strRef>
              <c:f>'Phân tích'!$A$17:$A$31</c:f>
              <c:strCache>
                <c:ptCount val="14"/>
                <c:pt idx="0">
                  <c:v>BGĐ</c:v>
                </c:pt>
                <c:pt idx="1">
                  <c:v>DVKH</c:v>
                </c:pt>
                <c:pt idx="2">
                  <c:v>HCNS</c:v>
                </c:pt>
                <c:pt idx="3">
                  <c:v>IT</c:v>
                </c:pt>
                <c:pt idx="4">
                  <c:v>Kinh doanh</c:v>
                </c:pt>
                <c:pt idx="5">
                  <c:v>KSNB</c:v>
                </c:pt>
                <c:pt idx="6">
                  <c:v>Logistics</c:v>
                </c:pt>
                <c:pt idx="7">
                  <c:v>Marketing</c:v>
                </c:pt>
                <c:pt idx="8">
                  <c:v>PM</c:v>
                </c:pt>
                <c:pt idx="9">
                  <c:v>PP</c:v>
                </c:pt>
                <c:pt idx="10">
                  <c:v>QA&amp;QC</c:v>
                </c:pt>
                <c:pt idx="11">
                  <c:v>Retail MKT</c:v>
                </c:pt>
                <c:pt idx="12">
                  <c:v>TCKT</c:v>
                </c:pt>
                <c:pt idx="13">
                  <c:v>Thái Lan (APAC)</c:v>
                </c:pt>
              </c:strCache>
            </c:strRef>
          </c:cat>
          <c:val>
            <c:numRef>
              <c:f>'Phân tích'!$B$17:$B$31</c:f>
              <c:numCache>
                <c:formatCode>General</c:formatCode>
                <c:ptCount val="14"/>
                <c:pt idx="0">
                  <c:v>4</c:v>
                </c:pt>
                <c:pt idx="1">
                  <c:v>112</c:v>
                </c:pt>
                <c:pt idx="2">
                  <c:v>23</c:v>
                </c:pt>
                <c:pt idx="3">
                  <c:v>12</c:v>
                </c:pt>
                <c:pt idx="4">
                  <c:v>76</c:v>
                </c:pt>
                <c:pt idx="5">
                  <c:v>8</c:v>
                </c:pt>
                <c:pt idx="6">
                  <c:v>27</c:v>
                </c:pt>
                <c:pt idx="7">
                  <c:v>19</c:v>
                </c:pt>
                <c:pt idx="8">
                  <c:v>6</c:v>
                </c:pt>
                <c:pt idx="9">
                  <c:v>13</c:v>
                </c:pt>
                <c:pt idx="10">
                  <c:v>14</c:v>
                </c:pt>
                <c:pt idx="11">
                  <c:v>31</c:v>
                </c:pt>
                <c:pt idx="12">
                  <c:v>36</c:v>
                </c:pt>
                <c:pt idx="13">
                  <c:v>3</c:v>
                </c:pt>
              </c:numCache>
            </c:numRef>
          </c:val>
          <c:smooth val="0"/>
          <c:extLst>
            <c:ext xmlns:c16="http://schemas.microsoft.com/office/drawing/2014/chart" uri="{C3380CC4-5D6E-409C-BE32-E72D297353CC}">
              <c16:uniqueId val="{00000002-5AC4-41A6-AB05-EA7D6CA8609B}"/>
            </c:ext>
          </c:extLst>
        </c:ser>
        <c:dLbls>
          <c:showLegendKey val="0"/>
          <c:showVal val="0"/>
          <c:showCatName val="0"/>
          <c:showSerName val="0"/>
          <c:showPercent val="0"/>
          <c:showBubbleSize val="0"/>
        </c:dLbls>
        <c:marker val="1"/>
        <c:smooth val="0"/>
        <c:axId val="1433854176"/>
        <c:axId val="1429620128"/>
      </c:lineChart>
      <c:catAx>
        <c:axId val="118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939168"/>
        <c:crosses val="autoZero"/>
        <c:auto val="1"/>
        <c:lblAlgn val="ctr"/>
        <c:lblOffset val="100"/>
        <c:noMultiLvlLbl val="0"/>
      </c:catAx>
      <c:valAx>
        <c:axId val="118939168"/>
        <c:scaling>
          <c:orientation val="minMax"/>
        </c:scaling>
        <c:delete val="1"/>
        <c:axPos val="l"/>
        <c:numFmt formatCode="General" sourceLinked="1"/>
        <c:majorTickMark val="out"/>
        <c:minorTickMark val="none"/>
        <c:tickLblPos val="nextTo"/>
        <c:crossAx val="118943744"/>
        <c:crosses val="autoZero"/>
        <c:crossBetween val="between"/>
      </c:valAx>
      <c:valAx>
        <c:axId val="1429620128"/>
        <c:scaling>
          <c:orientation val="minMax"/>
        </c:scaling>
        <c:delete val="1"/>
        <c:axPos val="r"/>
        <c:numFmt formatCode="General" sourceLinked="1"/>
        <c:majorTickMark val="out"/>
        <c:minorTickMark val="none"/>
        <c:tickLblPos val="nextTo"/>
        <c:crossAx val="1433854176"/>
        <c:crosses val="max"/>
        <c:crossBetween val="between"/>
      </c:valAx>
      <c:catAx>
        <c:axId val="1433854176"/>
        <c:scaling>
          <c:orientation val="minMax"/>
        </c:scaling>
        <c:delete val="1"/>
        <c:axPos val="b"/>
        <c:numFmt formatCode="General" sourceLinked="1"/>
        <c:majorTickMark val="out"/>
        <c:minorTickMark val="none"/>
        <c:tickLblPos val="nextTo"/>
        <c:crossAx val="1429620128"/>
        <c:crosses val="autoZero"/>
        <c:auto val="1"/>
        <c:lblAlgn val="ctr"/>
        <c:lblOffset val="100"/>
        <c:noMultiLvlLbl val="0"/>
      </c:catAx>
      <c:dTable>
        <c:showHorzBorder val="1"/>
        <c:showVertBorder val="1"/>
        <c:showOutline val="1"/>
        <c:showKeys val="1"/>
      </c:dTable>
    </c:plotArea>
    <c:plotVisOnly val="1"/>
    <c:dispBlanksAs val="gap"/>
    <c:showDLblsOverMax val="0"/>
    <c:extLst/>
  </c:chart>
  <c:spPr>
    <a:ln w="19050">
      <a:solidFill>
        <a:srgbClr val="1D3557"/>
      </a:solidFill>
    </a:ln>
    <a:scene3d>
      <a:camera prst="orthographicFront"/>
      <a:lightRig rig="threePt" dir="t"/>
    </a:scene3d>
    <a:sp3d prstMaterial="matte">
      <a:bevelT w="63500" h="63500" prst="artDeco"/>
      <a:contourClr>
        <a:srgbClr val="000000"/>
      </a:contourClr>
    </a:sp3d>
  </c:spPr>
  <c:txPr>
    <a:bodyPr/>
    <a:lstStyle/>
    <a:p>
      <a:pPr>
        <a:defRPr lang="en-US" sz="7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tích!Tháng</c:name>
    <c:fmtId val="4"/>
  </c:pivotSource>
  <c:chart>
    <c:title>
      <c:tx>
        <c:rich>
          <a:bodyPr rot="0" vert="horz"/>
          <a:lstStyle/>
          <a:p>
            <a:pPr algn="ctr" rtl="0">
              <a:defRPr/>
            </a:pPr>
            <a:r>
              <a:rPr lang="en-US" sz="900" b="1">
                <a:solidFill>
                  <a:srgbClr val="00B0F0"/>
                </a:solidFill>
              </a:rPr>
              <a:t>BIẾN ĐỘNG THEO THỜI</a:t>
            </a:r>
            <a:r>
              <a:rPr lang="en-US" sz="900" b="1" baseline="0">
                <a:solidFill>
                  <a:srgbClr val="00B0F0"/>
                </a:solidFill>
              </a:rPr>
              <a:t> GIAN</a:t>
            </a:r>
            <a:endParaRPr lang="en-US" sz="900" b="1">
              <a:solidFill>
                <a:srgbClr val="00B0F0"/>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C46A"/>
          </a:solidFill>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1"/>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3"/>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4"/>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6"/>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7"/>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9"/>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0"/>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2"/>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5"/>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8"/>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1"/>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4"/>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5"/>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7"/>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51"/>
        <c:marker>
          <c:symbol val="none"/>
        </c:marker>
      </c:pivotFmt>
      <c:pivotFmt>
        <c:idx val="52"/>
        <c:marker>
          <c:spPr>
            <a:solidFill>
              <a:srgbClr val="FFFF00"/>
            </a:solidFill>
          </c:spPr>
        </c:marker>
        <c:dLbl>
          <c:idx val="0"/>
          <c:delete val="1"/>
          <c:extLst>
            <c:ext xmlns:c15="http://schemas.microsoft.com/office/drawing/2012/chart" uri="{CE6537A1-D6FC-4f65-9D91-7224C49458BB}"/>
          </c:extLst>
        </c:dLbl>
      </c:pivotFmt>
      <c:pivotFmt>
        <c:idx val="5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5"/>
        <c:marker>
          <c:spPr>
            <a:solidFill>
              <a:srgbClr val="FFFF00"/>
            </a:solidFill>
          </c:spPr>
        </c:marker>
        <c:dLbl>
          <c:idx val="0"/>
          <c:delete val="1"/>
          <c:extLst>
            <c:ext xmlns:c15="http://schemas.microsoft.com/office/drawing/2012/chart" uri="{CE6537A1-D6FC-4f65-9D91-7224C49458BB}"/>
          </c:extLst>
        </c:dLbl>
      </c:pivotFmt>
      <c:pivotFmt>
        <c:idx val="5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8"/>
        <c:marker>
          <c:spPr>
            <a:solidFill>
              <a:srgbClr val="FFFF00"/>
            </a:solidFill>
          </c:spPr>
        </c:marker>
        <c:dLbl>
          <c:idx val="0"/>
          <c:delete val="1"/>
          <c:extLst>
            <c:ext xmlns:c15="http://schemas.microsoft.com/office/drawing/2012/chart" uri="{CE6537A1-D6FC-4f65-9D91-7224C49458BB}"/>
          </c:extLst>
        </c:dLbl>
      </c:pivotFmt>
      <c:pivotFmt>
        <c:idx val="5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1"/>
        <c:marker>
          <c:spPr>
            <a:solidFill>
              <a:srgbClr val="FFFF00"/>
            </a:solidFill>
          </c:spPr>
        </c:marker>
        <c:dLbl>
          <c:idx val="0"/>
          <c:delete val="1"/>
          <c:extLst>
            <c:ext xmlns:c15="http://schemas.microsoft.com/office/drawing/2012/chart" uri="{CE6537A1-D6FC-4f65-9D91-7224C49458BB}"/>
          </c:extLst>
        </c:dLbl>
      </c:pivotFmt>
      <c:pivotFmt>
        <c:idx val="6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4"/>
        <c:marker>
          <c:spPr>
            <a:solidFill>
              <a:srgbClr val="FFFF00"/>
            </a:solidFill>
          </c:spPr>
        </c:marker>
        <c:dLbl>
          <c:idx val="0"/>
          <c:delete val="1"/>
          <c:extLst>
            <c:ext xmlns:c15="http://schemas.microsoft.com/office/drawing/2012/chart" uri="{CE6537A1-D6FC-4f65-9D91-7224C49458BB}"/>
          </c:extLst>
        </c:dLbl>
      </c:pivotFmt>
      <c:pivotFmt>
        <c:idx val="65"/>
        <c:spPr>
          <a:solidFill>
            <a:srgbClr val="63CAAA"/>
          </a:solidFill>
          <a:effectLst/>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68"/>
        <c:spPr>
          <a:solidFill>
            <a:srgbClr val="63CAAA"/>
          </a:solidFill>
          <a:effectLst/>
        </c:spPr>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1"/>
        <c:spPr>
          <a:solidFill>
            <a:srgbClr val="63CAAA"/>
          </a:solidFill>
          <a:effectLst/>
        </c:spPr>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4"/>
        <c:spPr>
          <a:solidFill>
            <a:srgbClr val="63CAAA"/>
          </a:solidFill>
          <a:effectLst/>
        </c:spPr>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7"/>
        <c:spPr>
          <a:solidFill>
            <a:srgbClr val="63CAAA"/>
          </a:solidFill>
          <a:effectLst/>
        </c:spPr>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0"/>
        <c:spPr>
          <a:solidFill>
            <a:srgbClr val="63CAAA"/>
          </a:solidFill>
          <a:effectLst/>
        </c:spPr>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3"/>
        <c:spPr>
          <a:solidFill>
            <a:srgbClr val="63CAAA"/>
          </a:solidFill>
          <a:effectLst/>
        </c:spPr>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6"/>
        <c:spPr>
          <a:solidFill>
            <a:srgbClr val="63CAAA"/>
          </a:solidFill>
          <a:effectLst/>
        </c:spPr>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
        <c:idx val="88"/>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9"/>
        <c:spPr>
          <a:solidFill>
            <a:srgbClr val="63CAAA"/>
          </a:solidFill>
          <a:effectLst/>
        </c:spPr>
        <c:marker>
          <c:symbol val="none"/>
        </c:marker>
        <c:dLbl>
          <c:idx val="0"/>
          <c:delete val="1"/>
          <c:extLst>
            <c:ext xmlns:c15="http://schemas.microsoft.com/office/drawing/2012/chart" uri="{CE6537A1-D6FC-4f65-9D91-7224C49458BB}"/>
          </c:extLst>
        </c:dLbl>
      </c:pivotFmt>
      <c:pivotFmt>
        <c:idx val="90"/>
        <c:marker>
          <c:symbol val="none"/>
        </c:marker>
        <c:dLbl>
          <c:idx val="0"/>
          <c:delete val="1"/>
          <c:extLst>
            <c:ext xmlns:c15="http://schemas.microsoft.com/office/drawing/2012/chart" uri="{CE6537A1-D6FC-4f65-9D91-7224C49458BB}"/>
          </c:extLst>
        </c:dLbl>
      </c:pivotFmt>
      <c:pivotFmt>
        <c:idx val="91"/>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0.21831978319783199"/>
          <c:y val="0.14177965001867238"/>
          <c:w val="0.7595934959349594"/>
          <c:h val="0.39356896531431329"/>
        </c:manualLayout>
      </c:layout>
      <c:barChart>
        <c:barDir val="col"/>
        <c:grouping val="clustered"/>
        <c:varyColors val="0"/>
        <c:ser>
          <c:idx val="1"/>
          <c:order val="1"/>
          <c:tx>
            <c:strRef>
              <c:f>'Phân tích'!$C$46</c:f>
              <c:strCache>
                <c:ptCount val="1"/>
                <c:pt idx="0">
                  <c:v>Số tuyển mới</c:v>
                </c:pt>
              </c:strCache>
            </c:strRef>
          </c:tx>
          <c:spPr>
            <a:solidFill>
              <a:srgbClr val="63CAAA"/>
            </a:solidFill>
            <a:effectLst/>
          </c:spPr>
          <c:invertIfNegative val="0"/>
          <c:cat>
            <c:multiLvlStrRef>
              <c:f>'Phân tích'!$A$47:$A$60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tích'!$C$47:$C$60</c:f>
              <c:numCache>
                <c:formatCode>General</c:formatCode>
                <c:ptCount val="12"/>
                <c:pt idx="0">
                  <c:v>5</c:v>
                </c:pt>
                <c:pt idx="1">
                  <c:v>8</c:v>
                </c:pt>
                <c:pt idx="2">
                  <c:v>7</c:v>
                </c:pt>
                <c:pt idx="3">
                  <c:v>7</c:v>
                </c:pt>
                <c:pt idx="4">
                  <c:v>8</c:v>
                </c:pt>
                <c:pt idx="5">
                  <c:v>5</c:v>
                </c:pt>
                <c:pt idx="6">
                  <c:v>5</c:v>
                </c:pt>
                <c:pt idx="7">
                  <c:v>4</c:v>
                </c:pt>
                <c:pt idx="8">
                  <c:v>8</c:v>
                </c:pt>
                <c:pt idx="9">
                  <c:v>13</c:v>
                </c:pt>
                <c:pt idx="10">
                  <c:v>2</c:v>
                </c:pt>
              </c:numCache>
            </c:numRef>
          </c:val>
          <c:extLst>
            <c:ext xmlns:c16="http://schemas.microsoft.com/office/drawing/2014/chart" uri="{C3380CC4-5D6E-409C-BE32-E72D297353CC}">
              <c16:uniqueId val="{00000000-806C-418A-91A1-AA41AB5921D2}"/>
            </c:ext>
          </c:extLst>
        </c:ser>
        <c:ser>
          <c:idx val="2"/>
          <c:order val="2"/>
          <c:tx>
            <c:strRef>
              <c:f>'Phân tích'!$D$46</c:f>
              <c:strCache>
                <c:ptCount val="1"/>
                <c:pt idx="0">
                  <c:v>SL nghỉ việc</c:v>
                </c:pt>
              </c:strCache>
            </c:strRef>
          </c:tx>
          <c:invertIfNegative val="0"/>
          <c:cat>
            <c:multiLvlStrRef>
              <c:f>'Phân tích'!$A$47:$A$60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tích'!$D$47:$D$60</c:f>
              <c:numCache>
                <c:formatCode>General</c:formatCode>
                <c:ptCount val="12"/>
                <c:pt idx="0">
                  <c:v>7</c:v>
                </c:pt>
                <c:pt idx="1">
                  <c:v>7</c:v>
                </c:pt>
                <c:pt idx="2">
                  <c:v>17</c:v>
                </c:pt>
                <c:pt idx="3">
                  <c:v>4</c:v>
                </c:pt>
                <c:pt idx="4">
                  <c:v>13</c:v>
                </c:pt>
                <c:pt idx="5">
                  <c:v>8</c:v>
                </c:pt>
                <c:pt idx="6">
                  <c:v>8</c:v>
                </c:pt>
                <c:pt idx="7">
                  <c:v>7</c:v>
                </c:pt>
                <c:pt idx="8">
                  <c:v>3</c:v>
                </c:pt>
                <c:pt idx="9">
                  <c:v>20</c:v>
                </c:pt>
                <c:pt idx="10">
                  <c:v>3</c:v>
                </c:pt>
              </c:numCache>
            </c:numRef>
          </c:val>
          <c:extLst>
            <c:ext xmlns:c16="http://schemas.microsoft.com/office/drawing/2014/chart" uri="{C3380CC4-5D6E-409C-BE32-E72D297353CC}">
              <c16:uniqueId val="{00000001-806C-418A-91A1-AA41AB5921D2}"/>
            </c:ext>
          </c:extLst>
        </c:ser>
        <c:dLbls>
          <c:showLegendKey val="0"/>
          <c:showVal val="0"/>
          <c:showCatName val="0"/>
          <c:showSerName val="0"/>
          <c:showPercent val="0"/>
          <c:showBubbleSize val="0"/>
        </c:dLbls>
        <c:gapWidth val="80"/>
        <c:axId val="118943744"/>
        <c:axId val="118939168"/>
      </c:barChart>
      <c:lineChart>
        <c:grouping val="stacked"/>
        <c:varyColors val="0"/>
        <c:ser>
          <c:idx val="0"/>
          <c:order val="0"/>
          <c:tx>
            <c:strRef>
              <c:f>'Phân tích'!$B$46</c:f>
              <c:strCache>
                <c:ptCount val="1"/>
                <c:pt idx="0">
                  <c:v>Số NV</c:v>
                </c:pt>
              </c:strCache>
            </c:strRef>
          </c:tx>
          <c:spPr>
            <a:ln>
              <a:solidFill>
                <a:schemeClr val="accent1"/>
              </a:solidFill>
            </a:ln>
            <a:effectLst/>
          </c:spPr>
          <c:marker>
            <c:spPr>
              <a:solidFill>
                <a:srgbClr val="FFFF00"/>
              </a:solidFill>
            </c:spPr>
          </c:marker>
          <c:cat>
            <c:multiLvlStrRef>
              <c:f>'Phân tích'!$A$47:$A$60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tích'!$B$47:$B$60</c:f>
              <c:numCache>
                <c:formatCode>General</c:formatCode>
                <c:ptCount val="12"/>
                <c:pt idx="0">
                  <c:v>317</c:v>
                </c:pt>
                <c:pt idx="1">
                  <c:v>318</c:v>
                </c:pt>
                <c:pt idx="2">
                  <c:v>318</c:v>
                </c:pt>
                <c:pt idx="3">
                  <c:v>308</c:v>
                </c:pt>
                <c:pt idx="4">
                  <c:v>312</c:v>
                </c:pt>
                <c:pt idx="5">
                  <c:v>304</c:v>
                </c:pt>
                <c:pt idx="6">
                  <c:v>301</c:v>
                </c:pt>
                <c:pt idx="7">
                  <c:v>297</c:v>
                </c:pt>
                <c:pt idx="8">
                  <c:v>298</c:v>
                </c:pt>
                <c:pt idx="9">
                  <c:v>308</c:v>
                </c:pt>
                <c:pt idx="10">
                  <c:v>290</c:v>
                </c:pt>
                <c:pt idx="11">
                  <c:v>287</c:v>
                </c:pt>
              </c:numCache>
            </c:numRef>
          </c:val>
          <c:smooth val="0"/>
          <c:extLst>
            <c:ext xmlns:c16="http://schemas.microsoft.com/office/drawing/2014/chart" uri="{C3380CC4-5D6E-409C-BE32-E72D297353CC}">
              <c16:uniqueId val="{00000002-806C-418A-91A1-AA41AB5921D2}"/>
            </c:ext>
          </c:extLst>
        </c:ser>
        <c:dLbls>
          <c:showLegendKey val="0"/>
          <c:showVal val="0"/>
          <c:showCatName val="0"/>
          <c:showSerName val="0"/>
          <c:showPercent val="0"/>
          <c:showBubbleSize val="0"/>
        </c:dLbls>
        <c:marker val="1"/>
        <c:smooth val="0"/>
        <c:axId val="1433854176"/>
        <c:axId val="1429620128"/>
      </c:lineChart>
      <c:catAx>
        <c:axId val="118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939168"/>
        <c:crosses val="autoZero"/>
        <c:auto val="1"/>
        <c:lblAlgn val="ctr"/>
        <c:lblOffset val="100"/>
        <c:noMultiLvlLbl val="0"/>
      </c:catAx>
      <c:valAx>
        <c:axId val="118939168"/>
        <c:scaling>
          <c:orientation val="minMax"/>
        </c:scaling>
        <c:delete val="1"/>
        <c:axPos val="l"/>
        <c:numFmt formatCode="General" sourceLinked="1"/>
        <c:majorTickMark val="out"/>
        <c:minorTickMark val="none"/>
        <c:tickLblPos val="nextTo"/>
        <c:crossAx val="118943744"/>
        <c:crosses val="autoZero"/>
        <c:crossBetween val="between"/>
      </c:valAx>
      <c:valAx>
        <c:axId val="1429620128"/>
        <c:scaling>
          <c:orientation val="minMax"/>
        </c:scaling>
        <c:delete val="1"/>
        <c:axPos val="r"/>
        <c:numFmt formatCode="General" sourceLinked="1"/>
        <c:majorTickMark val="out"/>
        <c:minorTickMark val="none"/>
        <c:tickLblPos val="nextTo"/>
        <c:crossAx val="1433854176"/>
        <c:crosses val="max"/>
        <c:crossBetween val="between"/>
      </c:valAx>
      <c:catAx>
        <c:axId val="1433854176"/>
        <c:scaling>
          <c:orientation val="minMax"/>
        </c:scaling>
        <c:delete val="1"/>
        <c:axPos val="b"/>
        <c:numFmt formatCode="General" sourceLinked="1"/>
        <c:majorTickMark val="out"/>
        <c:minorTickMark val="none"/>
        <c:tickLblPos val="nextTo"/>
        <c:crossAx val="1429620128"/>
        <c:crosses val="autoZero"/>
        <c:auto val="1"/>
        <c:lblAlgn val="ctr"/>
        <c:lblOffset val="100"/>
        <c:noMultiLvlLbl val="0"/>
      </c:catAx>
      <c:dTable>
        <c:showHorzBorder val="1"/>
        <c:showVertBorder val="1"/>
        <c:showOutline val="1"/>
        <c:showKeys val="1"/>
      </c:dTable>
    </c:plotArea>
    <c:plotVisOnly val="1"/>
    <c:dispBlanksAs val="gap"/>
    <c:showDLblsOverMax val="0"/>
    <c:extLst/>
  </c:chart>
  <c:spPr>
    <a:ln w="19050">
      <a:solidFill>
        <a:srgbClr val="1D3557"/>
      </a:solidFill>
    </a:ln>
    <a:scene3d>
      <a:camera prst="orthographicFront"/>
      <a:lightRig rig="threePt" dir="t"/>
    </a:scene3d>
    <a:sp3d prstMaterial="matte">
      <a:bevelT w="63500" h="63500" prst="artDeco"/>
      <a:contourClr>
        <a:srgbClr val="000000"/>
      </a:contourClr>
    </a:sp3d>
  </c:spPr>
  <c:txPr>
    <a:bodyPr/>
    <a:lstStyle/>
    <a:p>
      <a:pPr>
        <a:defRPr lang="en-US" sz="7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tích!Trình độ học vấn</c:name>
    <c:fmtId val="6"/>
  </c:pivotSource>
  <c:chart>
    <c:title>
      <c:tx>
        <c:rich>
          <a:bodyPr rot="0" spcFirstLastPara="1" vertOverflow="ellipsis" vert="horz" wrap="square" anchor="ctr" anchorCtr="1"/>
          <a:lstStyle/>
          <a:p>
            <a:pPr algn="ctr" rtl="0">
              <a:defRPr lang="en-US" sz="900" b="1" i="0" u="none" strike="noStrike" kern="1200" spc="0" baseline="0">
                <a:solidFill>
                  <a:srgbClr val="0070C0"/>
                </a:solidFill>
                <a:latin typeface="Corbel" panose="020B0503020204020204" pitchFamily="34" charset="0"/>
                <a:ea typeface="+mn-ea"/>
                <a:cs typeface="+mn-cs"/>
              </a:defRPr>
            </a:pPr>
            <a:r>
              <a:rPr lang="en-US" sz="900" b="1" i="0" u="none" strike="noStrike" kern="1200" spc="0" baseline="0">
                <a:solidFill>
                  <a:srgbClr val="0070C0"/>
                </a:solidFill>
                <a:latin typeface="Corbel" panose="020B0503020204020204" pitchFamily="34" charset="0"/>
                <a:ea typeface="+mn-ea"/>
                <a:cs typeface="+mn-cs"/>
              </a:rPr>
              <a:t>TRÌNH ĐỘ HỌC VẤN</a:t>
            </a:r>
          </a:p>
        </c:rich>
      </c:tx>
      <c:overlay val="0"/>
      <c:spPr>
        <a:noFill/>
        <a:ln>
          <a:noFill/>
        </a:ln>
        <a:effectLst/>
        <a:scene3d>
          <a:camera prst="orthographicFront"/>
          <a:lightRig rig="threePt" dir="t"/>
        </a:scene3d>
        <a:sp3d prstMaterial="matte">
          <a:bevelT w="63500" h="63500" prst="artDeco"/>
          <a:contourClr>
            <a:srgbClr val="000000"/>
          </a:contourClr>
        </a:sp3d>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6090534979424E-2"/>
          <c:y val="0.19243586487172976"/>
          <c:w val="0.97256515775034291"/>
          <c:h val="0.66102616205232412"/>
        </c:manualLayout>
      </c:layout>
      <c:barChart>
        <c:barDir val="col"/>
        <c:grouping val="clustered"/>
        <c:varyColors val="0"/>
        <c:ser>
          <c:idx val="0"/>
          <c:order val="0"/>
          <c:tx>
            <c:strRef>
              <c:f>'Phân tích'!$H$17</c:f>
              <c:strCache>
                <c:ptCount val="1"/>
                <c:pt idx="0">
                  <c:v>Total</c:v>
                </c:pt>
              </c:strCache>
            </c:strRef>
          </c:tx>
          <c:spPr>
            <a:solidFill>
              <a:srgbClr val="63CA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'Phân tích'!$G$18:$G$23</c:f>
              <c:strCache>
                <c:ptCount val="5"/>
                <c:pt idx="0">
                  <c:v>Cao đẳng</c:v>
                </c:pt>
                <c:pt idx="1">
                  <c:v>Đại học</c:v>
                </c:pt>
                <c:pt idx="2">
                  <c:v>Thạc sỹ</c:v>
                </c:pt>
                <c:pt idx="3">
                  <c:v>THPT</c:v>
                </c:pt>
                <c:pt idx="4">
                  <c:v>Trung cấp</c:v>
                </c:pt>
              </c:strCache>
            </c:strRef>
          </c:cat>
          <c:val>
            <c:numRef>
              <c:f>'Phân tích'!$H$18:$H$23</c:f>
              <c:numCache>
                <c:formatCode>General</c:formatCode>
                <c:ptCount val="5"/>
                <c:pt idx="0">
                  <c:v>59</c:v>
                </c:pt>
                <c:pt idx="1">
                  <c:v>284</c:v>
                </c:pt>
                <c:pt idx="2">
                  <c:v>7</c:v>
                </c:pt>
                <c:pt idx="3">
                  <c:v>14</c:v>
                </c:pt>
                <c:pt idx="4">
                  <c:v>20</c:v>
                </c:pt>
              </c:numCache>
            </c:numRef>
          </c:val>
          <c:extLst>
            <c:ext xmlns:c16="http://schemas.microsoft.com/office/drawing/2014/chart" uri="{C3380CC4-5D6E-409C-BE32-E72D297353CC}">
              <c16:uniqueId val="{00000000-1F04-487B-AB5F-C7E95DBD096B}"/>
            </c:ext>
          </c:extLst>
        </c:ser>
        <c:dLbls>
          <c:dLblPos val="outEnd"/>
          <c:showLegendKey val="0"/>
          <c:showVal val="1"/>
          <c:showCatName val="0"/>
          <c:showSerName val="0"/>
          <c:showPercent val="0"/>
          <c:showBubbleSize val="0"/>
        </c:dLbls>
        <c:gapWidth val="70"/>
        <c:overlap val="-27"/>
        <c:axId val="1409010032"/>
        <c:axId val="1521244368"/>
      </c:barChart>
      <c:catAx>
        <c:axId val="14090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1244368"/>
        <c:crosses val="autoZero"/>
        <c:auto val="1"/>
        <c:lblAlgn val="ctr"/>
        <c:lblOffset val="100"/>
        <c:noMultiLvlLbl val="0"/>
      </c:catAx>
      <c:valAx>
        <c:axId val="1521244368"/>
        <c:scaling>
          <c:orientation val="minMax"/>
        </c:scaling>
        <c:delete val="1"/>
        <c:axPos val="l"/>
        <c:numFmt formatCode="General" sourceLinked="0"/>
        <c:majorTickMark val="none"/>
        <c:minorTickMark val="none"/>
        <c:tickLblPos val="nextTo"/>
        <c:crossAx val="1409010032"/>
        <c:crosses val="autoZero"/>
        <c:crossBetween val="between"/>
      </c:valAx>
    </c:plotArea>
    <c:plotVisOnly val="1"/>
    <c:dispBlanksAs val="gap"/>
    <c:showDLblsOverMax val="0"/>
    <c:extLst/>
  </c:chart>
  <c:spPr>
    <a:solidFill>
      <a:schemeClr val="bg1"/>
    </a:solidFill>
    <a:ln w="19050" cap="flat" cmpd="sng" algn="ctr">
      <a:solidFill>
        <a:srgbClr val="002060"/>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tích!Lý do thôi việc</c:name>
    <c:fmtId val="4"/>
  </c:pivotSource>
  <c:chart>
    <c:title>
      <c:tx>
        <c:rich>
          <a:bodyPr rot="0" spcFirstLastPara="1" vertOverflow="ellipsis" vert="horz" wrap="square" anchor="ctr" anchorCtr="1"/>
          <a:lstStyle/>
          <a:p>
            <a:pPr algn="ctr" rtl="0">
              <a:defRPr lang="en-US" sz="900" b="1" i="0" u="none" strike="noStrike" kern="1200" spc="0" baseline="0">
                <a:solidFill>
                  <a:srgbClr val="0070C0"/>
                </a:solidFill>
                <a:latin typeface="Corbel" panose="020B0503020204020204" pitchFamily="34" charset="0"/>
                <a:ea typeface="+mn-ea"/>
                <a:cs typeface="+mn-cs"/>
              </a:defRPr>
            </a:pPr>
            <a:r>
              <a:rPr lang="en-US" sz="900" b="1" i="0" u="none" strike="noStrike" kern="1200" spc="0" baseline="0">
                <a:solidFill>
                  <a:srgbClr val="0070C0"/>
                </a:solidFill>
                <a:latin typeface="Corbel" panose="020B0503020204020204" pitchFamily="34" charset="0"/>
                <a:ea typeface="+mn-ea"/>
                <a:cs typeface="+mn-cs"/>
              </a:rPr>
              <a:t>LÝ DO THÔI VIỆC</a:t>
            </a:r>
          </a:p>
        </c:rich>
      </c:tx>
      <c:layout>
        <c:manualLayout>
          <c:xMode val="edge"/>
          <c:yMode val="edge"/>
          <c:x val="0.3041398991792692"/>
          <c:y val="1.473296500920810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87405740949053E-2"/>
          <c:y val="9.5654065341279848E-2"/>
          <c:w val="0.92275007290755318"/>
          <c:h val="0.54855759052217923"/>
        </c:manualLayout>
      </c:layout>
      <c:barChart>
        <c:barDir val="col"/>
        <c:grouping val="clustered"/>
        <c:varyColors val="0"/>
        <c:ser>
          <c:idx val="0"/>
          <c:order val="0"/>
          <c:tx>
            <c:strRef>
              <c:f>'Phân tích'!$H$8</c:f>
              <c:strCache>
                <c:ptCount val="1"/>
                <c:pt idx="0">
                  <c:v>Total</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'Phân tích'!$G$9:$G$14</c:f>
              <c:strCache>
                <c:ptCount val="5"/>
                <c:pt idx="0">
                  <c:v>Cắt giảm nhân sự</c:v>
                </c:pt>
                <c:pt idx="1">
                  <c:v>Định hướng khác</c:v>
                </c:pt>
                <c:pt idx="2">
                  <c:v>Không gia hạn hợp đồng</c:v>
                </c:pt>
                <c:pt idx="3">
                  <c:v>Không phù hợp với cách làm việc của quản lý, tổ chức</c:v>
                </c:pt>
                <c:pt idx="4">
                  <c:v>Lý do khác</c:v>
                </c:pt>
              </c:strCache>
            </c:strRef>
          </c:cat>
          <c:val>
            <c:numRef>
              <c:f>'Phân tích'!$H$9:$H$14</c:f>
              <c:numCache>
                <c:formatCode>General</c:formatCode>
                <c:ptCount val="5"/>
                <c:pt idx="0">
                  <c:v>28</c:v>
                </c:pt>
                <c:pt idx="1">
                  <c:v>22</c:v>
                </c:pt>
                <c:pt idx="2">
                  <c:v>18</c:v>
                </c:pt>
                <c:pt idx="3">
                  <c:v>7</c:v>
                </c:pt>
                <c:pt idx="4">
                  <c:v>22</c:v>
                </c:pt>
              </c:numCache>
            </c:numRef>
          </c:val>
          <c:extLst>
            <c:ext xmlns:c16="http://schemas.microsoft.com/office/drawing/2014/chart" uri="{C3380CC4-5D6E-409C-BE32-E72D297353CC}">
              <c16:uniqueId val="{00000000-71EA-4C3F-8496-10FD55B6C296}"/>
            </c:ext>
          </c:extLst>
        </c:ser>
        <c:dLbls>
          <c:dLblPos val="outEnd"/>
          <c:showLegendKey val="0"/>
          <c:showVal val="1"/>
          <c:showCatName val="0"/>
          <c:showSerName val="0"/>
          <c:showPercent val="0"/>
          <c:showBubbleSize val="0"/>
        </c:dLbls>
        <c:gapWidth val="70"/>
        <c:overlap val="-27"/>
        <c:axId val="1409010032"/>
        <c:axId val="1521244368"/>
      </c:barChart>
      <c:catAx>
        <c:axId val="140901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1244368"/>
        <c:crosses val="autoZero"/>
        <c:auto val="1"/>
        <c:lblAlgn val="ctr"/>
        <c:lblOffset val="100"/>
        <c:noMultiLvlLbl val="0"/>
      </c:catAx>
      <c:valAx>
        <c:axId val="1521244368"/>
        <c:scaling>
          <c:orientation val="minMax"/>
        </c:scaling>
        <c:delete val="1"/>
        <c:axPos val="l"/>
        <c:numFmt formatCode="General" sourceLinked="0"/>
        <c:majorTickMark val="none"/>
        <c:minorTickMark val="none"/>
        <c:tickLblPos val="nextTo"/>
        <c:crossAx val="1409010032"/>
        <c:crosses val="autoZero"/>
        <c:crossBetween val="between"/>
      </c:valAx>
    </c:plotArea>
    <c:plotVisOnly val="1"/>
    <c:dispBlanksAs val="gap"/>
    <c:showDLblsOverMax val="0"/>
    <c:extLst/>
  </c:chart>
  <c:spPr>
    <a:solidFill>
      <a:schemeClr val="bg1"/>
    </a:solidFill>
    <a:ln w="19050" cap="flat" cmpd="sng" algn="ctr">
      <a:solidFill>
        <a:srgbClr val="002060"/>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tích!Nhóm tuổi</c:name>
    <c:fmtId val="6"/>
  </c:pivotSource>
  <c:chart>
    <c:title>
      <c:tx>
        <c:rich>
          <a:bodyPr rot="0" spcFirstLastPara="1" vertOverflow="ellipsis" vert="horz" wrap="square" anchor="ctr" anchorCtr="1"/>
          <a:lstStyle/>
          <a:p>
            <a:pPr algn="ctr" rtl="0">
              <a:defRPr lang="en-US" sz="900" b="1" i="0" u="none" strike="noStrike" kern="1200" spc="0" baseline="0">
                <a:solidFill>
                  <a:srgbClr val="0070C0"/>
                </a:solidFill>
                <a:latin typeface="Corbel" panose="020B0503020204020204" pitchFamily="34" charset="0"/>
                <a:ea typeface="+mn-ea"/>
                <a:cs typeface="+mn-cs"/>
              </a:defRPr>
            </a:pPr>
            <a:r>
              <a:rPr lang="en-US" sz="900" b="1" i="0" u="none" strike="noStrike" kern="1200" spc="0" baseline="0">
                <a:solidFill>
                  <a:srgbClr val="0070C0"/>
                </a:solidFill>
                <a:latin typeface="Corbel" panose="020B0503020204020204" pitchFamily="34" charset="0"/>
                <a:ea typeface="+mn-ea"/>
                <a:cs typeface="+mn-cs"/>
              </a:rPr>
              <a:t>NHÓM TUỔI</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lumMod val="40000"/>
              <a:lumOff val="60000"/>
            </a:schemeClr>
          </a:solidFill>
          <a:ln w="25400">
            <a:solidFill>
              <a:schemeClr val="lt1"/>
            </a:solidFill>
          </a:ln>
          <a:effectLst/>
          <a:sp3d contourW="25400">
            <a:contourClr>
              <a:schemeClr val="lt1"/>
            </a:contourClr>
          </a:sp3d>
        </c:spPr>
      </c:pivotFmt>
      <c:pivotFmt>
        <c:idx val="16"/>
        <c:spPr>
          <a:solidFill>
            <a:srgbClr val="E63946"/>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19"/>
        <c:spPr>
          <a:solidFill>
            <a:srgbClr val="457B9D"/>
          </a:solidFill>
          <a:ln w="25400">
            <a:solidFill>
              <a:schemeClr val="lt1"/>
            </a:solidFill>
          </a:ln>
          <a:effectLst/>
          <a:sp3d contourW="25400">
            <a:contourClr>
              <a:schemeClr val="lt1"/>
            </a:contourClr>
          </a:sp3d>
        </c:spPr>
      </c:pivotFmt>
      <c:pivotFmt>
        <c:idx val="20"/>
        <c:spPr>
          <a:solidFill>
            <a:srgbClr val="A8DADC"/>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lumMod val="40000"/>
              <a:lumOff val="60000"/>
            </a:schemeClr>
          </a:solidFill>
          <a:ln w="25400">
            <a:solidFill>
              <a:schemeClr val="lt1"/>
            </a:solidFill>
          </a:ln>
          <a:effectLst/>
          <a:sp3d contourW="25400">
            <a:contourClr>
              <a:schemeClr val="lt1"/>
            </a:contourClr>
          </a:sp3d>
        </c:spPr>
      </c:pivotFmt>
      <c:pivotFmt>
        <c:idx val="23"/>
        <c:spPr>
          <a:solidFill>
            <a:srgbClr val="E63946"/>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26"/>
        <c:spPr>
          <a:solidFill>
            <a:srgbClr val="457B9D"/>
          </a:solidFill>
          <a:ln w="25400">
            <a:solidFill>
              <a:schemeClr val="lt1"/>
            </a:solidFill>
          </a:ln>
          <a:effectLst/>
          <a:sp3d contourW="25400">
            <a:contourClr>
              <a:schemeClr val="lt1"/>
            </a:contourClr>
          </a:sp3d>
        </c:spPr>
      </c:pivotFmt>
      <c:pivotFmt>
        <c:idx val="27"/>
        <c:spPr>
          <a:solidFill>
            <a:srgbClr val="A8DADC"/>
          </a:solidFill>
          <a:ln w="25400">
            <a:solidFill>
              <a:schemeClr val="lt1"/>
            </a:solidFill>
          </a:ln>
          <a:effectLst/>
          <a:sp3d contourW="25400">
            <a:contourClr>
              <a:schemeClr val="lt1"/>
            </a:contourClr>
          </a:sp3d>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lumMod val="40000"/>
              <a:lumOff val="60000"/>
            </a:schemeClr>
          </a:solidFill>
          <a:ln w="25400">
            <a:solidFill>
              <a:schemeClr val="lt1"/>
            </a:solidFill>
          </a:ln>
          <a:effectLst/>
          <a:sp3d contourW="25400">
            <a:contourClr>
              <a:schemeClr val="lt1"/>
            </a:contourClr>
          </a:sp3d>
        </c:spPr>
      </c:pivotFmt>
      <c:pivotFmt>
        <c:idx val="30"/>
        <c:spPr>
          <a:solidFill>
            <a:srgbClr val="E63946"/>
          </a:solidFill>
          <a:ln w="25400">
            <a:solidFill>
              <a:schemeClr val="lt1"/>
            </a:solidFill>
          </a:ln>
          <a:effectLst/>
          <a:sp3d contourW="25400">
            <a:contourClr>
              <a:schemeClr val="lt1"/>
            </a:contourClr>
          </a:sp3d>
        </c:spPr>
      </c:pivotFmt>
      <c:pivotFmt>
        <c:idx val="31"/>
        <c:spPr>
          <a:solidFill>
            <a:schemeClr val="accent3"/>
          </a:solidFill>
          <a:ln w="25400">
            <a:solidFill>
              <a:schemeClr val="lt1"/>
            </a:solidFill>
          </a:ln>
          <a:effectLst/>
          <a:sp3d contourW="25400">
            <a:contourClr>
              <a:schemeClr val="lt1"/>
            </a:contourClr>
          </a:sp3d>
        </c:spPr>
      </c:pivotFmt>
      <c:pivotFmt>
        <c:idx val="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33"/>
        <c:spPr>
          <a:solidFill>
            <a:srgbClr val="457B9D"/>
          </a:solidFill>
          <a:ln w="25400">
            <a:solidFill>
              <a:schemeClr val="lt1"/>
            </a:solidFill>
          </a:ln>
          <a:effectLst/>
          <a:sp3d contourW="25400">
            <a:contourClr>
              <a:schemeClr val="lt1"/>
            </a:contourClr>
          </a:sp3d>
        </c:spPr>
      </c:pivotFmt>
      <c:pivotFmt>
        <c:idx val="34"/>
        <c:spPr>
          <a:solidFill>
            <a:srgbClr val="A8DADC"/>
          </a:solidFill>
          <a:ln w="25400">
            <a:solidFill>
              <a:schemeClr val="lt1"/>
            </a:solidFill>
          </a:ln>
          <a:effectLst/>
          <a:sp3d contourW="25400">
            <a:contourClr>
              <a:schemeClr val="lt1"/>
            </a:contourClr>
          </a:sp3d>
        </c:spPr>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lumMod val="40000"/>
              <a:lumOff val="60000"/>
            </a:schemeClr>
          </a:solidFill>
          <a:ln w="25400">
            <a:solidFill>
              <a:schemeClr val="lt1"/>
            </a:solidFill>
          </a:ln>
          <a:effectLst/>
          <a:sp3d contourW="25400">
            <a:contourClr>
              <a:schemeClr val="lt1"/>
            </a:contourClr>
          </a:sp3d>
        </c:spPr>
      </c:pivotFmt>
      <c:pivotFmt>
        <c:idx val="37"/>
        <c:spPr>
          <a:solidFill>
            <a:srgbClr val="E63946"/>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0"/>
        <c:spPr>
          <a:solidFill>
            <a:srgbClr val="457B9D"/>
          </a:solidFill>
          <a:ln w="25400">
            <a:solidFill>
              <a:schemeClr val="lt1"/>
            </a:solidFill>
          </a:ln>
          <a:effectLst/>
          <a:sp3d contourW="25400">
            <a:contourClr>
              <a:schemeClr val="lt1"/>
            </a:contourClr>
          </a:sp3d>
        </c:spPr>
      </c:pivotFmt>
      <c:pivotFmt>
        <c:idx val="41"/>
        <c:spPr>
          <a:solidFill>
            <a:srgbClr val="A8DADC"/>
          </a:solidFill>
          <a:ln w="25400">
            <a:solidFill>
              <a:schemeClr val="lt1"/>
            </a:solidFill>
          </a:ln>
          <a:effectLst/>
          <a:sp3d contourW="25400">
            <a:contourClr>
              <a:schemeClr val="lt1"/>
            </a:contourClr>
          </a:sp3d>
        </c:spPr>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3"/>
        <c:spPr>
          <a:solidFill>
            <a:schemeClr val="accent1">
              <a:lumMod val="40000"/>
              <a:lumOff val="60000"/>
            </a:schemeClr>
          </a:solidFill>
          <a:ln w="25400">
            <a:solidFill>
              <a:schemeClr val="lt1"/>
            </a:solidFill>
          </a:ln>
          <a:effectLst/>
          <a:sp3d contourW="25400">
            <a:contourClr>
              <a:schemeClr val="lt1"/>
            </a:contourClr>
          </a:sp3d>
        </c:spPr>
      </c:pivotFmt>
      <c:pivotFmt>
        <c:idx val="44"/>
        <c:spPr>
          <a:solidFill>
            <a:srgbClr val="63CAAA"/>
          </a:solidFill>
          <a:ln w="25400">
            <a:solidFill>
              <a:schemeClr val="lt1"/>
            </a:solidFill>
          </a:ln>
          <a:effectLst/>
          <a:sp3d contourW="25400">
            <a:contourClr>
              <a:schemeClr val="lt1"/>
            </a:contourClr>
          </a:sp3d>
        </c:spPr>
      </c:pivotFmt>
      <c:pivotFmt>
        <c:idx val="45"/>
        <c:spPr>
          <a:solidFill>
            <a:srgbClr val="A5A5A5"/>
          </a:solidFill>
          <a:ln w="25400">
            <a:solidFill>
              <a:schemeClr val="lt1"/>
            </a:solidFill>
          </a:ln>
          <a:effectLst/>
          <a:sp3d contourW="25400">
            <a:contourClr>
              <a:schemeClr val="lt1"/>
            </a:contourClr>
          </a:sp3d>
        </c:spPr>
      </c:pivotFmt>
      <c:pivotFmt>
        <c:idx val="4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7"/>
        <c:spPr>
          <a:solidFill>
            <a:srgbClr val="457B9D"/>
          </a:solidFill>
          <a:ln w="25400">
            <a:solidFill>
              <a:schemeClr val="lt1"/>
            </a:solidFill>
          </a:ln>
          <a:effectLst/>
          <a:sp3d contourW="25400">
            <a:contourClr>
              <a:schemeClr val="lt1"/>
            </a:contourClr>
          </a:sp3d>
        </c:spPr>
      </c:pivotFmt>
      <c:pivotFmt>
        <c:idx val="48"/>
        <c:spPr>
          <a:solidFill>
            <a:srgbClr val="A8DADC"/>
          </a:solidFill>
          <a:ln w="25400">
            <a:solidFill>
              <a:schemeClr val="lt1"/>
            </a:solidFill>
          </a:ln>
          <a:effectLst/>
          <a:sp3d contourW="25400">
            <a:contourClr>
              <a:schemeClr val="lt1"/>
            </a:contourClr>
          </a:sp3d>
        </c:spPr>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0"/>
        <c:spPr>
          <a:solidFill>
            <a:schemeClr val="accent1">
              <a:lumMod val="40000"/>
              <a:lumOff val="60000"/>
            </a:schemeClr>
          </a:solidFill>
          <a:ln w="25400">
            <a:solidFill>
              <a:schemeClr val="lt1"/>
            </a:solidFill>
          </a:ln>
          <a:effectLst/>
          <a:sp3d contourW="25400">
            <a:contourClr>
              <a:schemeClr val="lt1"/>
            </a:contourClr>
          </a:sp3d>
        </c:spPr>
      </c:pivotFmt>
      <c:pivotFmt>
        <c:idx val="51"/>
        <c:spPr>
          <a:solidFill>
            <a:srgbClr val="63CAAA"/>
          </a:solidFill>
          <a:ln w="25400">
            <a:solidFill>
              <a:schemeClr val="lt1"/>
            </a:solidFill>
          </a:ln>
          <a:effectLst/>
          <a:sp3d contourW="25400">
            <a:contourClr>
              <a:schemeClr val="lt1"/>
            </a:contourClr>
          </a:sp3d>
        </c:spPr>
      </c:pivotFmt>
      <c:pivotFmt>
        <c:idx val="52"/>
        <c:spPr>
          <a:solidFill>
            <a:srgbClr val="A5A5A5"/>
          </a:solidFill>
          <a:ln w="25400">
            <a:solidFill>
              <a:schemeClr val="lt1"/>
            </a:solidFill>
          </a:ln>
          <a:effectLst/>
          <a:sp3d contourW="25400">
            <a:contourClr>
              <a:schemeClr val="lt1"/>
            </a:contourClr>
          </a:sp3d>
        </c:spPr>
      </c:pivotFmt>
      <c:pivotFmt>
        <c:idx val="53"/>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54"/>
        <c:spPr>
          <a:solidFill>
            <a:srgbClr val="457B9D"/>
          </a:solidFill>
          <a:ln w="25400">
            <a:solidFill>
              <a:schemeClr val="lt1"/>
            </a:solidFill>
          </a:ln>
          <a:effectLst/>
          <a:sp3d contourW="25400">
            <a:contourClr>
              <a:schemeClr val="lt1"/>
            </a:contourClr>
          </a:sp3d>
        </c:spPr>
      </c:pivotFmt>
      <c:pivotFmt>
        <c:idx val="55"/>
        <c:spPr>
          <a:solidFill>
            <a:srgbClr val="A8DADC"/>
          </a:solidFill>
          <a:ln w="25400">
            <a:solidFill>
              <a:schemeClr val="lt1"/>
            </a:solidFill>
          </a:ln>
          <a:effectLst/>
          <a:sp3d contourW="25400">
            <a:contourClr>
              <a:schemeClr val="lt1"/>
            </a:contourClr>
          </a:sp3d>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7"/>
        <c:spPr>
          <a:solidFill>
            <a:schemeClr val="accent1">
              <a:lumMod val="40000"/>
              <a:lumOff val="60000"/>
            </a:schemeClr>
          </a:solidFill>
          <a:ln w="25400">
            <a:solidFill>
              <a:schemeClr val="lt1"/>
            </a:solidFill>
          </a:ln>
          <a:effectLst/>
          <a:sp3d contourW="25400">
            <a:contourClr>
              <a:schemeClr val="lt1"/>
            </a:contourClr>
          </a:sp3d>
        </c:spPr>
      </c:pivotFmt>
      <c:pivotFmt>
        <c:idx val="58"/>
        <c:spPr>
          <a:solidFill>
            <a:srgbClr val="63CAAA"/>
          </a:solidFill>
          <a:ln w="25400">
            <a:solidFill>
              <a:schemeClr val="lt1"/>
            </a:solidFill>
          </a:ln>
          <a:effectLst/>
          <a:sp3d contourW="25400">
            <a:contourClr>
              <a:schemeClr val="lt1"/>
            </a:contourClr>
          </a:sp3d>
        </c:spPr>
      </c:pivotFmt>
      <c:pivotFmt>
        <c:idx val="59"/>
        <c:spPr>
          <a:solidFill>
            <a:srgbClr val="A5A5A5"/>
          </a:solidFill>
          <a:ln w="25400">
            <a:solidFill>
              <a:schemeClr val="lt1"/>
            </a:solidFill>
          </a:ln>
          <a:effectLst/>
          <a:sp3d contourW="25400">
            <a:contourClr>
              <a:schemeClr val="lt1"/>
            </a:contourClr>
          </a:sp3d>
        </c:spPr>
      </c:pivotFmt>
      <c:pivotFmt>
        <c:idx val="6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1"/>
        <c:spPr>
          <a:solidFill>
            <a:srgbClr val="457B9D"/>
          </a:solidFill>
          <a:ln w="25400">
            <a:solidFill>
              <a:schemeClr val="lt1"/>
            </a:solidFill>
          </a:ln>
          <a:effectLst/>
          <a:sp3d contourW="25400">
            <a:contourClr>
              <a:schemeClr val="lt1"/>
            </a:contourClr>
          </a:sp3d>
        </c:spPr>
      </c:pivotFmt>
      <c:pivotFmt>
        <c:idx val="6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3"/>
        <c:spPr>
          <a:solidFill>
            <a:schemeClr val="accent1">
              <a:lumMod val="40000"/>
              <a:lumOff val="60000"/>
            </a:schemeClr>
          </a:solidFill>
          <a:ln w="25400">
            <a:solidFill>
              <a:schemeClr val="lt1"/>
            </a:solidFill>
          </a:ln>
          <a:effectLst/>
          <a:sp3d contourW="25400">
            <a:contourClr>
              <a:schemeClr val="lt1"/>
            </a:contourClr>
          </a:sp3d>
        </c:spPr>
      </c:pivotFmt>
      <c:pivotFmt>
        <c:idx val="64"/>
        <c:spPr>
          <a:solidFill>
            <a:srgbClr val="63CAAA"/>
          </a:solidFill>
          <a:ln w="25400">
            <a:solidFill>
              <a:schemeClr val="lt1"/>
            </a:solidFill>
          </a:ln>
          <a:effectLst/>
          <a:sp3d contourW="25400">
            <a:contourClr>
              <a:schemeClr val="lt1"/>
            </a:contourClr>
          </a:sp3d>
        </c:spPr>
      </c:pivotFmt>
      <c:pivotFmt>
        <c:idx val="65"/>
        <c:spPr>
          <a:solidFill>
            <a:srgbClr val="A5A5A5"/>
          </a:solidFill>
          <a:ln w="25400">
            <a:solidFill>
              <a:schemeClr val="lt1"/>
            </a:solidFill>
          </a:ln>
          <a:effectLst/>
          <a:sp3d contourW="25400">
            <a:contourClr>
              <a:schemeClr val="lt1"/>
            </a:contourClr>
          </a:sp3d>
        </c:spPr>
      </c:pivotFmt>
      <c:pivotFmt>
        <c:idx val="6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7"/>
        <c:spPr>
          <a:solidFill>
            <a:srgbClr val="457B9D"/>
          </a:solidFill>
          <a:ln w="25400">
            <a:solidFill>
              <a:schemeClr val="lt1"/>
            </a:solidFill>
          </a:ln>
          <a:effectLst/>
          <a:sp3d contourW="25400">
            <a:contourClr>
              <a:schemeClr val="lt1"/>
            </a:contourClr>
          </a:sp3d>
        </c:spPr>
      </c:pivotFmt>
      <c:pivotFmt>
        <c:idx val="6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lumMod val="40000"/>
              <a:lumOff val="60000"/>
            </a:schemeClr>
          </a:solidFill>
          <a:ln w="25400">
            <a:solidFill>
              <a:schemeClr val="lt1"/>
            </a:solidFill>
          </a:ln>
          <a:effectLst/>
          <a:sp3d contourW="25400">
            <a:contourClr>
              <a:schemeClr val="lt1"/>
            </a:contourClr>
          </a:sp3d>
        </c:spPr>
      </c:pivotFmt>
      <c:pivotFmt>
        <c:idx val="70"/>
        <c:spPr>
          <a:solidFill>
            <a:srgbClr val="63CAAA"/>
          </a:solidFill>
          <a:ln w="25400">
            <a:solidFill>
              <a:schemeClr val="lt1"/>
            </a:solidFill>
          </a:ln>
          <a:effectLst/>
          <a:sp3d contourW="25400">
            <a:contourClr>
              <a:schemeClr val="lt1"/>
            </a:contourClr>
          </a:sp3d>
        </c:spPr>
      </c:pivotFmt>
      <c:pivotFmt>
        <c:idx val="71"/>
        <c:spPr>
          <a:solidFill>
            <a:srgbClr val="A5A5A5"/>
          </a:solidFill>
          <a:ln w="25400">
            <a:solidFill>
              <a:schemeClr val="lt1"/>
            </a:solidFill>
          </a:ln>
          <a:effectLst/>
          <a:sp3d contourW="25400">
            <a:contourClr>
              <a:schemeClr val="lt1"/>
            </a:contourClr>
          </a:sp3d>
        </c:spPr>
      </c:pivotFmt>
      <c:pivotFmt>
        <c:idx val="7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3"/>
        <c:spPr>
          <a:solidFill>
            <a:srgbClr val="457B9D"/>
          </a:solidFill>
          <a:ln w="25400">
            <a:solidFill>
              <a:schemeClr val="lt1"/>
            </a:solidFill>
          </a:ln>
          <a:effectLst/>
          <a:sp3d contourW="25400">
            <a:contourClr>
              <a:schemeClr val="lt1"/>
            </a:contourClr>
          </a:sp3d>
        </c:spPr>
      </c:pivotFmt>
      <c:pivotFmt>
        <c:idx val="7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lumMod val="40000"/>
              <a:lumOff val="60000"/>
            </a:schemeClr>
          </a:solidFill>
          <a:ln w="25400">
            <a:solidFill>
              <a:schemeClr val="lt1"/>
            </a:solidFill>
          </a:ln>
          <a:effectLst/>
          <a:sp3d contourW="25400">
            <a:contourClr>
              <a:schemeClr val="lt1"/>
            </a:contourClr>
          </a:sp3d>
        </c:spPr>
      </c:pivotFmt>
      <c:pivotFmt>
        <c:idx val="76"/>
        <c:spPr>
          <a:solidFill>
            <a:srgbClr val="63CAAA"/>
          </a:solidFill>
          <a:ln w="25400">
            <a:solidFill>
              <a:schemeClr val="lt1"/>
            </a:solidFill>
          </a:ln>
          <a:effectLst/>
          <a:sp3d contourW="25400">
            <a:contourClr>
              <a:schemeClr val="lt1"/>
            </a:contourClr>
          </a:sp3d>
        </c:spPr>
      </c:pivotFmt>
      <c:pivotFmt>
        <c:idx val="77"/>
        <c:spPr>
          <a:solidFill>
            <a:srgbClr val="A5A5A5"/>
          </a:solidFill>
          <a:ln w="25400">
            <a:solidFill>
              <a:schemeClr val="lt1"/>
            </a:solidFill>
          </a:ln>
          <a:effectLst/>
          <a:sp3d contourW="25400">
            <a:contourClr>
              <a:schemeClr val="lt1"/>
            </a:contourClr>
          </a:sp3d>
        </c:spPr>
      </c:pivotFmt>
      <c:pivotFmt>
        <c:idx val="7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9"/>
        <c:spPr>
          <a:solidFill>
            <a:srgbClr val="457B9D"/>
          </a:solidFill>
          <a:ln w="25400">
            <a:solidFill>
              <a:schemeClr val="lt1"/>
            </a:solidFill>
          </a:ln>
          <a:effectLst/>
          <a:sp3d contourW="25400">
            <a:contourClr>
              <a:schemeClr val="lt1"/>
            </a:contourClr>
          </a:sp3d>
        </c:spPr>
      </c:pivotFmt>
      <c:pivotFmt>
        <c:idx val="8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lumMod val="40000"/>
              <a:lumOff val="60000"/>
            </a:schemeClr>
          </a:solidFill>
          <a:ln w="25400">
            <a:solidFill>
              <a:schemeClr val="lt1"/>
            </a:solidFill>
          </a:ln>
          <a:effectLst/>
          <a:sp3d contourW="25400">
            <a:contourClr>
              <a:schemeClr val="lt1"/>
            </a:contourClr>
          </a:sp3d>
        </c:spPr>
      </c:pivotFmt>
      <c:pivotFmt>
        <c:idx val="82"/>
        <c:spPr>
          <a:solidFill>
            <a:srgbClr val="63CAAA"/>
          </a:solidFill>
          <a:ln w="25400">
            <a:solidFill>
              <a:schemeClr val="lt1"/>
            </a:solidFill>
          </a:ln>
          <a:effectLst/>
          <a:sp3d contourW="25400">
            <a:contourClr>
              <a:schemeClr val="lt1"/>
            </a:contourClr>
          </a:sp3d>
        </c:spPr>
      </c:pivotFmt>
      <c:pivotFmt>
        <c:idx val="83"/>
        <c:spPr>
          <a:solidFill>
            <a:srgbClr val="A5A5A5"/>
          </a:solidFill>
          <a:ln w="25400">
            <a:solidFill>
              <a:schemeClr val="lt1"/>
            </a:solidFill>
          </a:ln>
          <a:effectLst/>
          <a:sp3d contourW="25400">
            <a:contourClr>
              <a:schemeClr val="lt1"/>
            </a:contourClr>
          </a:sp3d>
        </c:spPr>
      </c:pivotFmt>
      <c:pivotFmt>
        <c:idx val="8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85"/>
        <c:spPr>
          <a:solidFill>
            <a:srgbClr val="457B9D"/>
          </a:solidFill>
          <a:ln w="25400">
            <a:solidFill>
              <a:schemeClr val="lt1"/>
            </a:solidFill>
          </a:ln>
          <a:effectLst/>
          <a:sp3d contourW="25400">
            <a:contourClr>
              <a:schemeClr val="lt1"/>
            </a:contourClr>
          </a:sp3d>
        </c:spPr>
      </c:pivotFmt>
      <c:pivotFmt>
        <c:idx val="8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lumMod val="40000"/>
              <a:lumOff val="60000"/>
            </a:schemeClr>
          </a:solidFill>
          <a:ln w="25400">
            <a:solidFill>
              <a:schemeClr val="lt1"/>
            </a:solidFill>
          </a:ln>
          <a:effectLst/>
          <a:sp3d contourW="25400">
            <a:contourClr>
              <a:schemeClr val="lt1"/>
            </a:contourClr>
          </a:sp3d>
        </c:spPr>
      </c:pivotFmt>
      <c:pivotFmt>
        <c:idx val="88"/>
        <c:spPr>
          <a:solidFill>
            <a:srgbClr val="63CAAA"/>
          </a:solidFill>
          <a:ln w="25400">
            <a:solidFill>
              <a:schemeClr val="lt1"/>
            </a:solidFill>
          </a:ln>
          <a:effectLst/>
          <a:sp3d contourW="25400">
            <a:contourClr>
              <a:schemeClr val="lt1"/>
            </a:contourClr>
          </a:sp3d>
        </c:spPr>
      </c:pivotFmt>
      <c:pivotFmt>
        <c:idx val="89"/>
        <c:spPr>
          <a:solidFill>
            <a:srgbClr val="A5A5A5"/>
          </a:solidFill>
          <a:ln w="25400">
            <a:solidFill>
              <a:schemeClr val="lt1"/>
            </a:solidFill>
          </a:ln>
          <a:effectLst/>
          <a:sp3d contourW="25400">
            <a:contourClr>
              <a:schemeClr val="lt1"/>
            </a:contourClr>
          </a:sp3d>
        </c:spPr>
      </c:pivotFmt>
      <c:pivotFmt>
        <c:idx val="9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1"/>
        <c:spPr>
          <a:solidFill>
            <a:srgbClr val="457B9D"/>
          </a:solidFill>
          <a:ln w="25400">
            <a:solidFill>
              <a:schemeClr val="lt1"/>
            </a:solidFill>
          </a:ln>
          <a:effectLst/>
          <a:sp3d contourW="25400">
            <a:contourClr>
              <a:schemeClr val="lt1"/>
            </a:contourClr>
          </a:sp3d>
        </c:spPr>
      </c:pivotFmt>
      <c:pivotFmt>
        <c:idx val="9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3"/>
        <c:spPr>
          <a:solidFill>
            <a:schemeClr val="accent1">
              <a:lumMod val="40000"/>
              <a:lumOff val="60000"/>
            </a:schemeClr>
          </a:solidFill>
          <a:ln w="25400">
            <a:solidFill>
              <a:schemeClr val="lt1"/>
            </a:solidFill>
          </a:ln>
          <a:effectLst/>
          <a:sp3d contourW="25400">
            <a:contourClr>
              <a:schemeClr val="lt1"/>
            </a:contourClr>
          </a:sp3d>
        </c:spPr>
      </c:pivotFmt>
      <c:pivotFmt>
        <c:idx val="94"/>
        <c:spPr>
          <a:solidFill>
            <a:srgbClr val="63CAAA"/>
          </a:solidFill>
          <a:ln w="25400">
            <a:solidFill>
              <a:schemeClr val="lt1"/>
            </a:solidFill>
          </a:ln>
          <a:effectLst/>
          <a:sp3d contourW="25400">
            <a:contourClr>
              <a:schemeClr val="lt1"/>
            </a:contourClr>
          </a:sp3d>
        </c:spPr>
      </c:pivotFmt>
      <c:pivotFmt>
        <c:idx val="95"/>
        <c:spPr>
          <a:solidFill>
            <a:srgbClr val="A5A5A5"/>
          </a:solidFill>
          <a:ln w="25400">
            <a:solidFill>
              <a:schemeClr val="lt1"/>
            </a:solidFill>
          </a:ln>
          <a:effectLst/>
          <a:sp3d contourW="25400">
            <a:contourClr>
              <a:schemeClr val="lt1"/>
            </a:contourClr>
          </a:sp3d>
        </c:spPr>
      </c:pivotFmt>
      <c:pivotFmt>
        <c:idx val="9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7"/>
        <c:spPr>
          <a:solidFill>
            <a:srgbClr val="457B9D"/>
          </a:solidFill>
          <a:ln w="25400">
            <a:solidFill>
              <a:schemeClr val="lt1"/>
            </a:solidFill>
          </a:ln>
          <a:effectLst/>
          <a:sp3d contourW="25400">
            <a:contourClr>
              <a:schemeClr val="lt1"/>
            </a:contourClr>
          </a:sp3d>
        </c:spPr>
      </c:pivotFmt>
      <c:pivotFmt>
        <c:idx val="9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9"/>
        <c:spPr>
          <a:solidFill>
            <a:schemeClr val="accent1">
              <a:lumMod val="40000"/>
              <a:lumOff val="60000"/>
            </a:schemeClr>
          </a:solidFill>
          <a:ln w="25400">
            <a:solidFill>
              <a:schemeClr val="lt1"/>
            </a:solidFill>
          </a:ln>
          <a:effectLst/>
          <a:sp3d contourW="25400">
            <a:contourClr>
              <a:schemeClr val="lt1"/>
            </a:contourClr>
          </a:sp3d>
        </c:spPr>
      </c:pivotFmt>
      <c:pivotFmt>
        <c:idx val="100"/>
        <c:spPr>
          <a:solidFill>
            <a:srgbClr val="63CAAA"/>
          </a:solidFill>
          <a:ln w="25400">
            <a:solidFill>
              <a:schemeClr val="lt1"/>
            </a:solidFill>
          </a:ln>
          <a:effectLst/>
          <a:sp3d contourW="25400">
            <a:contourClr>
              <a:schemeClr val="lt1"/>
            </a:contourClr>
          </a:sp3d>
        </c:spPr>
      </c:pivotFmt>
      <c:pivotFmt>
        <c:idx val="101"/>
        <c:spPr>
          <a:solidFill>
            <a:srgbClr val="A5A5A5"/>
          </a:solidFill>
          <a:ln w="25400">
            <a:solidFill>
              <a:schemeClr val="lt1"/>
            </a:solidFill>
          </a:ln>
          <a:effectLst/>
          <a:sp3d contourW="25400">
            <a:contourClr>
              <a:schemeClr val="lt1"/>
            </a:contourClr>
          </a:sp3d>
        </c:spPr>
      </c:pivotFmt>
      <c:pivotFmt>
        <c:idx val="10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3"/>
        <c:spPr>
          <a:solidFill>
            <a:srgbClr val="457B9D"/>
          </a:solidFill>
          <a:ln w="25400">
            <a:solidFill>
              <a:schemeClr val="lt1"/>
            </a:solidFill>
          </a:ln>
          <a:effectLst/>
          <a:sp3d contourW="25400">
            <a:contourClr>
              <a:schemeClr val="lt1"/>
            </a:contourClr>
          </a:sp3d>
        </c:spPr>
      </c:pivotFmt>
      <c:pivotFmt>
        <c:idx val="10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1">
              <a:lumMod val="40000"/>
              <a:lumOff val="60000"/>
            </a:schemeClr>
          </a:solidFill>
          <a:ln w="25400">
            <a:solidFill>
              <a:schemeClr val="lt1"/>
            </a:solidFill>
          </a:ln>
          <a:effectLst/>
          <a:sp3d contourW="25400">
            <a:contourClr>
              <a:schemeClr val="lt1"/>
            </a:contourClr>
          </a:sp3d>
        </c:spPr>
      </c:pivotFmt>
      <c:pivotFmt>
        <c:idx val="106"/>
        <c:spPr>
          <a:solidFill>
            <a:srgbClr val="63CAAA"/>
          </a:solidFill>
          <a:ln w="25400">
            <a:solidFill>
              <a:schemeClr val="lt1"/>
            </a:solidFill>
          </a:ln>
          <a:effectLst/>
          <a:sp3d contourW="25400">
            <a:contourClr>
              <a:schemeClr val="lt1"/>
            </a:contourClr>
          </a:sp3d>
        </c:spPr>
      </c:pivotFmt>
      <c:pivotFmt>
        <c:idx val="107"/>
        <c:spPr>
          <a:solidFill>
            <a:srgbClr val="A5A5A5"/>
          </a:solidFill>
          <a:ln w="25400">
            <a:solidFill>
              <a:schemeClr val="lt1"/>
            </a:solidFill>
          </a:ln>
          <a:effectLst/>
          <a:sp3d contourW="25400">
            <a:contourClr>
              <a:schemeClr val="lt1"/>
            </a:contourClr>
          </a:sp3d>
        </c:spPr>
      </c:pivotFmt>
      <c:pivotFmt>
        <c:idx val="10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9"/>
        <c:spPr>
          <a:solidFill>
            <a:srgbClr val="457B9D"/>
          </a:solidFill>
          <a:ln w="25400">
            <a:solidFill>
              <a:schemeClr val="lt1"/>
            </a:solidFill>
          </a:ln>
          <a:effectLst/>
          <a:sp3d contourW="25400">
            <a:contourClr>
              <a:schemeClr val="lt1"/>
            </a:contourClr>
          </a:sp3d>
        </c:spPr>
      </c:pivotFmt>
      <c:pivotFmt>
        <c:idx val="1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1">
              <a:lumMod val="40000"/>
              <a:lumOff val="60000"/>
            </a:schemeClr>
          </a:solidFill>
          <a:ln w="25400">
            <a:solidFill>
              <a:schemeClr val="lt1"/>
            </a:solidFill>
          </a:ln>
          <a:effectLst/>
          <a:sp3d contourW="25400">
            <a:contourClr>
              <a:schemeClr val="lt1"/>
            </a:contourClr>
          </a:sp3d>
        </c:spPr>
      </c:pivotFmt>
      <c:pivotFmt>
        <c:idx val="112"/>
        <c:spPr>
          <a:solidFill>
            <a:srgbClr val="63CAAA"/>
          </a:solidFill>
          <a:ln w="25400">
            <a:solidFill>
              <a:schemeClr val="lt1"/>
            </a:solidFill>
          </a:ln>
          <a:effectLst/>
          <a:sp3d contourW="25400">
            <a:contourClr>
              <a:schemeClr val="lt1"/>
            </a:contourClr>
          </a:sp3d>
        </c:spPr>
      </c:pivotFmt>
      <c:pivotFmt>
        <c:idx val="113"/>
        <c:spPr>
          <a:solidFill>
            <a:srgbClr val="A5A5A5"/>
          </a:solidFill>
          <a:ln w="25400">
            <a:solidFill>
              <a:schemeClr val="lt1"/>
            </a:solidFill>
          </a:ln>
          <a:effectLst/>
          <a:sp3d contourW="25400">
            <a:contourClr>
              <a:schemeClr val="lt1"/>
            </a:contourClr>
          </a:sp3d>
        </c:spPr>
      </c:pivotFmt>
      <c:pivotFmt>
        <c:idx val="11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15"/>
        <c:spPr>
          <a:solidFill>
            <a:srgbClr val="457B9D"/>
          </a:solidFill>
          <a:ln w="25400">
            <a:solidFill>
              <a:schemeClr val="lt1"/>
            </a:solidFill>
          </a:ln>
          <a:effectLst/>
          <a:sp3d contourW="25400">
            <a:contourClr>
              <a:schemeClr val="lt1"/>
            </a:contourClr>
          </a:sp3d>
        </c:spPr>
      </c:pivotFmt>
      <c:pivotFmt>
        <c:idx val="1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7"/>
        <c:spPr>
          <a:solidFill>
            <a:schemeClr val="accent1">
              <a:lumMod val="40000"/>
              <a:lumOff val="60000"/>
            </a:schemeClr>
          </a:solidFill>
          <a:ln w="25400">
            <a:solidFill>
              <a:schemeClr val="lt1"/>
            </a:solidFill>
          </a:ln>
          <a:effectLst/>
          <a:sp3d contourW="25400">
            <a:contourClr>
              <a:schemeClr val="lt1"/>
            </a:contourClr>
          </a:sp3d>
        </c:spPr>
      </c:pivotFmt>
      <c:pivotFmt>
        <c:idx val="118"/>
        <c:spPr>
          <a:solidFill>
            <a:srgbClr val="63CAAA"/>
          </a:solidFill>
          <a:ln w="25400">
            <a:solidFill>
              <a:schemeClr val="lt1"/>
            </a:solidFill>
          </a:ln>
          <a:effectLst/>
          <a:sp3d contourW="25400">
            <a:contourClr>
              <a:schemeClr val="lt1"/>
            </a:contourClr>
          </a:sp3d>
        </c:spPr>
      </c:pivotFmt>
      <c:pivotFmt>
        <c:idx val="119"/>
        <c:spPr>
          <a:solidFill>
            <a:srgbClr val="A5A5A5"/>
          </a:solidFill>
          <a:ln w="25400">
            <a:solidFill>
              <a:schemeClr val="lt1"/>
            </a:solidFill>
          </a:ln>
          <a:effectLst/>
          <a:sp3d contourW="25400">
            <a:contourClr>
              <a:schemeClr val="lt1"/>
            </a:contourClr>
          </a:sp3d>
        </c:spPr>
      </c:pivotFmt>
      <c:pivotFmt>
        <c:idx val="12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1"/>
        <c:spPr>
          <a:solidFill>
            <a:srgbClr val="457B9D"/>
          </a:solidFill>
          <a:ln w="25400">
            <a:solidFill>
              <a:schemeClr val="lt1"/>
            </a:solidFill>
          </a:ln>
          <a:effectLst/>
          <a:sp3d contourW="25400">
            <a:contourClr>
              <a:schemeClr val="lt1"/>
            </a:contourClr>
          </a:sp3d>
        </c:spPr>
      </c:pivotFmt>
      <c:pivotFmt>
        <c:idx val="1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1">
              <a:lumMod val="40000"/>
              <a:lumOff val="60000"/>
            </a:schemeClr>
          </a:solidFill>
          <a:ln w="25400">
            <a:solidFill>
              <a:schemeClr val="lt1"/>
            </a:solidFill>
          </a:ln>
          <a:effectLst/>
          <a:sp3d contourW="25400">
            <a:contourClr>
              <a:schemeClr val="lt1"/>
            </a:contourClr>
          </a:sp3d>
        </c:spPr>
      </c:pivotFmt>
      <c:pivotFmt>
        <c:idx val="124"/>
        <c:spPr>
          <a:solidFill>
            <a:srgbClr val="63CAAA"/>
          </a:solidFill>
          <a:ln w="25400">
            <a:solidFill>
              <a:schemeClr val="lt1"/>
            </a:solidFill>
          </a:ln>
          <a:effectLst/>
          <a:sp3d contourW="25400">
            <a:contourClr>
              <a:schemeClr val="lt1"/>
            </a:contourClr>
          </a:sp3d>
        </c:spPr>
      </c:pivotFmt>
      <c:pivotFmt>
        <c:idx val="125"/>
        <c:spPr>
          <a:solidFill>
            <a:srgbClr val="A5A5A5"/>
          </a:solidFill>
          <a:ln w="25400">
            <a:solidFill>
              <a:schemeClr val="lt1"/>
            </a:solidFill>
          </a:ln>
          <a:effectLst/>
          <a:sp3d contourW="25400">
            <a:contourClr>
              <a:schemeClr val="lt1"/>
            </a:contourClr>
          </a:sp3d>
        </c:spPr>
      </c:pivotFmt>
      <c:pivotFmt>
        <c:idx val="12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7"/>
        <c:spPr>
          <a:solidFill>
            <a:srgbClr val="457B9D"/>
          </a:solidFill>
          <a:ln w="25400">
            <a:solidFill>
              <a:schemeClr val="lt1"/>
            </a:solidFill>
          </a:ln>
          <a:effectLst/>
          <a:sp3d contourW="25400">
            <a:contourClr>
              <a:schemeClr val="lt1"/>
            </a:contourClr>
          </a:sp3d>
        </c:spPr>
      </c:pivotFmt>
      <c:pivotFmt>
        <c:idx val="1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9"/>
        <c:spPr>
          <a:solidFill>
            <a:schemeClr val="accent1">
              <a:lumMod val="40000"/>
              <a:lumOff val="60000"/>
            </a:schemeClr>
          </a:solidFill>
          <a:ln w="25400">
            <a:solidFill>
              <a:schemeClr val="lt1"/>
            </a:solidFill>
          </a:ln>
          <a:effectLst/>
          <a:sp3d contourW="25400">
            <a:contourClr>
              <a:schemeClr val="lt1"/>
            </a:contourClr>
          </a:sp3d>
        </c:spPr>
      </c:pivotFmt>
      <c:pivotFmt>
        <c:idx val="130"/>
        <c:spPr>
          <a:solidFill>
            <a:srgbClr val="63CAAA"/>
          </a:solidFill>
          <a:ln w="25400">
            <a:solidFill>
              <a:schemeClr val="lt1"/>
            </a:solidFill>
          </a:ln>
          <a:effectLst/>
          <a:sp3d contourW="25400">
            <a:contourClr>
              <a:schemeClr val="lt1"/>
            </a:contourClr>
          </a:sp3d>
        </c:spPr>
      </c:pivotFmt>
      <c:pivotFmt>
        <c:idx val="131"/>
        <c:spPr>
          <a:solidFill>
            <a:srgbClr val="A5A5A5"/>
          </a:solidFill>
          <a:ln w="25400">
            <a:solidFill>
              <a:schemeClr val="lt1"/>
            </a:solidFill>
          </a:ln>
          <a:effectLst/>
          <a:sp3d contourW="25400">
            <a:contourClr>
              <a:schemeClr val="lt1"/>
            </a:contourClr>
          </a:sp3d>
        </c:spPr>
      </c:pivotFmt>
      <c:pivotFmt>
        <c:idx val="1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3"/>
        <c:spPr>
          <a:solidFill>
            <a:srgbClr val="457B9D"/>
          </a:solidFill>
          <a:ln w="25400">
            <a:solidFill>
              <a:schemeClr val="lt1"/>
            </a:solidFill>
          </a:ln>
          <a:effectLst/>
          <a:sp3d contourW="25400">
            <a:contourClr>
              <a:schemeClr val="lt1"/>
            </a:contourClr>
          </a:sp3d>
        </c:spPr>
      </c:pivotFmt>
      <c:pivotFmt>
        <c:idx val="13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5"/>
        <c:spPr>
          <a:solidFill>
            <a:schemeClr val="accent1">
              <a:lumMod val="40000"/>
              <a:lumOff val="60000"/>
            </a:schemeClr>
          </a:solidFill>
          <a:ln w="25400">
            <a:solidFill>
              <a:schemeClr val="lt1"/>
            </a:solidFill>
          </a:ln>
          <a:effectLst/>
          <a:sp3d contourW="25400">
            <a:contourClr>
              <a:schemeClr val="lt1"/>
            </a:contourClr>
          </a:sp3d>
        </c:spPr>
      </c:pivotFmt>
      <c:pivotFmt>
        <c:idx val="136"/>
        <c:spPr>
          <a:solidFill>
            <a:srgbClr val="63CAAA"/>
          </a:solidFill>
          <a:ln w="25400">
            <a:solidFill>
              <a:schemeClr val="lt1"/>
            </a:solidFill>
          </a:ln>
          <a:effectLst/>
          <a:sp3d contourW="25400">
            <a:contourClr>
              <a:schemeClr val="lt1"/>
            </a:contourClr>
          </a:sp3d>
        </c:spPr>
      </c:pivotFmt>
      <c:pivotFmt>
        <c:idx val="137"/>
        <c:spPr>
          <a:solidFill>
            <a:srgbClr val="A5A5A5"/>
          </a:solidFill>
          <a:ln w="25400">
            <a:solidFill>
              <a:schemeClr val="lt1"/>
            </a:solidFill>
          </a:ln>
          <a:effectLst/>
          <a:sp3d contourW="25400">
            <a:contourClr>
              <a:schemeClr val="lt1"/>
            </a:contourClr>
          </a:sp3d>
        </c:spPr>
      </c:pivotFmt>
      <c:pivotFmt>
        <c:idx val="13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9"/>
        <c:spPr>
          <a:solidFill>
            <a:srgbClr val="457B9D"/>
          </a:solidFill>
          <a:ln w="25400">
            <a:solidFill>
              <a:schemeClr val="lt1"/>
            </a:solidFill>
          </a:ln>
          <a:effectLst/>
          <a:sp3d contourW="25400">
            <a:contourClr>
              <a:schemeClr val="lt1"/>
            </a:contourClr>
          </a:sp3d>
        </c:spPr>
      </c:pivotFmt>
      <c:pivotFmt>
        <c:idx val="1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1"/>
        <c:spPr>
          <a:solidFill>
            <a:schemeClr val="accent1">
              <a:lumMod val="40000"/>
              <a:lumOff val="60000"/>
            </a:schemeClr>
          </a:solidFill>
          <a:ln w="25400">
            <a:solidFill>
              <a:schemeClr val="lt1"/>
            </a:solidFill>
          </a:ln>
          <a:effectLst/>
          <a:sp3d contourW="25400">
            <a:contourClr>
              <a:schemeClr val="lt1"/>
            </a:contourClr>
          </a:sp3d>
        </c:spPr>
      </c:pivotFmt>
      <c:pivotFmt>
        <c:idx val="142"/>
        <c:spPr>
          <a:solidFill>
            <a:srgbClr val="63CAAA"/>
          </a:solidFill>
          <a:ln w="25400">
            <a:solidFill>
              <a:schemeClr val="lt1"/>
            </a:solidFill>
          </a:ln>
          <a:effectLst/>
          <a:sp3d contourW="25400">
            <a:contourClr>
              <a:schemeClr val="lt1"/>
            </a:contourClr>
          </a:sp3d>
        </c:spPr>
      </c:pivotFmt>
      <c:pivotFmt>
        <c:idx val="143"/>
        <c:spPr>
          <a:solidFill>
            <a:srgbClr val="A5A5A5"/>
          </a:solidFill>
          <a:ln w="25400">
            <a:solidFill>
              <a:schemeClr val="lt1"/>
            </a:solidFill>
          </a:ln>
          <a:effectLst/>
          <a:sp3d contourW="25400">
            <a:contourClr>
              <a:schemeClr val="lt1"/>
            </a:contourClr>
          </a:sp3d>
        </c:spPr>
      </c:pivotFmt>
      <c:pivotFmt>
        <c:idx val="14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45"/>
        <c:spPr>
          <a:solidFill>
            <a:srgbClr val="457B9D"/>
          </a:solidFill>
          <a:ln w="25400">
            <a:solidFill>
              <a:schemeClr val="lt1"/>
            </a:solidFill>
          </a:ln>
          <a:effectLst/>
          <a:sp3d contourW="25400">
            <a:contourClr>
              <a:schemeClr val="lt1"/>
            </a:contourClr>
          </a:sp3d>
        </c:spPr>
      </c:pivotFmt>
      <c:pivotFmt>
        <c:idx val="1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7"/>
        <c:spPr>
          <a:solidFill>
            <a:schemeClr val="accent1">
              <a:lumMod val="40000"/>
              <a:lumOff val="60000"/>
            </a:schemeClr>
          </a:solidFill>
          <a:ln w="25400">
            <a:solidFill>
              <a:schemeClr val="lt1"/>
            </a:solidFill>
          </a:ln>
          <a:effectLst/>
          <a:sp3d contourW="25400">
            <a:contourClr>
              <a:schemeClr val="lt1"/>
            </a:contourClr>
          </a:sp3d>
        </c:spPr>
      </c:pivotFmt>
      <c:pivotFmt>
        <c:idx val="148"/>
        <c:spPr>
          <a:solidFill>
            <a:srgbClr val="63CAAA"/>
          </a:solidFill>
          <a:ln w="25400">
            <a:solidFill>
              <a:schemeClr val="lt1"/>
            </a:solidFill>
          </a:ln>
          <a:effectLst/>
          <a:sp3d contourW="25400">
            <a:contourClr>
              <a:schemeClr val="lt1"/>
            </a:contourClr>
          </a:sp3d>
        </c:spPr>
      </c:pivotFmt>
      <c:pivotFmt>
        <c:idx val="149"/>
        <c:spPr>
          <a:solidFill>
            <a:srgbClr val="A5A5A5"/>
          </a:solidFill>
          <a:ln w="25400">
            <a:solidFill>
              <a:schemeClr val="lt1"/>
            </a:solidFill>
          </a:ln>
          <a:effectLst/>
          <a:sp3d contourW="25400">
            <a:contourClr>
              <a:schemeClr val="lt1"/>
            </a:contourClr>
          </a:sp3d>
        </c:spPr>
      </c:pivotFmt>
      <c:pivotFmt>
        <c:idx val="15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1"/>
        <c:spPr>
          <a:solidFill>
            <a:srgbClr val="457B9D"/>
          </a:solidFill>
          <a:ln w="25400">
            <a:solidFill>
              <a:schemeClr val="lt1"/>
            </a:solidFill>
          </a:ln>
          <a:effectLst/>
          <a:sp3d contourW="25400">
            <a:contourClr>
              <a:schemeClr val="lt1"/>
            </a:contourClr>
          </a:sp3d>
        </c:spPr>
      </c:pivotFmt>
      <c:pivotFmt>
        <c:idx val="1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3"/>
        <c:spPr>
          <a:solidFill>
            <a:schemeClr val="accent1">
              <a:lumMod val="40000"/>
              <a:lumOff val="60000"/>
            </a:schemeClr>
          </a:solidFill>
          <a:ln w="25400">
            <a:solidFill>
              <a:schemeClr val="lt1"/>
            </a:solidFill>
          </a:ln>
          <a:effectLst/>
          <a:sp3d contourW="25400">
            <a:contourClr>
              <a:schemeClr val="lt1"/>
            </a:contourClr>
          </a:sp3d>
        </c:spPr>
      </c:pivotFmt>
      <c:pivotFmt>
        <c:idx val="154"/>
        <c:spPr>
          <a:solidFill>
            <a:srgbClr val="63CAAA"/>
          </a:solidFill>
          <a:ln w="25400">
            <a:solidFill>
              <a:schemeClr val="lt1"/>
            </a:solidFill>
          </a:ln>
          <a:effectLst/>
          <a:sp3d contourW="25400">
            <a:contourClr>
              <a:schemeClr val="lt1"/>
            </a:contourClr>
          </a:sp3d>
        </c:spPr>
      </c:pivotFmt>
      <c:pivotFmt>
        <c:idx val="155"/>
        <c:spPr>
          <a:solidFill>
            <a:srgbClr val="A5A5A5"/>
          </a:solidFill>
          <a:ln w="25400">
            <a:solidFill>
              <a:schemeClr val="lt1"/>
            </a:solidFill>
          </a:ln>
          <a:effectLst/>
          <a:sp3d contourW="25400">
            <a:contourClr>
              <a:schemeClr val="lt1"/>
            </a:contourClr>
          </a:sp3d>
        </c:spPr>
      </c:pivotFmt>
      <c:pivotFmt>
        <c:idx val="15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7"/>
        <c:spPr>
          <a:solidFill>
            <a:srgbClr val="457B9D"/>
          </a:solidFill>
          <a:ln w="25400">
            <a:solidFill>
              <a:schemeClr val="lt1"/>
            </a:solidFill>
          </a:ln>
          <a:effectLst/>
          <a:sp3d contourW="25400">
            <a:contourClr>
              <a:schemeClr val="lt1"/>
            </a:contourClr>
          </a:sp3d>
        </c:spPr>
      </c:pivotFmt>
      <c:pivotFmt>
        <c:idx val="15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9"/>
        <c:spPr>
          <a:solidFill>
            <a:schemeClr val="accent1">
              <a:lumMod val="40000"/>
              <a:lumOff val="60000"/>
            </a:schemeClr>
          </a:solidFill>
          <a:ln w="25400">
            <a:solidFill>
              <a:schemeClr val="lt1"/>
            </a:solidFill>
          </a:ln>
          <a:effectLst/>
          <a:sp3d contourW="25400">
            <a:contourClr>
              <a:schemeClr val="lt1"/>
            </a:contourClr>
          </a:sp3d>
        </c:spPr>
      </c:pivotFmt>
      <c:pivotFmt>
        <c:idx val="160"/>
        <c:spPr>
          <a:solidFill>
            <a:srgbClr val="63CAAA"/>
          </a:solidFill>
          <a:ln w="25400">
            <a:solidFill>
              <a:schemeClr val="lt1"/>
            </a:solidFill>
          </a:ln>
          <a:effectLst/>
          <a:sp3d contourW="25400">
            <a:contourClr>
              <a:schemeClr val="lt1"/>
            </a:contourClr>
          </a:sp3d>
        </c:spPr>
      </c:pivotFmt>
      <c:pivotFmt>
        <c:idx val="161"/>
        <c:spPr>
          <a:solidFill>
            <a:srgbClr val="A5A5A5"/>
          </a:solidFill>
          <a:ln w="25400">
            <a:solidFill>
              <a:schemeClr val="lt1"/>
            </a:solidFill>
          </a:ln>
          <a:effectLst/>
          <a:sp3d contourW="25400">
            <a:contourClr>
              <a:schemeClr val="lt1"/>
            </a:contourClr>
          </a:sp3d>
        </c:spPr>
      </c:pivotFmt>
      <c:pivotFmt>
        <c:idx val="16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3"/>
        <c:spPr>
          <a:solidFill>
            <a:srgbClr val="457B9D"/>
          </a:solidFill>
          <a:ln w="25400">
            <a:solidFill>
              <a:schemeClr val="lt1"/>
            </a:solidFill>
          </a:ln>
          <a:effectLst/>
          <a:sp3d contourW="25400">
            <a:contourClr>
              <a:schemeClr val="lt1"/>
            </a:contourClr>
          </a:sp3d>
        </c:spPr>
      </c:pivotFmt>
      <c:pivotFmt>
        <c:idx val="16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5"/>
        <c:spPr>
          <a:solidFill>
            <a:schemeClr val="accent1">
              <a:lumMod val="40000"/>
              <a:lumOff val="60000"/>
            </a:schemeClr>
          </a:solidFill>
          <a:ln w="25400">
            <a:solidFill>
              <a:schemeClr val="lt1"/>
            </a:solidFill>
          </a:ln>
          <a:effectLst/>
          <a:sp3d contourW="25400">
            <a:contourClr>
              <a:schemeClr val="lt1"/>
            </a:contourClr>
          </a:sp3d>
        </c:spPr>
      </c:pivotFmt>
      <c:pivotFmt>
        <c:idx val="166"/>
        <c:spPr>
          <a:solidFill>
            <a:srgbClr val="63CAAA"/>
          </a:solidFill>
          <a:ln w="25400">
            <a:solidFill>
              <a:schemeClr val="lt1"/>
            </a:solidFill>
          </a:ln>
          <a:effectLst/>
          <a:sp3d contourW="25400">
            <a:contourClr>
              <a:schemeClr val="lt1"/>
            </a:contourClr>
          </a:sp3d>
        </c:spPr>
      </c:pivotFmt>
      <c:pivotFmt>
        <c:idx val="167"/>
        <c:spPr>
          <a:solidFill>
            <a:srgbClr val="A5A5A5"/>
          </a:solidFill>
          <a:ln w="25400">
            <a:solidFill>
              <a:schemeClr val="lt1"/>
            </a:solidFill>
          </a:ln>
          <a:effectLst/>
          <a:sp3d contourW="25400">
            <a:contourClr>
              <a:schemeClr val="lt1"/>
            </a:contourClr>
          </a:sp3d>
        </c:spPr>
      </c:pivotFmt>
      <c:pivotFmt>
        <c:idx val="16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9"/>
        <c:spPr>
          <a:solidFill>
            <a:srgbClr val="457B9D"/>
          </a:solidFill>
          <a:ln w="25400">
            <a:solidFill>
              <a:schemeClr val="lt1"/>
            </a:solidFill>
          </a:ln>
          <a:effectLst/>
          <a:sp3d contourW="25400">
            <a:contourClr>
              <a:schemeClr val="lt1"/>
            </a:contourClr>
          </a:sp3d>
        </c:spPr>
      </c:pivotFmt>
      <c:pivotFmt>
        <c:idx val="17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1"/>
        <c:spPr>
          <a:solidFill>
            <a:schemeClr val="accent1">
              <a:lumMod val="40000"/>
              <a:lumOff val="60000"/>
            </a:schemeClr>
          </a:solidFill>
          <a:ln w="25400">
            <a:solidFill>
              <a:schemeClr val="lt1"/>
            </a:solidFill>
          </a:ln>
          <a:effectLst/>
          <a:sp3d contourW="25400">
            <a:contourClr>
              <a:schemeClr val="lt1"/>
            </a:contourClr>
          </a:sp3d>
        </c:spPr>
      </c:pivotFmt>
      <c:pivotFmt>
        <c:idx val="172"/>
        <c:spPr>
          <a:solidFill>
            <a:srgbClr val="63CAAA"/>
          </a:solidFill>
          <a:ln w="25400">
            <a:solidFill>
              <a:schemeClr val="lt1"/>
            </a:solidFill>
          </a:ln>
          <a:effectLst/>
          <a:sp3d contourW="25400">
            <a:contourClr>
              <a:schemeClr val="lt1"/>
            </a:contourClr>
          </a:sp3d>
        </c:spPr>
      </c:pivotFmt>
      <c:pivotFmt>
        <c:idx val="173"/>
        <c:spPr>
          <a:solidFill>
            <a:srgbClr val="A5A5A5"/>
          </a:solidFill>
          <a:ln w="25400">
            <a:solidFill>
              <a:schemeClr val="lt1"/>
            </a:solidFill>
          </a:ln>
          <a:effectLst/>
          <a:sp3d contourW="25400">
            <a:contourClr>
              <a:schemeClr val="lt1"/>
            </a:contourClr>
          </a:sp3d>
        </c:spPr>
      </c:pivotFmt>
      <c:pivotFmt>
        <c:idx val="17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7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6"/>
        <c:spPr>
          <a:solidFill>
            <a:schemeClr val="accent1">
              <a:lumMod val="40000"/>
              <a:lumOff val="60000"/>
            </a:schemeClr>
          </a:solidFill>
          <a:ln w="25400">
            <a:solidFill>
              <a:schemeClr val="lt1"/>
            </a:solidFill>
          </a:ln>
          <a:effectLst/>
          <a:sp3d contourW="25400">
            <a:contourClr>
              <a:schemeClr val="lt1"/>
            </a:contourClr>
          </a:sp3d>
        </c:spPr>
      </c:pivotFmt>
      <c:pivotFmt>
        <c:idx val="177"/>
        <c:spPr>
          <a:solidFill>
            <a:srgbClr val="63CAAA"/>
          </a:solidFill>
          <a:ln w="25400">
            <a:solidFill>
              <a:schemeClr val="lt1"/>
            </a:solidFill>
          </a:ln>
          <a:effectLst/>
          <a:sp3d contourW="25400">
            <a:contourClr>
              <a:schemeClr val="lt1"/>
            </a:contourClr>
          </a:sp3d>
        </c:spPr>
      </c:pivotFmt>
      <c:pivotFmt>
        <c:idx val="178"/>
        <c:spPr>
          <a:solidFill>
            <a:srgbClr val="A5A5A5"/>
          </a:solidFill>
          <a:ln w="25400">
            <a:solidFill>
              <a:schemeClr val="lt1"/>
            </a:solidFill>
          </a:ln>
          <a:effectLst/>
          <a:sp3d contourW="25400">
            <a:contourClr>
              <a:schemeClr val="lt1"/>
            </a:contourClr>
          </a:sp3d>
        </c:spPr>
      </c:pivotFmt>
      <c:pivotFmt>
        <c:idx val="179"/>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8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1"/>
        <c:spPr>
          <a:solidFill>
            <a:schemeClr val="accent1">
              <a:lumMod val="40000"/>
              <a:lumOff val="60000"/>
            </a:schemeClr>
          </a:solidFill>
          <a:ln w="25400">
            <a:solidFill>
              <a:schemeClr val="lt1"/>
            </a:solidFill>
          </a:ln>
          <a:effectLst/>
          <a:sp3d contourW="25400">
            <a:contourClr>
              <a:schemeClr val="lt1"/>
            </a:contourClr>
          </a:sp3d>
        </c:spPr>
      </c:pivotFmt>
      <c:pivotFmt>
        <c:idx val="182"/>
        <c:spPr>
          <a:solidFill>
            <a:srgbClr val="63CAAA"/>
          </a:solidFill>
          <a:ln w="25400">
            <a:solidFill>
              <a:schemeClr val="lt1"/>
            </a:solidFill>
          </a:ln>
          <a:effectLst/>
          <a:sp3d contourW="25400">
            <a:contourClr>
              <a:schemeClr val="lt1"/>
            </a:contourClr>
          </a:sp3d>
        </c:spPr>
      </c:pivotFmt>
      <c:pivotFmt>
        <c:idx val="183"/>
        <c:spPr>
          <a:solidFill>
            <a:srgbClr val="A5A5A5"/>
          </a:solidFill>
          <a:ln w="25400">
            <a:solidFill>
              <a:schemeClr val="lt1"/>
            </a:solidFill>
          </a:ln>
          <a:effectLst/>
          <a:sp3d contourW="25400">
            <a:contourClr>
              <a:schemeClr val="lt1"/>
            </a:contourClr>
          </a:sp3d>
        </c:spPr>
      </c:pivotFmt>
      <c:pivotFmt>
        <c:idx val="18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s>
    <c:plotArea>
      <c:layout>
        <c:manualLayout>
          <c:layoutTarget val="inner"/>
          <c:xMode val="edge"/>
          <c:yMode val="edge"/>
          <c:x val="0"/>
          <c:y val="0.12541666666666668"/>
          <c:w val="1"/>
          <c:h val="0.85606481481481478"/>
        </c:manualLayout>
      </c:layout>
      <c:doughnutChart>
        <c:varyColors val="1"/>
        <c:ser>
          <c:idx val="0"/>
          <c:order val="0"/>
          <c:tx>
            <c:strRef>
              <c:f>'Phân tích'!$L$8</c:f>
              <c:strCache>
                <c:ptCount val="1"/>
                <c:pt idx="0">
                  <c:v>Total</c:v>
                </c:pt>
              </c:strCache>
            </c:strRef>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85-406D-B852-3F4AF455300E}"/>
              </c:ext>
            </c:extLst>
          </c:dPt>
          <c:dPt>
            <c:idx val="1"/>
            <c:bubble3D val="0"/>
            <c:spPr>
              <a:solidFill>
                <a:srgbClr val="63CAAA"/>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85-406D-B852-3F4AF455300E}"/>
              </c:ext>
            </c:extLst>
          </c:dPt>
          <c:dPt>
            <c:idx val="2"/>
            <c:bubble3D val="0"/>
            <c:spPr>
              <a:solidFill>
                <a:srgbClr val="A5A5A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85-406D-B852-3F4AF455300E}"/>
              </c:ext>
            </c:extLst>
          </c:dPt>
          <c:dPt>
            <c:idx val="3"/>
            <c:bubble3D val="0"/>
            <c:spPr>
              <a:solidFill>
                <a:srgbClr val="1D3557"/>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85-406D-B852-3F4AF455300E}"/>
              </c:ext>
            </c:extLst>
          </c:dPt>
          <c:dPt>
            <c:idx val="4"/>
            <c:bubble3D val="0"/>
            <c:extLst>
              <c:ext xmlns:c16="http://schemas.microsoft.com/office/drawing/2014/chart" uri="{C3380CC4-5D6E-409C-BE32-E72D297353CC}">
                <c16:uniqueId val="{00000008-9C85-406D-B852-3F4AF455300E}"/>
              </c:ext>
            </c:extLst>
          </c:dPt>
          <c:dLbls>
            <c:dLbl>
              <c:idx val="3"/>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 xmlns:c16="http://schemas.microsoft.com/office/drawing/2014/chart" uri="{C3380CC4-5D6E-409C-BE32-E72D297353CC}">
                  <c16:uniqueId val="{00000007-9C85-406D-B852-3F4AF455300E}"/>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tích'!$K$9:$K$13</c:f>
              <c:strCache>
                <c:ptCount val="4"/>
                <c:pt idx="0">
                  <c:v>25-34</c:v>
                </c:pt>
                <c:pt idx="1">
                  <c:v>35-44</c:v>
                </c:pt>
                <c:pt idx="2">
                  <c:v>45-55</c:v>
                </c:pt>
                <c:pt idx="3">
                  <c:v>Dưới 25</c:v>
                </c:pt>
              </c:strCache>
            </c:strRef>
          </c:cat>
          <c:val>
            <c:numRef>
              <c:f>'Phân tích'!$L$9:$L$13</c:f>
              <c:numCache>
                <c:formatCode>General</c:formatCode>
                <c:ptCount val="4"/>
                <c:pt idx="0">
                  <c:v>249</c:v>
                </c:pt>
                <c:pt idx="1">
                  <c:v>95</c:v>
                </c:pt>
                <c:pt idx="2">
                  <c:v>17</c:v>
                </c:pt>
                <c:pt idx="3">
                  <c:v>23</c:v>
                </c:pt>
              </c:numCache>
            </c:numRef>
          </c:val>
          <c:extLst>
            <c:ext xmlns:c16="http://schemas.microsoft.com/office/drawing/2014/chart" uri="{C3380CC4-5D6E-409C-BE32-E72D297353CC}">
              <c16:uniqueId val="{00000009-9C85-406D-B852-3F4AF455300E}"/>
            </c:ext>
          </c:extLst>
        </c:ser>
        <c:dLbls>
          <c:showLegendKey val="0"/>
          <c:showVal val="0"/>
          <c:showCatName val="0"/>
          <c:showSerName val="0"/>
          <c:showPercent val="0"/>
          <c:showBubbleSize val="0"/>
          <c:showLeaderLines val="1"/>
        </c:dLbls>
        <c:firstSliceAng val="0"/>
        <c:holeSize val="22"/>
      </c:doughnutChart>
      <c:spPr>
        <a:noFill/>
        <a:ln>
          <a:noFill/>
        </a:ln>
        <a:effectLst/>
        <a:sp3d/>
      </c:spPr>
    </c:plotArea>
    <c:plotVisOnly val="1"/>
    <c:dispBlanksAs val="gap"/>
    <c:showDLblsOverMax val="0"/>
    <c:extLst/>
  </c:chart>
  <c:spPr>
    <a:ln w="19050">
      <a:solidFill>
        <a:srgbClr val="002060"/>
      </a:solidFill>
    </a:ln>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tích!Thâm niên CT</c:name>
    <c:fmtId val="4"/>
  </c:pivotSource>
  <c:chart>
    <c:title>
      <c:tx>
        <c:rich>
          <a:bodyPr rot="0" spcFirstLastPara="1" vertOverflow="ellipsis" vert="horz" wrap="square" anchor="ctr" anchorCtr="1"/>
          <a:lstStyle/>
          <a:p>
            <a:pPr algn="ctr" rtl="0">
              <a:defRPr lang="en-US" sz="900" b="1" i="0" u="none" strike="noStrike" kern="1200" spc="0" baseline="0">
                <a:solidFill>
                  <a:srgbClr val="0070C0"/>
                </a:solidFill>
                <a:latin typeface="Corbel" panose="020B0503020204020204" pitchFamily="34" charset="0"/>
                <a:ea typeface="+mn-ea"/>
                <a:cs typeface="+mn-cs"/>
              </a:defRPr>
            </a:pPr>
            <a:r>
              <a:rPr lang="en-US" sz="900" b="1" i="0" u="none" strike="noStrike" kern="1200" spc="0" baseline="0">
                <a:solidFill>
                  <a:srgbClr val="0070C0"/>
                </a:solidFill>
                <a:latin typeface="Corbel" panose="020B0503020204020204" pitchFamily="34" charset="0"/>
                <a:ea typeface="+mn-ea"/>
                <a:cs typeface="+mn-cs"/>
              </a:rPr>
              <a:t>NHÓM THÂM NIÊN CÔNG TÁC</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lumMod val="40000"/>
              <a:lumOff val="60000"/>
            </a:schemeClr>
          </a:solidFill>
          <a:ln w="25400">
            <a:solidFill>
              <a:schemeClr val="lt1"/>
            </a:solidFill>
          </a:ln>
          <a:effectLst/>
          <a:sp3d contourW="25400">
            <a:contourClr>
              <a:schemeClr val="lt1"/>
            </a:contourClr>
          </a:sp3d>
        </c:spPr>
      </c:pivotFmt>
      <c:pivotFmt>
        <c:idx val="16"/>
        <c:spPr>
          <a:solidFill>
            <a:srgbClr val="E63946"/>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19"/>
        <c:spPr>
          <a:solidFill>
            <a:srgbClr val="457B9D"/>
          </a:solidFill>
          <a:ln w="25400">
            <a:solidFill>
              <a:schemeClr val="lt1"/>
            </a:solidFill>
          </a:ln>
          <a:effectLst/>
          <a:sp3d contourW="25400">
            <a:contourClr>
              <a:schemeClr val="lt1"/>
            </a:contourClr>
          </a:sp3d>
        </c:spPr>
      </c:pivotFmt>
      <c:pivotFmt>
        <c:idx val="20"/>
        <c:spPr>
          <a:solidFill>
            <a:srgbClr val="A8DADC"/>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lumMod val="40000"/>
              <a:lumOff val="60000"/>
            </a:schemeClr>
          </a:solidFill>
          <a:ln w="25400">
            <a:solidFill>
              <a:schemeClr val="lt1"/>
            </a:solidFill>
          </a:ln>
          <a:effectLst/>
          <a:sp3d contourW="25400">
            <a:contourClr>
              <a:schemeClr val="lt1"/>
            </a:contourClr>
          </a:sp3d>
        </c:spPr>
      </c:pivotFmt>
      <c:pivotFmt>
        <c:idx val="23"/>
        <c:spPr>
          <a:solidFill>
            <a:srgbClr val="E63946"/>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26"/>
        <c:spPr>
          <a:solidFill>
            <a:srgbClr val="457B9D"/>
          </a:solidFill>
          <a:ln w="25400">
            <a:solidFill>
              <a:schemeClr val="lt1"/>
            </a:solidFill>
          </a:ln>
          <a:effectLst/>
          <a:sp3d contourW="25400">
            <a:contourClr>
              <a:schemeClr val="lt1"/>
            </a:contourClr>
          </a:sp3d>
        </c:spPr>
      </c:pivotFmt>
      <c:pivotFmt>
        <c:idx val="27"/>
        <c:spPr>
          <a:solidFill>
            <a:srgbClr val="A8DADC"/>
          </a:solidFill>
          <a:ln w="25400">
            <a:solidFill>
              <a:schemeClr val="lt1"/>
            </a:solidFill>
          </a:ln>
          <a:effectLst/>
          <a:sp3d contourW="25400">
            <a:contourClr>
              <a:schemeClr val="lt1"/>
            </a:contourClr>
          </a:sp3d>
        </c:spPr>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lumMod val="40000"/>
              <a:lumOff val="60000"/>
            </a:schemeClr>
          </a:solidFill>
          <a:ln w="25400">
            <a:solidFill>
              <a:schemeClr val="lt1"/>
            </a:solidFill>
          </a:ln>
          <a:effectLst/>
          <a:sp3d contourW="25400">
            <a:contourClr>
              <a:schemeClr val="lt1"/>
            </a:contourClr>
          </a:sp3d>
        </c:spPr>
      </c:pivotFmt>
      <c:pivotFmt>
        <c:idx val="30"/>
        <c:spPr>
          <a:solidFill>
            <a:srgbClr val="E63946"/>
          </a:solidFill>
          <a:ln w="25400">
            <a:solidFill>
              <a:schemeClr val="lt1"/>
            </a:solidFill>
          </a:ln>
          <a:effectLst/>
          <a:sp3d contourW="25400">
            <a:contourClr>
              <a:schemeClr val="lt1"/>
            </a:contourClr>
          </a:sp3d>
        </c:spPr>
      </c:pivotFmt>
      <c:pivotFmt>
        <c:idx val="31"/>
        <c:spPr>
          <a:solidFill>
            <a:schemeClr val="accent3"/>
          </a:solidFill>
          <a:ln w="25400">
            <a:solidFill>
              <a:schemeClr val="lt1"/>
            </a:solidFill>
          </a:ln>
          <a:effectLst/>
          <a:sp3d contourW="25400">
            <a:contourClr>
              <a:schemeClr val="lt1"/>
            </a:contourClr>
          </a:sp3d>
        </c:spPr>
      </c:pivotFmt>
      <c:pivotFmt>
        <c:idx val="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33"/>
        <c:spPr>
          <a:solidFill>
            <a:srgbClr val="457B9D"/>
          </a:solidFill>
          <a:ln w="25400">
            <a:solidFill>
              <a:schemeClr val="lt1"/>
            </a:solidFill>
          </a:ln>
          <a:effectLst/>
          <a:sp3d contourW="25400">
            <a:contourClr>
              <a:schemeClr val="lt1"/>
            </a:contourClr>
          </a:sp3d>
        </c:spPr>
      </c:pivotFmt>
      <c:pivotFmt>
        <c:idx val="34"/>
        <c:spPr>
          <a:solidFill>
            <a:srgbClr val="A8DADC"/>
          </a:solidFill>
          <a:ln w="25400">
            <a:solidFill>
              <a:schemeClr val="lt1"/>
            </a:solidFill>
          </a:ln>
          <a:effectLst/>
          <a:sp3d contourW="25400">
            <a:contourClr>
              <a:schemeClr val="lt1"/>
            </a:contourClr>
          </a:sp3d>
        </c:spPr>
      </c:pivotFmt>
      <c:pivotFmt>
        <c:idx val="3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lumMod val="40000"/>
              <a:lumOff val="60000"/>
            </a:schemeClr>
          </a:solidFill>
          <a:ln w="25400">
            <a:solidFill>
              <a:schemeClr val="lt1"/>
            </a:solidFill>
          </a:ln>
          <a:effectLst/>
          <a:sp3d contourW="25400">
            <a:contourClr>
              <a:schemeClr val="lt1"/>
            </a:contourClr>
          </a:sp3d>
        </c:spPr>
      </c:pivotFmt>
      <c:pivotFmt>
        <c:idx val="37"/>
        <c:spPr>
          <a:solidFill>
            <a:srgbClr val="E63946"/>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0"/>
        <c:spPr>
          <a:solidFill>
            <a:srgbClr val="457B9D"/>
          </a:solidFill>
          <a:ln w="25400">
            <a:solidFill>
              <a:schemeClr val="lt1"/>
            </a:solidFill>
          </a:ln>
          <a:effectLst/>
          <a:sp3d contourW="25400">
            <a:contourClr>
              <a:schemeClr val="lt1"/>
            </a:contourClr>
          </a:sp3d>
        </c:spPr>
      </c:pivotFmt>
      <c:pivotFmt>
        <c:idx val="41"/>
        <c:spPr>
          <a:solidFill>
            <a:srgbClr val="A8DADC"/>
          </a:solidFill>
          <a:ln w="25400">
            <a:solidFill>
              <a:schemeClr val="lt1"/>
            </a:solidFill>
          </a:ln>
          <a:effectLst/>
          <a:sp3d contourW="25400">
            <a:contourClr>
              <a:schemeClr val="lt1"/>
            </a:contourClr>
          </a:sp3d>
        </c:spPr>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3"/>
        <c:spPr>
          <a:solidFill>
            <a:schemeClr val="accent1">
              <a:lumMod val="40000"/>
              <a:lumOff val="60000"/>
            </a:schemeClr>
          </a:solidFill>
          <a:ln w="25400">
            <a:solidFill>
              <a:schemeClr val="lt1"/>
            </a:solidFill>
          </a:ln>
          <a:effectLst/>
          <a:sp3d contourW="25400">
            <a:contourClr>
              <a:schemeClr val="lt1"/>
            </a:contourClr>
          </a:sp3d>
        </c:spPr>
      </c:pivotFmt>
      <c:pivotFmt>
        <c:idx val="44"/>
        <c:spPr>
          <a:solidFill>
            <a:srgbClr val="63CAAA"/>
          </a:solidFill>
          <a:ln w="25400">
            <a:solidFill>
              <a:schemeClr val="lt1"/>
            </a:solidFill>
          </a:ln>
          <a:effectLst/>
          <a:sp3d contourW="25400">
            <a:contourClr>
              <a:schemeClr val="lt1"/>
            </a:contourClr>
          </a:sp3d>
        </c:spPr>
      </c:pivotFmt>
      <c:pivotFmt>
        <c:idx val="45"/>
        <c:spPr>
          <a:solidFill>
            <a:srgbClr val="A5A5A5"/>
          </a:solidFill>
          <a:ln w="25400">
            <a:solidFill>
              <a:schemeClr val="lt1"/>
            </a:solidFill>
          </a:ln>
          <a:effectLst/>
          <a:sp3d contourW="25400">
            <a:contourClr>
              <a:schemeClr val="lt1"/>
            </a:contourClr>
          </a:sp3d>
        </c:spPr>
      </c:pivotFmt>
      <c:pivotFmt>
        <c:idx val="4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47"/>
        <c:spPr>
          <a:solidFill>
            <a:srgbClr val="457B9D"/>
          </a:solidFill>
          <a:ln w="25400">
            <a:solidFill>
              <a:schemeClr val="lt1"/>
            </a:solidFill>
          </a:ln>
          <a:effectLst/>
          <a:sp3d contourW="25400">
            <a:contourClr>
              <a:schemeClr val="lt1"/>
            </a:contourClr>
          </a:sp3d>
        </c:spPr>
      </c:pivotFmt>
      <c:pivotFmt>
        <c:idx val="48"/>
        <c:spPr>
          <a:solidFill>
            <a:srgbClr val="A8DADC"/>
          </a:solidFill>
          <a:ln w="25400">
            <a:solidFill>
              <a:schemeClr val="lt1"/>
            </a:solidFill>
          </a:ln>
          <a:effectLst/>
          <a:sp3d contourW="25400">
            <a:contourClr>
              <a:schemeClr val="lt1"/>
            </a:contourClr>
          </a:sp3d>
        </c:spPr>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0"/>
        <c:spPr>
          <a:solidFill>
            <a:schemeClr val="accent1">
              <a:lumMod val="40000"/>
              <a:lumOff val="60000"/>
            </a:schemeClr>
          </a:solidFill>
          <a:ln w="25400">
            <a:solidFill>
              <a:schemeClr val="lt1"/>
            </a:solidFill>
          </a:ln>
          <a:effectLst/>
          <a:sp3d contourW="25400">
            <a:contourClr>
              <a:schemeClr val="lt1"/>
            </a:contourClr>
          </a:sp3d>
        </c:spPr>
      </c:pivotFmt>
      <c:pivotFmt>
        <c:idx val="51"/>
        <c:spPr>
          <a:solidFill>
            <a:srgbClr val="63CAAA"/>
          </a:solidFill>
          <a:ln w="25400">
            <a:solidFill>
              <a:schemeClr val="lt1"/>
            </a:solidFill>
          </a:ln>
          <a:effectLst/>
          <a:sp3d contourW="25400">
            <a:contourClr>
              <a:schemeClr val="lt1"/>
            </a:contourClr>
          </a:sp3d>
        </c:spPr>
      </c:pivotFmt>
      <c:pivotFmt>
        <c:idx val="52"/>
        <c:spPr>
          <a:solidFill>
            <a:srgbClr val="A5A5A5"/>
          </a:solidFill>
          <a:ln w="25400">
            <a:solidFill>
              <a:schemeClr val="lt1"/>
            </a:solidFill>
          </a:ln>
          <a:effectLst/>
          <a:sp3d contourW="25400">
            <a:contourClr>
              <a:schemeClr val="lt1"/>
            </a:contourClr>
          </a:sp3d>
        </c:spPr>
      </c:pivotFmt>
      <c:pivotFmt>
        <c:idx val="53"/>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925702688863967"/>
                  <c:h val="9.0760101010100999E-2"/>
                </c:manualLayout>
              </c15:layout>
            </c:ext>
          </c:extLst>
        </c:dLbl>
      </c:pivotFmt>
      <c:pivotFmt>
        <c:idx val="54"/>
        <c:spPr>
          <a:solidFill>
            <a:srgbClr val="457B9D"/>
          </a:solidFill>
          <a:ln w="25400">
            <a:solidFill>
              <a:schemeClr val="lt1"/>
            </a:solidFill>
          </a:ln>
          <a:effectLst/>
          <a:sp3d contourW="25400">
            <a:contourClr>
              <a:schemeClr val="lt1"/>
            </a:contourClr>
          </a:sp3d>
        </c:spPr>
      </c:pivotFmt>
      <c:pivotFmt>
        <c:idx val="55"/>
        <c:spPr>
          <a:solidFill>
            <a:srgbClr val="A8DADC"/>
          </a:solidFill>
          <a:ln w="25400">
            <a:solidFill>
              <a:schemeClr val="lt1"/>
            </a:solidFill>
          </a:ln>
          <a:effectLst/>
          <a:sp3d contourW="25400">
            <a:contourClr>
              <a:schemeClr val="lt1"/>
            </a:contourClr>
          </a:sp3d>
        </c:spPr>
      </c:pivotFmt>
      <c:pivotFmt>
        <c:idx val="5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7"/>
        <c:spPr>
          <a:solidFill>
            <a:schemeClr val="accent1">
              <a:lumMod val="40000"/>
              <a:lumOff val="60000"/>
            </a:schemeClr>
          </a:solidFill>
          <a:ln w="25400">
            <a:solidFill>
              <a:schemeClr val="lt1"/>
            </a:solidFill>
          </a:ln>
          <a:effectLst/>
          <a:sp3d contourW="25400">
            <a:contourClr>
              <a:schemeClr val="lt1"/>
            </a:contourClr>
          </a:sp3d>
        </c:spPr>
      </c:pivotFmt>
      <c:pivotFmt>
        <c:idx val="58"/>
        <c:spPr>
          <a:solidFill>
            <a:srgbClr val="63CAAA"/>
          </a:solidFill>
          <a:ln w="25400">
            <a:solidFill>
              <a:schemeClr val="lt1"/>
            </a:solidFill>
          </a:ln>
          <a:effectLst/>
          <a:sp3d contourW="25400">
            <a:contourClr>
              <a:schemeClr val="lt1"/>
            </a:contourClr>
          </a:sp3d>
        </c:spPr>
      </c:pivotFmt>
      <c:pivotFmt>
        <c:idx val="59"/>
        <c:spPr>
          <a:solidFill>
            <a:srgbClr val="A5A5A5"/>
          </a:solidFill>
          <a:ln w="25400">
            <a:solidFill>
              <a:schemeClr val="lt1"/>
            </a:solidFill>
          </a:ln>
          <a:effectLst/>
          <a:sp3d contourW="25400">
            <a:contourClr>
              <a:schemeClr val="lt1"/>
            </a:contourClr>
          </a:sp3d>
        </c:spPr>
      </c:pivotFmt>
      <c:pivotFmt>
        <c:idx val="6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1"/>
        <c:spPr>
          <a:solidFill>
            <a:srgbClr val="457B9D"/>
          </a:solidFill>
          <a:ln w="25400">
            <a:solidFill>
              <a:schemeClr val="lt1"/>
            </a:solidFill>
          </a:ln>
          <a:effectLst/>
          <a:sp3d contourW="25400">
            <a:contourClr>
              <a:schemeClr val="lt1"/>
            </a:contourClr>
          </a:sp3d>
        </c:spPr>
      </c:pivotFmt>
      <c:pivotFmt>
        <c:idx val="6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3"/>
        <c:spPr>
          <a:solidFill>
            <a:schemeClr val="accent1">
              <a:lumMod val="40000"/>
              <a:lumOff val="60000"/>
            </a:schemeClr>
          </a:solidFill>
          <a:ln w="25400">
            <a:solidFill>
              <a:schemeClr val="lt1"/>
            </a:solidFill>
          </a:ln>
          <a:effectLst/>
          <a:sp3d contourW="25400">
            <a:contourClr>
              <a:schemeClr val="lt1"/>
            </a:contourClr>
          </a:sp3d>
        </c:spPr>
      </c:pivotFmt>
      <c:pivotFmt>
        <c:idx val="64"/>
        <c:spPr>
          <a:solidFill>
            <a:srgbClr val="63CAAA"/>
          </a:solidFill>
          <a:ln w="25400">
            <a:solidFill>
              <a:schemeClr val="lt1"/>
            </a:solidFill>
          </a:ln>
          <a:effectLst/>
          <a:sp3d contourW="25400">
            <a:contourClr>
              <a:schemeClr val="lt1"/>
            </a:contourClr>
          </a:sp3d>
        </c:spPr>
      </c:pivotFmt>
      <c:pivotFmt>
        <c:idx val="65"/>
        <c:spPr>
          <a:solidFill>
            <a:srgbClr val="A5A5A5"/>
          </a:solidFill>
          <a:ln w="25400">
            <a:solidFill>
              <a:schemeClr val="lt1"/>
            </a:solidFill>
          </a:ln>
          <a:effectLst/>
          <a:sp3d contourW="25400">
            <a:contourClr>
              <a:schemeClr val="lt1"/>
            </a:contourClr>
          </a:sp3d>
        </c:spPr>
      </c:pivotFmt>
      <c:pivotFmt>
        <c:idx val="6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67"/>
        <c:spPr>
          <a:solidFill>
            <a:srgbClr val="457B9D"/>
          </a:solidFill>
          <a:ln w="25400">
            <a:solidFill>
              <a:schemeClr val="lt1"/>
            </a:solidFill>
          </a:ln>
          <a:effectLst/>
          <a:sp3d contourW="25400">
            <a:contourClr>
              <a:schemeClr val="lt1"/>
            </a:contourClr>
          </a:sp3d>
        </c:spPr>
      </c:pivotFmt>
      <c:pivotFmt>
        <c:idx val="6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lumMod val="40000"/>
              <a:lumOff val="60000"/>
            </a:schemeClr>
          </a:solidFill>
          <a:ln w="25400">
            <a:solidFill>
              <a:schemeClr val="lt1"/>
            </a:solidFill>
          </a:ln>
          <a:effectLst/>
          <a:sp3d contourW="25400">
            <a:contourClr>
              <a:schemeClr val="lt1"/>
            </a:contourClr>
          </a:sp3d>
        </c:spPr>
      </c:pivotFmt>
      <c:pivotFmt>
        <c:idx val="70"/>
        <c:spPr>
          <a:solidFill>
            <a:srgbClr val="63CAAA"/>
          </a:solidFill>
          <a:ln w="25400">
            <a:solidFill>
              <a:schemeClr val="lt1"/>
            </a:solidFill>
          </a:ln>
          <a:effectLst/>
          <a:sp3d contourW="25400">
            <a:contourClr>
              <a:schemeClr val="lt1"/>
            </a:contourClr>
          </a:sp3d>
        </c:spPr>
      </c:pivotFmt>
      <c:pivotFmt>
        <c:idx val="71"/>
        <c:spPr>
          <a:solidFill>
            <a:srgbClr val="A5A5A5"/>
          </a:solidFill>
          <a:ln w="25400">
            <a:solidFill>
              <a:schemeClr val="lt1"/>
            </a:solidFill>
          </a:ln>
          <a:effectLst/>
          <a:sp3d contourW="25400">
            <a:contourClr>
              <a:schemeClr val="lt1"/>
            </a:contourClr>
          </a:sp3d>
        </c:spPr>
      </c:pivotFmt>
      <c:pivotFmt>
        <c:idx val="7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3"/>
        <c:spPr>
          <a:solidFill>
            <a:srgbClr val="457B9D"/>
          </a:solidFill>
          <a:ln w="25400">
            <a:solidFill>
              <a:schemeClr val="lt1"/>
            </a:solidFill>
          </a:ln>
          <a:effectLst/>
          <a:sp3d contourW="25400">
            <a:contourClr>
              <a:schemeClr val="lt1"/>
            </a:contourClr>
          </a:sp3d>
        </c:spPr>
      </c:pivotFmt>
      <c:pivotFmt>
        <c:idx val="7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lumMod val="40000"/>
              <a:lumOff val="60000"/>
            </a:schemeClr>
          </a:solidFill>
          <a:ln w="25400">
            <a:solidFill>
              <a:schemeClr val="lt1"/>
            </a:solidFill>
          </a:ln>
          <a:effectLst/>
          <a:sp3d contourW="25400">
            <a:contourClr>
              <a:schemeClr val="lt1"/>
            </a:contourClr>
          </a:sp3d>
        </c:spPr>
      </c:pivotFmt>
      <c:pivotFmt>
        <c:idx val="76"/>
        <c:spPr>
          <a:solidFill>
            <a:srgbClr val="63CAAA"/>
          </a:solidFill>
          <a:ln w="25400">
            <a:solidFill>
              <a:schemeClr val="lt1"/>
            </a:solidFill>
          </a:ln>
          <a:effectLst/>
          <a:sp3d contourW="25400">
            <a:contourClr>
              <a:schemeClr val="lt1"/>
            </a:contourClr>
          </a:sp3d>
        </c:spPr>
      </c:pivotFmt>
      <c:pivotFmt>
        <c:idx val="77"/>
        <c:spPr>
          <a:solidFill>
            <a:srgbClr val="A5A5A5"/>
          </a:solidFill>
          <a:ln w="25400">
            <a:solidFill>
              <a:schemeClr val="lt1"/>
            </a:solidFill>
          </a:ln>
          <a:effectLst/>
          <a:sp3d contourW="25400">
            <a:contourClr>
              <a:schemeClr val="lt1"/>
            </a:contourClr>
          </a:sp3d>
        </c:spPr>
      </c:pivotFmt>
      <c:pivotFmt>
        <c:idx val="7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79"/>
        <c:spPr>
          <a:solidFill>
            <a:srgbClr val="457B9D"/>
          </a:solidFill>
          <a:ln w="25400">
            <a:solidFill>
              <a:schemeClr val="lt1"/>
            </a:solidFill>
          </a:ln>
          <a:effectLst/>
          <a:sp3d contourW="25400">
            <a:contourClr>
              <a:schemeClr val="lt1"/>
            </a:contourClr>
          </a:sp3d>
        </c:spPr>
      </c:pivotFmt>
      <c:pivotFmt>
        <c:idx val="8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lumMod val="40000"/>
              <a:lumOff val="60000"/>
            </a:schemeClr>
          </a:solidFill>
          <a:ln w="25400">
            <a:solidFill>
              <a:schemeClr val="lt1"/>
            </a:solidFill>
          </a:ln>
          <a:effectLst/>
          <a:sp3d contourW="25400">
            <a:contourClr>
              <a:schemeClr val="lt1"/>
            </a:contourClr>
          </a:sp3d>
        </c:spPr>
      </c:pivotFmt>
      <c:pivotFmt>
        <c:idx val="82"/>
        <c:spPr>
          <a:solidFill>
            <a:srgbClr val="63CAAA"/>
          </a:solidFill>
          <a:ln w="25400">
            <a:solidFill>
              <a:schemeClr val="lt1"/>
            </a:solidFill>
          </a:ln>
          <a:effectLst/>
          <a:sp3d contourW="25400">
            <a:contourClr>
              <a:schemeClr val="lt1"/>
            </a:contourClr>
          </a:sp3d>
        </c:spPr>
      </c:pivotFmt>
      <c:pivotFmt>
        <c:idx val="83"/>
        <c:spPr>
          <a:solidFill>
            <a:srgbClr val="A5A5A5"/>
          </a:solidFill>
          <a:ln w="25400">
            <a:solidFill>
              <a:schemeClr val="lt1"/>
            </a:solidFill>
          </a:ln>
          <a:effectLst/>
          <a:sp3d contourW="25400">
            <a:contourClr>
              <a:schemeClr val="lt1"/>
            </a:contourClr>
          </a:sp3d>
        </c:spPr>
      </c:pivotFmt>
      <c:pivotFmt>
        <c:idx val="8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85"/>
        <c:spPr>
          <a:solidFill>
            <a:srgbClr val="457B9D"/>
          </a:solidFill>
          <a:ln w="25400">
            <a:solidFill>
              <a:schemeClr val="lt1"/>
            </a:solidFill>
          </a:ln>
          <a:effectLst/>
          <a:sp3d contourW="25400">
            <a:contourClr>
              <a:schemeClr val="lt1"/>
            </a:contourClr>
          </a:sp3d>
        </c:spPr>
      </c:pivotFmt>
      <c:pivotFmt>
        <c:idx val="8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lumMod val="40000"/>
              <a:lumOff val="60000"/>
            </a:schemeClr>
          </a:solidFill>
          <a:ln w="25400">
            <a:solidFill>
              <a:schemeClr val="lt1"/>
            </a:solidFill>
          </a:ln>
          <a:effectLst/>
          <a:sp3d contourW="25400">
            <a:contourClr>
              <a:schemeClr val="lt1"/>
            </a:contourClr>
          </a:sp3d>
        </c:spPr>
      </c:pivotFmt>
      <c:pivotFmt>
        <c:idx val="88"/>
        <c:spPr>
          <a:solidFill>
            <a:srgbClr val="63CAAA"/>
          </a:solidFill>
          <a:ln w="25400">
            <a:solidFill>
              <a:schemeClr val="lt1"/>
            </a:solidFill>
          </a:ln>
          <a:effectLst/>
          <a:sp3d contourW="25400">
            <a:contourClr>
              <a:schemeClr val="lt1"/>
            </a:contourClr>
          </a:sp3d>
        </c:spPr>
      </c:pivotFmt>
      <c:pivotFmt>
        <c:idx val="89"/>
        <c:spPr>
          <a:solidFill>
            <a:srgbClr val="A5A5A5"/>
          </a:solidFill>
          <a:ln w="25400">
            <a:solidFill>
              <a:schemeClr val="lt1"/>
            </a:solidFill>
          </a:ln>
          <a:effectLst/>
          <a:sp3d contourW="25400">
            <a:contourClr>
              <a:schemeClr val="lt1"/>
            </a:contourClr>
          </a:sp3d>
        </c:spPr>
      </c:pivotFmt>
      <c:pivotFmt>
        <c:idx val="9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1"/>
        <c:spPr>
          <a:solidFill>
            <a:srgbClr val="457B9D"/>
          </a:solidFill>
          <a:ln w="25400">
            <a:solidFill>
              <a:schemeClr val="lt1"/>
            </a:solidFill>
          </a:ln>
          <a:effectLst/>
          <a:sp3d contourW="25400">
            <a:contourClr>
              <a:schemeClr val="lt1"/>
            </a:contourClr>
          </a:sp3d>
        </c:spPr>
      </c:pivotFmt>
      <c:pivotFmt>
        <c:idx val="9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3"/>
        <c:spPr>
          <a:solidFill>
            <a:schemeClr val="accent1">
              <a:lumMod val="40000"/>
              <a:lumOff val="60000"/>
            </a:schemeClr>
          </a:solidFill>
          <a:ln w="25400">
            <a:solidFill>
              <a:schemeClr val="lt1"/>
            </a:solidFill>
          </a:ln>
          <a:effectLst/>
          <a:sp3d contourW="25400">
            <a:contourClr>
              <a:schemeClr val="lt1"/>
            </a:contourClr>
          </a:sp3d>
        </c:spPr>
      </c:pivotFmt>
      <c:pivotFmt>
        <c:idx val="94"/>
        <c:spPr>
          <a:solidFill>
            <a:srgbClr val="63CAAA"/>
          </a:solidFill>
          <a:ln w="25400">
            <a:solidFill>
              <a:schemeClr val="lt1"/>
            </a:solidFill>
          </a:ln>
          <a:effectLst/>
          <a:sp3d contourW="25400">
            <a:contourClr>
              <a:schemeClr val="lt1"/>
            </a:contourClr>
          </a:sp3d>
        </c:spPr>
      </c:pivotFmt>
      <c:pivotFmt>
        <c:idx val="95"/>
        <c:spPr>
          <a:solidFill>
            <a:srgbClr val="A5A5A5"/>
          </a:solidFill>
          <a:ln w="25400">
            <a:solidFill>
              <a:schemeClr val="lt1"/>
            </a:solidFill>
          </a:ln>
          <a:effectLst/>
          <a:sp3d contourW="25400">
            <a:contourClr>
              <a:schemeClr val="lt1"/>
            </a:contourClr>
          </a:sp3d>
        </c:spPr>
      </c:pivotFmt>
      <c:pivotFmt>
        <c:idx val="9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97"/>
        <c:spPr>
          <a:solidFill>
            <a:srgbClr val="457B9D"/>
          </a:solidFill>
          <a:ln w="25400">
            <a:solidFill>
              <a:schemeClr val="lt1"/>
            </a:solidFill>
          </a:ln>
          <a:effectLst/>
          <a:sp3d contourW="25400">
            <a:contourClr>
              <a:schemeClr val="lt1"/>
            </a:contourClr>
          </a:sp3d>
        </c:spPr>
      </c:pivotFmt>
      <c:pivotFmt>
        <c:idx val="9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9"/>
        <c:spPr>
          <a:solidFill>
            <a:schemeClr val="accent1">
              <a:lumMod val="40000"/>
              <a:lumOff val="60000"/>
            </a:schemeClr>
          </a:solidFill>
          <a:ln w="25400">
            <a:solidFill>
              <a:schemeClr val="lt1"/>
            </a:solidFill>
          </a:ln>
          <a:effectLst/>
          <a:sp3d contourW="25400">
            <a:contourClr>
              <a:schemeClr val="lt1"/>
            </a:contourClr>
          </a:sp3d>
        </c:spPr>
      </c:pivotFmt>
      <c:pivotFmt>
        <c:idx val="100"/>
        <c:spPr>
          <a:solidFill>
            <a:srgbClr val="63CAAA"/>
          </a:solidFill>
          <a:ln w="25400">
            <a:solidFill>
              <a:schemeClr val="lt1"/>
            </a:solidFill>
          </a:ln>
          <a:effectLst/>
          <a:sp3d contourW="25400">
            <a:contourClr>
              <a:schemeClr val="lt1"/>
            </a:contourClr>
          </a:sp3d>
        </c:spPr>
      </c:pivotFmt>
      <c:pivotFmt>
        <c:idx val="101"/>
        <c:spPr>
          <a:solidFill>
            <a:srgbClr val="A5A5A5"/>
          </a:solidFill>
          <a:ln w="25400">
            <a:solidFill>
              <a:schemeClr val="lt1"/>
            </a:solidFill>
          </a:ln>
          <a:effectLst/>
          <a:sp3d contourW="25400">
            <a:contourClr>
              <a:schemeClr val="lt1"/>
            </a:contourClr>
          </a:sp3d>
        </c:spPr>
      </c:pivotFmt>
      <c:pivotFmt>
        <c:idx val="10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3"/>
        <c:spPr>
          <a:solidFill>
            <a:srgbClr val="457B9D"/>
          </a:solidFill>
          <a:ln w="25400">
            <a:solidFill>
              <a:schemeClr val="lt1"/>
            </a:solidFill>
          </a:ln>
          <a:effectLst/>
          <a:sp3d contourW="25400">
            <a:contourClr>
              <a:schemeClr val="lt1"/>
            </a:contourClr>
          </a:sp3d>
        </c:spPr>
      </c:pivotFmt>
      <c:pivotFmt>
        <c:idx val="10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1">
              <a:lumMod val="40000"/>
              <a:lumOff val="60000"/>
            </a:schemeClr>
          </a:solidFill>
          <a:ln w="25400">
            <a:solidFill>
              <a:schemeClr val="lt1"/>
            </a:solidFill>
          </a:ln>
          <a:effectLst/>
          <a:sp3d contourW="25400">
            <a:contourClr>
              <a:schemeClr val="lt1"/>
            </a:contourClr>
          </a:sp3d>
        </c:spPr>
      </c:pivotFmt>
      <c:pivotFmt>
        <c:idx val="106"/>
        <c:spPr>
          <a:solidFill>
            <a:srgbClr val="63CAAA"/>
          </a:solidFill>
          <a:ln w="25400">
            <a:solidFill>
              <a:schemeClr val="lt1"/>
            </a:solidFill>
          </a:ln>
          <a:effectLst/>
          <a:sp3d contourW="25400">
            <a:contourClr>
              <a:schemeClr val="lt1"/>
            </a:contourClr>
          </a:sp3d>
        </c:spPr>
      </c:pivotFmt>
      <c:pivotFmt>
        <c:idx val="107"/>
        <c:spPr>
          <a:solidFill>
            <a:srgbClr val="A5A5A5"/>
          </a:solidFill>
          <a:ln w="25400">
            <a:solidFill>
              <a:schemeClr val="lt1"/>
            </a:solidFill>
          </a:ln>
          <a:effectLst/>
          <a:sp3d contourW="25400">
            <a:contourClr>
              <a:schemeClr val="lt1"/>
            </a:contourClr>
          </a:sp3d>
        </c:spPr>
      </c:pivotFmt>
      <c:pivotFmt>
        <c:idx val="10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09"/>
        <c:spPr>
          <a:solidFill>
            <a:srgbClr val="457B9D"/>
          </a:solidFill>
          <a:ln w="25400">
            <a:solidFill>
              <a:schemeClr val="lt1"/>
            </a:solidFill>
          </a:ln>
          <a:effectLst/>
          <a:sp3d contourW="25400">
            <a:contourClr>
              <a:schemeClr val="lt1"/>
            </a:contourClr>
          </a:sp3d>
        </c:spPr>
      </c:pivotFmt>
      <c:pivotFmt>
        <c:idx val="1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1">
              <a:lumMod val="40000"/>
              <a:lumOff val="60000"/>
            </a:schemeClr>
          </a:solidFill>
          <a:ln w="25400">
            <a:solidFill>
              <a:schemeClr val="lt1"/>
            </a:solidFill>
          </a:ln>
          <a:effectLst/>
          <a:sp3d contourW="25400">
            <a:contourClr>
              <a:schemeClr val="lt1"/>
            </a:contourClr>
          </a:sp3d>
        </c:spPr>
      </c:pivotFmt>
      <c:pivotFmt>
        <c:idx val="112"/>
        <c:spPr>
          <a:solidFill>
            <a:srgbClr val="63CAAA"/>
          </a:solidFill>
          <a:ln w="25400">
            <a:solidFill>
              <a:schemeClr val="lt1"/>
            </a:solidFill>
          </a:ln>
          <a:effectLst/>
          <a:sp3d contourW="25400">
            <a:contourClr>
              <a:schemeClr val="lt1"/>
            </a:contourClr>
          </a:sp3d>
        </c:spPr>
      </c:pivotFmt>
      <c:pivotFmt>
        <c:idx val="113"/>
        <c:spPr>
          <a:solidFill>
            <a:srgbClr val="A5A5A5"/>
          </a:solidFill>
          <a:ln w="25400">
            <a:solidFill>
              <a:schemeClr val="lt1"/>
            </a:solidFill>
          </a:ln>
          <a:effectLst/>
          <a:sp3d contourW="25400">
            <a:contourClr>
              <a:schemeClr val="lt1"/>
            </a:contourClr>
          </a:sp3d>
        </c:spPr>
      </c:pivotFmt>
      <c:pivotFmt>
        <c:idx val="11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15"/>
        <c:spPr>
          <a:solidFill>
            <a:srgbClr val="457B9D"/>
          </a:solidFill>
          <a:ln w="25400">
            <a:solidFill>
              <a:schemeClr val="lt1"/>
            </a:solidFill>
          </a:ln>
          <a:effectLst/>
          <a:sp3d contourW="25400">
            <a:contourClr>
              <a:schemeClr val="lt1"/>
            </a:contourClr>
          </a:sp3d>
        </c:spPr>
      </c:pivotFmt>
      <c:pivotFmt>
        <c:idx val="1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7"/>
        <c:spPr>
          <a:solidFill>
            <a:schemeClr val="accent1">
              <a:lumMod val="40000"/>
              <a:lumOff val="60000"/>
            </a:schemeClr>
          </a:solidFill>
          <a:ln w="25400">
            <a:solidFill>
              <a:schemeClr val="lt1"/>
            </a:solidFill>
          </a:ln>
          <a:effectLst/>
          <a:sp3d contourW="25400">
            <a:contourClr>
              <a:schemeClr val="lt1"/>
            </a:contourClr>
          </a:sp3d>
        </c:spPr>
      </c:pivotFmt>
      <c:pivotFmt>
        <c:idx val="118"/>
        <c:spPr>
          <a:solidFill>
            <a:srgbClr val="63CAAA"/>
          </a:solidFill>
          <a:ln w="25400">
            <a:solidFill>
              <a:schemeClr val="lt1"/>
            </a:solidFill>
          </a:ln>
          <a:effectLst/>
          <a:sp3d contourW="25400">
            <a:contourClr>
              <a:schemeClr val="lt1"/>
            </a:contourClr>
          </a:sp3d>
        </c:spPr>
      </c:pivotFmt>
      <c:pivotFmt>
        <c:idx val="119"/>
        <c:spPr>
          <a:solidFill>
            <a:srgbClr val="A5A5A5"/>
          </a:solidFill>
          <a:ln w="25400">
            <a:solidFill>
              <a:schemeClr val="lt1"/>
            </a:solidFill>
          </a:ln>
          <a:effectLst/>
          <a:sp3d contourW="25400">
            <a:contourClr>
              <a:schemeClr val="lt1"/>
            </a:contourClr>
          </a:sp3d>
        </c:spPr>
      </c:pivotFmt>
      <c:pivotFmt>
        <c:idx val="12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1"/>
        <c:spPr>
          <a:solidFill>
            <a:srgbClr val="457B9D"/>
          </a:solidFill>
          <a:ln w="25400">
            <a:solidFill>
              <a:schemeClr val="lt1"/>
            </a:solidFill>
          </a:ln>
          <a:effectLst/>
          <a:sp3d contourW="25400">
            <a:contourClr>
              <a:schemeClr val="lt1"/>
            </a:contourClr>
          </a:sp3d>
        </c:spPr>
      </c:pivotFmt>
      <c:pivotFmt>
        <c:idx val="1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3"/>
        <c:spPr>
          <a:solidFill>
            <a:schemeClr val="accent1">
              <a:lumMod val="40000"/>
              <a:lumOff val="60000"/>
            </a:schemeClr>
          </a:solidFill>
          <a:ln w="25400">
            <a:solidFill>
              <a:schemeClr val="lt1"/>
            </a:solidFill>
          </a:ln>
          <a:effectLst/>
          <a:sp3d contourW="25400">
            <a:contourClr>
              <a:schemeClr val="lt1"/>
            </a:contourClr>
          </a:sp3d>
        </c:spPr>
      </c:pivotFmt>
      <c:pivotFmt>
        <c:idx val="124"/>
        <c:spPr>
          <a:solidFill>
            <a:srgbClr val="63CAAA"/>
          </a:solidFill>
          <a:ln w="25400">
            <a:solidFill>
              <a:schemeClr val="lt1"/>
            </a:solidFill>
          </a:ln>
          <a:effectLst/>
          <a:sp3d contourW="25400">
            <a:contourClr>
              <a:schemeClr val="lt1"/>
            </a:contourClr>
          </a:sp3d>
        </c:spPr>
      </c:pivotFmt>
      <c:pivotFmt>
        <c:idx val="125"/>
        <c:spPr>
          <a:solidFill>
            <a:srgbClr val="A5A5A5"/>
          </a:solidFill>
          <a:ln w="25400">
            <a:solidFill>
              <a:schemeClr val="lt1"/>
            </a:solidFill>
          </a:ln>
          <a:effectLst/>
          <a:sp3d contourW="25400">
            <a:contourClr>
              <a:schemeClr val="lt1"/>
            </a:contourClr>
          </a:sp3d>
        </c:spPr>
      </c:pivotFmt>
      <c:pivotFmt>
        <c:idx val="12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27"/>
        <c:spPr>
          <a:solidFill>
            <a:srgbClr val="457B9D"/>
          </a:solidFill>
          <a:ln w="25400">
            <a:solidFill>
              <a:schemeClr val="lt1"/>
            </a:solidFill>
          </a:ln>
          <a:effectLst/>
          <a:sp3d contourW="25400">
            <a:contourClr>
              <a:schemeClr val="lt1"/>
            </a:contourClr>
          </a:sp3d>
        </c:spPr>
      </c:pivotFmt>
      <c:pivotFmt>
        <c:idx val="1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9"/>
        <c:spPr>
          <a:solidFill>
            <a:schemeClr val="accent1">
              <a:lumMod val="40000"/>
              <a:lumOff val="60000"/>
            </a:schemeClr>
          </a:solidFill>
          <a:ln w="25400">
            <a:solidFill>
              <a:schemeClr val="lt1"/>
            </a:solidFill>
          </a:ln>
          <a:effectLst/>
          <a:sp3d contourW="25400">
            <a:contourClr>
              <a:schemeClr val="lt1"/>
            </a:contourClr>
          </a:sp3d>
        </c:spPr>
      </c:pivotFmt>
      <c:pivotFmt>
        <c:idx val="130"/>
        <c:spPr>
          <a:solidFill>
            <a:srgbClr val="63CAAA"/>
          </a:solidFill>
          <a:ln w="25400">
            <a:solidFill>
              <a:schemeClr val="lt1"/>
            </a:solidFill>
          </a:ln>
          <a:effectLst/>
          <a:sp3d contourW="25400">
            <a:contourClr>
              <a:schemeClr val="lt1"/>
            </a:contourClr>
          </a:sp3d>
        </c:spPr>
      </c:pivotFmt>
      <c:pivotFmt>
        <c:idx val="131"/>
        <c:spPr>
          <a:solidFill>
            <a:srgbClr val="A5A5A5"/>
          </a:solidFill>
          <a:ln w="25400">
            <a:solidFill>
              <a:schemeClr val="lt1"/>
            </a:solidFill>
          </a:ln>
          <a:effectLst/>
          <a:sp3d contourW="25400">
            <a:contourClr>
              <a:schemeClr val="lt1"/>
            </a:contourClr>
          </a:sp3d>
        </c:spPr>
      </c:pivotFmt>
      <c:pivotFmt>
        <c:idx val="13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3"/>
        <c:spPr>
          <a:solidFill>
            <a:srgbClr val="457B9D"/>
          </a:solidFill>
          <a:ln w="25400">
            <a:solidFill>
              <a:schemeClr val="lt1"/>
            </a:solidFill>
          </a:ln>
          <a:effectLst/>
          <a:sp3d contourW="25400">
            <a:contourClr>
              <a:schemeClr val="lt1"/>
            </a:contourClr>
          </a:sp3d>
        </c:spPr>
      </c:pivotFmt>
      <c:pivotFmt>
        <c:idx val="13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5"/>
        <c:spPr>
          <a:solidFill>
            <a:schemeClr val="accent1">
              <a:lumMod val="40000"/>
              <a:lumOff val="60000"/>
            </a:schemeClr>
          </a:solidFill>
          <a:ln w="25400">
            <a:solidFill>
              <a:schemeClr val="lt1"/>
            </a:solidFill>
          </a:ln>
          <a:effectLst/>
          <a:sp3d contourW="25400">
            <a:contourClr>
              <a:schemeClr val="lt1"/>
            </a:contourClr>
          </a:sp3d>
        </c:spPr>
      </c:pivotFmt>
      <c:pivotFmt>
        <c:idx val="136"/>
        <c:spPr>
          <a:solidFill>
            <a:srgbClr val="63CAAA"/>
          </a:solidFill>
          <a:ln w="25400">
            <a:solidFill>
              <a:schemeClr val="lt1"/>
            </a:solidFill>
          </a:ln>
          <a:effectLst/>
          <a:sp3d contourW="25400">
            <a:contourClr>
              <a:schemeClr val="lt1"/>
            </a:contourClr>
          </a:sp3d>
        </c:spPr>
      </c:pivotFmt>
      <c:pivotFmt>
        <c:idx val="137"/>
        <c:spPr>
          <a:solidFill>
            <a:srgbClr val="A5A5A5"/>
          </a:solidFill>
          <a:ln w="25400">
            <a:solidFill>
              <a:schemeClr val="lt1"/>
            </a:solidFill>
          </a:ln>
          <a:effectLst/>
          <a:sp3d contourW="25400">
            <a:contourClr>
              <a:schemeClr val="lt1"/>
            </a:contourClr>
          </a:sp3d>
        </c:spPr>
      </c:pivotFmt>
      <c:pivotFmt>
        <c:idx val="13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39"/>
        <c:spPr>
          <a:solidFill>
            <a:srgbClr val="457B9D"/>
          </a:solidFill>
          <a:ln w="25400">
            <a:solidFill>
              <a:schemeClr val="lt1"/>
            </a:solidFill>
          </a:ln>
          <a:effectLst/>
          <a:sp3d contourW="25400">
            <a:contourClr>
              <a:schemeClr val="lt1"/>
            </a:contourClr>
          </a:sp3d>
        </c:spPr>
      </c:pivotFmt>
      <c:pivotFmt>
        <c:idx val="1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1"/>
        <c:spPr>
          <a:solidFill>
            <a:schemeClr val="accent1">
              <a:lumMod val="40000"/>
              <a:lumOff val="60000"/>
            </a:schemeClr>
          </a:solidFill>
          <a:ln w="25400">
            <a:solidFill>
              <a:schemeClr val="lt1"/>
            </a:solidFill>
          </a:ln>
          <a:effectLst/>
          <a:sp3d contourW="25400">
            <a:contourClr>
              <a:schemeClr val="lt1"/>
            </a:contourClr>
          </a:sp3d>
        </c:spPr>
      </c:pivotFmt>
      <c:pivotFmt>
        <c:idx val="142"/>
        <c:spPr>
          <a:solidFill>
            <a:srgbClr val="63CAAA"/>
          </a:solidFill>
          <a:ln w="25400">
            <a:solidFill>
              <a:schemeClr val="lt1"/>
            </a:solidFill>
          </a:ln>
          <a:effectLst/>
          <a:sp3d contourW="25400">
            <a:contourClr>
              <a:schemeClr val="lt1"/>
            </a:contourClr>
          </a:sp3d>
        </c:spPr>
      </c:pivotFmt>
      <c:pivotFmt>
        <c:idx val="143"/>
        <c:spPr>
          <a:solidFill>
            <a:srgbClr val="A5A5A5"/>
          </a:solidFill>
          <a:ln w="25400">
            <a:solidFill>
              <a:schemeClr val="lt1"/>
            </a:solidFill>
          </a:ln>
          <a:effectLst/>
          <a:sp3d contourW="25400">
            <a:contourClr>
              <a:schemeClr val="lt1"/>
            </a:contourClr>
          </a:sp3d>
        </c:spPr>
      </c:pivotFmt>
      <c:pivotFmt>
        <c:idx val="14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45"/>
        <c:spPr>
          <a:solidFill>
            <a:srgbClr val="457B9D"/>
          </a:solidFill>
          <a:ln w="25400">
            <a:solidFill>
              <a:schemeClr val="lt1"/>
            </a:solidFill>
          </a:ln>
          <a:effectLst/>
          <a:sp3d contourW="25400">
            <a:contourClr>
              <a:schemeClr val="lt1"/>
            </a:contourClr>
          </a:sp3d>
        </c:spPr>
      </c:pivotFmt>
      <c:pivotFmt>
        <c:idx val="14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7"/>
        <c:spPr>
          <a:solidFill>
            <a:schemeClr val="accent1">
              <a:lumMod val="40000"/>
              <a:lumOff val="60000"/>
            </a:schemeClr>
          </a:solidFill>
          <a:ln w="25400">
            <a:solidFill>
              <a:schemeClr val="lt1"/>
            </a:solidFill>
          </a:ln>
          <a:effectLst/>
          <a:sp3d contourW="25400">
            <a:contourClr>
              <a:schemeClr val="lt1"/>
            </a:contourClr>
          </a:sp3d>
        </c:spPr>
      </c:pivotFmt>
      <c:pivotFmt>
        <c:idx val="148"/>
        <c:spPr>
          <a:solidFill>
            <a:srgbClr val="63CAAA"/>
          </a:solidFill>
          <a:ln w="25400">
            <a:solidFill>
              <a:schemeClr val="lt1"/>
            </a:solidFill>
          </a:ln>
          <a:effectLst/>
          <a:sp3d contourW="25400">
            <a:contourClr>
              <a:schemeClr val="lt1"/>
            </a:contourClr>
          </a:sp3d>
        </c:spPr>
      </c:pivotFmt>
      <c:pivotFmt>
        <c:idx val="149"/>
        <c:spPr>
          <a:solidFill>
            <a:srgbClr val="A5A5A5"/>
          </a:solidFill>
          <a:ln w="25400">
            <a:solidFill>
              <a:schemeClr val="lt1"/>
            </a:solidFill>
          </a:ln>
          <a:effectLst/>
          <a:sp3d contourW="25400">
            <a:contourClr>
              <a:schemeClr val="lt1"/>
            </a:contourClr>
          </a:sp3d>
        </c:spPr>
      </c:pivotFmt>
      <c:pivotFmt>
        <c:idx val="15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1"/>
        <c:spPr>
          <a:solidFill>
            <a:srgbClr val="457B9D"/>
          </a:solidFill>
          <a:ln w="25400">
            <a:solidFill>
              <a:schemeClr val="lt1"/>
            </a:solidFill>
          </a:ln>
          <a:effectLst/>
          <a:sp3d contourW="25400">
            <a:contourClr>
              <a:schemeClr val="lt1"/>
            </a:contourClr>
          </a:sp3d>
        </c:spPr>
      </c:pivotFmt>
      <c:pivotFmt>
        <c:idx val="1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3"/>
        <c:spPr>
          <a:solidFill>
            <a:schemeClr val="accent1">
              <a:lumMod val="40000"/>
              <a:lumOff val="60000"/>
            </a:schemeClr>
          </a:solidFill>
          <a:ln w="25400">
            <a:solidFill>
              <a:schemeClr val="lt1"/>
            </a:solidFill>
          </a:ln>
          <a:effectLst/>
          <a:sp3d contourW="25400">
            <a:contourClr>
              <a:schemeClr val="lt1"/>
            </a:contourClr>
          </a:sp3d>
        </c:spPr>
      </c:pivotFmt>
      <c:pivotFmt>
        <c:idx val="154"/>
        <c:spPr>
          <a:solidFill>
            <a:srgbClr val="63CAAA"/>
          </a:solidFill>
          <a:ln w="25400">
            <a:solidFill>
              <a:schemeClr val="lt1"/>
            </a:solidFill>
          </a:ln>
          <a:effectLst/>
          <a:sp3d contourW="25400">
            <a:contourClr>
              <a:schemeClr val="lt1"/>
            </a:contourClr>
          </a:sp3d>
        </c:spPr>
      </c:pivotFmt>
      <c:pivotFmt>
        <c:idx val="155"/>
        <c:spPr>
          <a:solidFill>
            <a:srgbClr val="A5A5A5"/>
          </a:solidFill>
          <a:ln w="25400">
            <a:solidFill>
              <a:schemeClr val="lt1"/>
            </a:solidFill>
          </a:ln>
          <a:effectLst/>
          <a:sp3d contourW="25400">
            <a:contourClr>
              <a:schemeClr val="lt1"/>
            </a:contourClr>
          </a:sp3d>
        </c:spPr>
      </c:pivotFmt>
      <c:pivotFmt>
        <c:idx val="15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57"/>
        <c:spPr>
          <a:solidFill>
            <a:srgbClr val="457B9D"/>
          </a:solidFill>
          <a:ln w="25400">
            <a:solidFill>
              <a:schemeClr val="lt1"/>
            </a:solidFill>
          </a:ln>
          <a:effectLst/>
          <a:sp3d contourW="25400">
            <a:contourClr>
              <a:schemeClr val="lt1"/>
            </a:contourClr>
          </a:sp3d>
        </c:spPr>
      </c:pivotFmt>
      <c:pivotFmt>
        <c:idx val="15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59"/>
        <c:spPr>
          <a:solidFill>
            <a:schemeClr val="accent1">
              <a:lumMod val="40000"/>
              <a:lumOff val="60000"/>
            </a:schemeClr>
          </a:solidFill>
          <a:ln w="25400">
            <a:solidFill>
              <a:schemeClr val="lt1"/>
            </a:solidFill>
          </a:ln>
          <a:effectLst/>
          <a:sp3d contourW="25400">
            <a:contourClr>
              <a:schemeClr val="lt1"/>
            </a:contourClr>
          </a:sp3d>
        </c:spPr>
      </c:pivotFmt>
      <c:pivotFmt>
        <c:idx val="160"/>
        <c:spPr>
          <a:solidFill>
            <a:srgbClr val="63CAAA"/>
          </a:solidFill>
          <a:ln w="25400">
            <a:solidFill>
              <a:schemeClr val="lt1"/>
            </a:solidFill>
          </a:ln>
          <a:effectLst/>
          <a:sp3d contourW="25400">
            <a:contourClr>
              <a:schemeClr val="lt1"/>
            </a:contourClr>
          </a:sp3d>
        </c:spPr>
      </c:pivotFmt>
      <c:pivotFmt>
        <c:idx val="161"/>
        <c:spPr>
          <a:solidFill>
            <a:srgbClr val="A5A5A5"/>
          </a:solidFill>
          <a:ln w="25400">
            <a:solidFill>
              <a:schemeClr val="lt1"/>
            </a:solidFill>
          </a:ln>
          <a:effectLst/>
          <a:sp3d contourW="25400">
            <a:contourClr>
              <a:schemeClr val="lt1"/>
            </a:contourClr>
          </a:sp3d>
        </c:spPr>
      </c:pivotFmt>
      <c:pivotFmt>
        <c:idx val="162"/>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3"/>
        <c:spPr>
          <a:solidFill>
            <a:srgbClr val="457B9D"/>
          </a:solidFill>
          <a:ln w="25400">
            <a:solidFill>
              <a:schemeClr val="lt1"/>
            </a:solidFill>
          </a:ln>
          <a:effectLst/>
          <a:sp3d contourW="25400">
            <a:contourClr>
              <a:schemeClr val="lt1"/>
            </a:contourClr>
          </a:sp3d>
        </c:spPr>
      </c:pivotFmt>
      <c:pivotFmt>
        <c:idx val="16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5"/>
        <c:spPr>
          <a:solidFill>
            <a:schemeClr val="accent1">
              <a:lumMod val="40000"/>
              <a:lumOff val="60000"/>
            </a:schemeClr>
          </a:solidFill>
          <a:ln w="25400">
            <a:solidFill>
              <a:schemeClr val="lt1"/>
            </a:solidFill>
          </a:ln>
          <a:effectLst/>
          <a:sp3d contourW="25400">
            <a:contourClr>
              <a:schemeClr val="lt1"/>
            </a:contourClr>
          </a:sp3d>
        </c:spPr>
      </c:pivotFmt>
      <c:pivotFmt>
        <c:idx val="166"/>
        <c:spPr>
          <a:solidFill>
            <a:srgbClr val="63CAAA"/>
          </a:solidFill>
          <a:ln w="25400">
            <a:solidFill>
              <a:schemeClr val="lt1"/>
            </a:solidFill>
          </a:ln>
          <a:effectLst/>
          <a:sp3d contourW="25400">
            <a:contourClr>
              <a:schemeClr val="lt1"/>
            </a:contourClr>
          </a:sp3d>
        </c:spPr>
      </c:pivotFmt>
      <c:pivotFmt>
        <c:idx val="167"/>
        <c:spPr>
          <a:solidFill>
            <a:srgbClr val="A5A5A5"/>
          </a:solidFill>
          <a:ln w="25400">
            <a:solidFill>
              <a:schemeClr val="lt1"/>
            </a:solidFill>
          </a:ln>
          <a:effectLst/>
          <a:sp3d contourW="25400">
            <a:contourClr>
              <a:schemeClr val="lt1"/>
            </a:contourClr>
          </a:sp3d>
        </c:spPr>
      </c:pivotFmt>
      <c:pivotFmt>
        <c:idx val="168"/>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69"/>
        <c:spPr>
          <a:solidFill>
            <a:srgbClr val="457B9D"/>
          </a:solidFill>
          <a:ln w="25400">
            <a:solidFill>
              <a:schemeClr val="lt1"/>
            </a:solidFill>
          </a:ln>
          <a:effectLst/>
          <a:sp3d contourW="25400">
            <a:contourClr>
              <a:schemeClr val="lt1"/>
            </a:contourClr>
          </a:sp3d>
        </c:spPr>
      </c:pivotFmt>
      <c:pivotFmt>
        <c:idx val="17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1"/>
        <c:spPr>
          <a:solidFill>
            <a:schemeClr val="accent1">
              <a:lumMod val="40000"/>
              <a:lumOff val="60000"/>
            </a:schemeClr>
          </a:solidFill>
          <a:ln w="25400">
            <a:solidFill>
              <a:schemeClr val="lt1"/>
            </a:solidFill>
          </a:ln>
          <a:effectLst/>
          <a:sp3d contourW="25400">
            <a:contourClr>
              <a:schemeClr val="lt1"/>
            </a:contourClr>
          </a:sp3d>
        </c:spPr>
      </c:pivotFmt>
      <c:pivotFmt>
        <c:idx val="172"/>
        <c:spPr>
          <a:solidFill>
            <a:srgbClr val="63CAAA"/>
          </a:solidFill>
          <a:ln w="25400">
            <a:solidFill>
              <a:schemeClr val="lt1"/>
            </a:solidFill>
          </a:ln>
          <a:effectLst/>
          <a:sp3d contourW="25400">
            <a:contourClr>
              <a:schemeClr val="lt1"/>
            </a:contourClr>
          </a:sp3d>
        </c:spPr>
      </c:pivotFmt>
      <c:pivotFmt>
        <c:idx val="173"/>
        <c:spPr>
          <a:solidFill>
            <a:srgbClr val="A5A5A5"/>
          </a:solidFill>
          <a:ln w="25400">
            <a:solidFill>
              <a:schemeClr val="lt1"/>
            </a:solidFill>
          </a:ln>
          <a:effectLst/>
          <a:sp3d contourW="25400">
            <a:contourClr>
              <a:schemeClr val="lt1"/>
            </a:contourClr>
          </a:sp3d>
        </c:spPr>
      </c:pivotFmt>
      <c:pivotFmt>
        <c:idx val="174"/>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75"/>
        <c:spPr>
          <a:solidFill>
            <a:srgbClr val="457B9D"/>
          </a:solidFill>
          <a:ln w="25400">
            <a:solidFill>
              <a:schemeClr val="lt1"/>
            </a:solidFill>
          </a:ln>
          <a:effectLst/>
          <a:sp3d contourW="25400">
            <a:contourClr>
              <a:schemeClr val="lt1"/>
            </a:contourClr>
          </a:sp3d>
        </c:spPr>
      </c:pivotFmt>
      <c:pivotFmt>
        <c:idx val="17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77"/>
        <c:spPr>
          <a:solidFill>
            <a:schemeClr val="accent1">
              <a:lumMod val="40000"/>
              <a:lumOff val="60000"/>
            </a:schemeClr>
          </a:solidFill>
          <a:ln w="25400">
            <a:solidFill>
              <a:schemeClr val="lt1"/>
            </a:solidFill>
          </a:ln>
          <a:effectLst/>
          <a:sp3d contourW="25400">
            <a:contourClr>
              <a:schemeClr val="lt1"/>
            </a:contourClr>
          </a:sp3d>
        </c:spPr>
      </c:pivotFmt>
      <c:pivotFmt>
        <c:idx val="178"/>
        <c:spPr>
          <a:solidFill>
            <a:srgbClr val="63CAAA"/>
          </a:solidFill>
          <a:ln w="25400">
            <a:solidFill>
              <a:schemeClr val="lt1"/>
            </a:solidFill>
          </a:ln>
          <a:effectLst/>
          <a:sp3d contourW="25400">
            <a:contourClr>
              <a:schemeClr val="lt1"/>
            </a:contourClr>
          </a:sp3d>
        </c:spPr>
      </c:pivotFmt>
      <c:pivotFmt>
        <c:idx val="179"/>
        <c:spPr>
          <a:solidFill>
            <a:srgbClr val="A5A5A5"/>
          </a:solidFill>
          <a:ln w="25400">
            <a:solidFill>
              <a:schemeClr val="lt1"/>
            </a:solidFill>
          </a:ln>
          <a:effectLst/>
          <a:sp3d contourW="25400">
            <a:contourClr>
              <a:schemeClr val="lt1"/>
            </a:contourClr>
          </a:sp3d>
        </c:spPr>
      </c:pivotFmt>
      <c:pivotFmt>
        <c:idx val="180"/>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81"/>
        <c:spPr>
          <a:solidFill>
            <a:srgbClr val="457B9D"/>
          </a:solidFill>
          <a:ln w="25400">
            <a:solidFill>
              <a:schemeClr val="lt1"/>
            </a:solidFill>
          </a:ln>
          <a:effectLst/>
          <a:sp3d contourW="25400">
            <a:contourClr>
              <a:schemeClr val="lt1"/>
            </a:contourClr>
          </a:sp3d>
        </c:spPr>
      </c:pivotFmt>
      <c:pivotFmt>
        <c:idx val="18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3"/>
        <c:spPr>
          <a:solidFill>
            <a:schemeClr val="accent1">
              <a:lumMod val="40000"/>
              <a:lumOff val="60000"/>
            </a:schemeClr>
          </a:solidFill>
          <a:ln w="25400">
            <a:solidFill>
              <a:schemeClr val="lt1"/>
            </a:solidFill>
          </a:ln>
          <a:effectLst/>
          <a:sp3d contourW="25400">
            <a:contourClr>
              <a:schemeClr val="lt1"/>
            </a:contourClr>
          </a:sp3d>
        </c:spPr>
      </c:pivotFmt>
      <c:pivotFmt>
        <c:idx val="184"/>
        <c:spPr>
          <a:solidFill>
            <a:srgbClr val="63CAAA"/>
          </a:solidFill>
          <a:ln w="25400">
            <a:solidFill>
              <a:schemeClr val="lt1"/>
            </a:solidFill>
          </a:ln>
          <a:effectLst/>
          <a:sp3d contourW="25400">
            <a:contourClr>
              <a:schemeClr val="lt1"/>
            </a:contourClr>
          </a:sp3d>
        </c:spPr>
      </c:pivotFmt>
      <c:pivotFmt>
        <c:idx val="185"/>
        <c:spPr>
          <a:solidFill>
            <a:srgbClr val="A5A5A5"/>
          </a:solidFill>
          <a:ln w="25400">
            <a:solidFill>
              <a:schemeClr val="lt1"/>
            </a:solidFill>
          </a:ln>
          <a:effectLst/>
          <a:sp3d contourW="25400">
            <a:contourClr>
              <a:schemeClr val="lt1"/>
            </a:contourClr>
          </a:sp3d>
        </c:spPr>
      </c:pivotFmt>
      <c:pivotFmt>
        <c:idx val="186"/>
        <c:spPr>
          <a:solidFill>
            <a:srgbClr val="1D3557"/>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Lst>
        </c:dLbl>
      </c:pivotFmt>
      <c:pivotFmt>
        <c:idx val="187"/>
        <c:spPr>
          <a:solidFill>
            <a:srgbClr val="457B9D"/>
          </a:solidFill>
          <a:ln w="25400">
            <a:solidFill>
              <a:schemeClr val="lt1"/>
            </a:solidFill>
          </a:ln>
          <a:effectLst/>
          <a:sp3d contourW="25400">
            <a:contourClr>
              <a:schemeClr val="lt1"/>
            </a:contourClr>
          </a:sp3d>
        </c:spPr>
      </c:pivotFmt>
    </c:pivotFmts>
    <c:plotArea>
      <c:layout>
        <c:manualLayout>
          <c:layoutTarget val="inner"/>
          <c:xMode val="edge"/>
          <c:yMode val="edge"/>
          <c:x val="0"/>
          <c:y val="0.12541666666666668"/>
          <c:w val="1"/>
          <c:h val="0.85606481481481478"/>
        </c:manualLayout>
      </c:layout>
      <c:doughnutChart>
        <c:varyColors val="1"/>
        <c:ser>
          <c:idx val="0"/>
          <c:order val="0"/>
          <c:tx>
            <c:strRef>
              <c:f>'Phân tích'!$L$17</c:f>
              <c:strCache>
                <c:ptCount val="1"/>
                <c:pt idx="0">
                  <c:v>Total</c:v>
                </c:pt>
              </c:strCache>
            </c:strRef>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61F-9305-3D0F525712BF}"/>
              </c:ext>
            </c:extLst>
          </c:dPt>
          <c:dPt>
            <c:idx val="1"/>
            <c:bubble3D val="0"/>
            <c:spPr>
              <a:solidFill>
                <a:srgbClr val="63CAAA"/>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61F-9305-3D0F525712BF}"/>
              </c:ext>
            </c:extLst>
          </c:dPt>
          <c:dPt>
            <c:idx val="2"/>
            <c:bubble3D val="0"/>
            <c:spPr>
              <a:solidFill>
                <a:srgbClr val="A5A5A5"/>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61F-9305-3D0F525712BF}"/>
              </c:ext>
            </c:extLst>
          </c:dPt>
          <c:dPt>
            <c:idx val="3"/>
            <c:bubble3D val="0"/>
            <c:spPr>
              <a:solidFill>
                <a:srgbClr val="1D3557"/>
              </a:solidFill>
              <a:ln w="25400">
                <a:solidFill>
                  <a:schemeClr val="lt1"/>
                </a:solidFill>
              </a:ln>
              <a:effectLst/>
              <a:sp3d contourW="25400">
                <a:contourClr>
                  <a:schemeClr val="lt1"/>
                </a:contourClr>
              </a:sp3d>
            </c:spPr>
            <c:extLst>
              <c:ext xmlns:c16="http://schemas.microsoft.com/office/drawing/2014/chart" uri="{C3380CC4-5D6E-409C-BE32-E72D297353CC}">
                <c16:uniqueId val="{00000007-FA7A-461F-9305-3D0F525712BF}"/>
              </c:ext>
            </c:extLst>
          </c:dPt>
          <c:dPt>
            <c:idx val="4"/>
            <c:bubble3D val="0"/>
            <c:spPr>
              <a:solidFill>
                <a:srgbClr val="457B9D"/>
              </a:solidFill>
              <a:ln w="25400">
                <a:solidFill>
                  <a:schemeClr val="lt1"/>
                </a:solidFill>
              </a:ln>
              <a:effectLst/>
              <a:sp3d contourW="25400">
                <a:contourClr>
                  <a:schemeClr val="lt1"/>
                </a:contourClr>
              </a:sp3d>
            </c:spPr>
            <c:extLst>
              <c:ext xmlns:c16="http://schemas.microsoft.com/office/drawing/2014/chart" uri="{C3380CC4-5D6E-409C-BE32-E72D297353CC}">
                <c16:uniqueId val="{00000009-FA7A-461F-9305-3D0F525712BF}"/>
              </c:ext>
            </c:extLst>
          </c:dPt>
          <c:dLbls>
            <c:dLbl>
              <c:idx val="3"/>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9257020997375326"/>
                      <c:h val="0.11853783902012248"/>
                    </c:manualLayout>
                  </c15:layout>
                </c:ext>
                <c:ext xmlns:c16="http://schemas.microsoft.com/office/drawing/2014/chart" uri="{C3380CC4-5D6E-409C-BE32-E72D297353CC}">
                  <c16:uniqueId val="{00000007-FA7A-461F-9305-3D0F525712BF}"/>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tích'!$K$18:$K$23</c:f>
              <c:strCache>
                <c:ptCount val="5"/>
                <c:pt idx="0">
                  <c:v>Dưới 6 tháng</c:v>
                </c:pt>
                <c:pt idx="1">
                  <c:v>Từ 1 năm - dưới 3 năm</c:v>
                </c:pt>
                <c:pt idx="2">
                  <c:v>Từ 3 năm - dưới 5 năm</c:v>
                </c:pt>
                <c:pt idx="3">
                  <c:v>Từ 5 năm - dưới 10 năm</c:v>
                </c:pt>
                <c:pt idx="4">
                  <c:v>Từ 6 tháng - dưới 1 năm</c:v>
                </c:pt>
              </c:strCache>
            </c:strRef>
          </c:cat>
          <c:val>
            <c:numRef>
              <c:f>'Phân tích'!$L$18:$L$23</c:f>
              <c:numCache>
                <c:formatCode>General</c:formatCode>
                <c:ptCount val="5"/>
                <c:pt idx="0">
                  <c:v>124</c:v>
                </c:pt>
                <c:pt idx="1">
                  <c:v>125</c:v>
                </c:pt>
                <c:pt idx="2">
                  <c:v>88</c:v>
                </c:pt>
                <c:pt idx="3">
                  <c:v>24</c:v>
                </c:pt>
                <c:pt idx="4">
                  <c:v>23</c:v>
                </c:pt>
              </c:numCache>
            </c:numRef>
          </c:val>
          <c:extLst>
            <c:ext xmlns:c16="http://schemas.microsoft.com/office/drawing/2014/chart" uri="{C3380CC4-5D6E-409C-BE32-E72D297353CC}">
              <c16:uniqueId val="{0000000A-FA7A-461F-9305-3D0F525712BF}"/>
            </c:ext>
          </c:extLst>
        </c:ser>
        <c:dLbls>
          <c:showLegendKey val="0"/>
          <c:showVal val="0"/>
          <c:showCatName val="0"/>
          <c:showSerName val="0"/>
          <c:showPercent val="0"/>
          <c:showBubbleSize val="0"/>
          <c:showLeaderLines val="1"/>
        </c:dLbls>
        <c:firstSliceAng val="0"/>
        <c:holeSize val="22"/>
      </c:doughnutChart>
      <c:spPr>
        <a:noFill/>
        <a:ln>
          <a:noFill/>
        </a:ln>
        <a:effectLst/>
        <a:sp3d/>
      </c:spPr>
    </c:plotArea>
    <c:plotVisOnly val="1"/>
    <c:dispBlanksAs val="gap"/>
    <c:showDLblsOverMax val="0"/>
    <c:extLst/>
  </c:chart>
  <c:spPr>
    <a:ln w="19050">
      <a:solidFill>
        <a:srgbClr val="002060"/>
      </a:solidFill>
    </a:ln>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su.xlsx]Phân tích!Chênh lệch NV</c:name>
    <c:fmtId val="8"/>
  </c:pivotSource>
  <c:chart>
    <c:title>
      <c:tx>
        <c:rich>
          <a:bodyPr rot="0" vert="horz"/>
          <a:lstStyle/>
          <a:p>
            <a:pPr algn="ctr" rtl="0">
              <a:defRPr/>
            </a:pPr>
            <a:r>
              <a:rPr lang="en-US" sz="900" b="1">
                <a:solidFill>
                  <a:srgbClr val="00B0F0"/>
                </a:solidFill>
              </a:rPr>
              <a:t>CHÊNH</a:t>
            </a:r>
            <a:r>
              <a:rPr lang="en-US" sz="900" b="1" baseline="0">
                <a:solidFill>
                  <a:srgbClr val="00B0F0"/>
                </a:solidFill>
              </a:rPr>
              <a:t> LỆCH SO VỚI CÙNG KỲ NĂM TRƯỚC</a:t>
            </a:r>
            <a:endParaRPr lang="en-US" sz="900" b="1">
              <a:solidFill>
                <a:srgbClr val="00B0F0"/>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9C46A"/>
          </a:solidFill>
          <a:ln>
            <a:solidFill>
              <a:srgbClr val="E4614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9C46A"/>
          </a:solidFill>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1">
              <a:lumMod val="85000"/>
            </a:schemeClr>
          </a:solidFill>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ln>
            <a:solidFill>
              <a:srgbClr val="0070C0"/>
            </a:solidFill>
          </a:ln>
          <a:effectLst/>
        </c:spPr>
        <c:marker>
          <c:spPr>
            <a:solidFill>
              <a:srgbClr val="FFFF00"/>
            </a:solidFill>
            <a:ln>
              <a:solidFill>
                <a:srgbClr val="0070C0"/>
              </a:solidFill>
            </a:ln>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1"/>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3"/>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4"/>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6"/>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27"/>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29"/>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0"/>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2"/>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5"/>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38"/>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3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1"/>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4"/>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5"/>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47"/>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48"/>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0"/>
        <c:spPr>
          <a:ln>
            <a:solidFill>
              <a:srgbClr val="0070C0"/>
            </a:solidFill>
          </a:ln>
          <a:effectLst/>
        </c:spPr>
        <c:marker>
          <c:spPr>
            <a:solidFill>
              <a:srgbClr val="FFFF00"/>
            </a:solidFill>
            <a:ln>
              <a:solidFill>
                <a:srgbClr val="0070C0"/>
              </a:solidFill>
            </a:ln>
          </c:spPr>
        </c:marker>
        <c:dLbl>
          <c:idx val="0"/>
          <c:delete val="1"/>
          <c:extLst>
            <c:ext xmlns:c15="http://schemas.microsoft.com/office/drawing/2012/chart" uri="{CE6537A1-D6FC-4f65-9D91-7224C49458BB}"/>
          </c:extLst>
        </c:dLbl>
      </c:pivotFmt>
      <c:pivotFmt>
        <c:idx val="51"/>
        <c:marker>
          <c:symbol val="none"/>
        </c:marker>
      </c:pivotFmt>
      <c:pivotFmt>
        <c:idx val="52"/>
        <c:marker>
          <c:spPr>
            <a:solidFill>
              <a:srgbClr val="FFFF00"/>
            </a:solidFill>
          </c:spPr>
        </c:marker>
        <c:dLbl>
          <c:idx val="0"/>
          <c:delete val="1"/>
          <c:extLst>
            <c:ext xmlns:c15="http://schemas.microsoft.com/office/drawing/2012/chart" uri="{CE6537A1-D6FC-4f65-9D91-7224C49458BB}"/>
          </c:extLst>
        </c:dLbl>
      </c:pivotFmt>
      <c:pivotFmt>
        <c:idx val="53"/>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5"/>
        <c:marker>
          <c:spPr>
            <a:solidFill>
              <a:srgbClr val="FFFF00"/>
            </a:solidFill>
          </c:spPr>
        </c:marker>
        <c:dLbl>
          <c:idx val="0"/>
          <c:delete val="1"/>
          <c:extLst>
            <c:ext xmlns:c15="http://schemas.microsoft.com/office/drawing/2012/chart" uri="{CE6537A1-D6FC-4f65-9D91-7224C49458BB}"/>
          </c:extLst>
        </c:dLbl>
      </c:pivotFmt>
      <c:pivotFmt>
        <c:idx val="56"/>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58"/>
        <c:marker>
          <c:spPr>
            <a:solidFill>
              <a:srgbClr val="FFFF00"/>
            </a:solidFill>
          </c:spPr>
        </c:marker>
        <c:dLbl>
          <c:idx val="0"/>
          <c:delete val="1"/>
          <c:extLst>
            <c:ext xmlns:c15="http://schemas.microsoft.com/office/drawing/2012/chart" uri="{CE6537A1-D6FC-4f65-9D91-7224C49458BB}"/>
          </c:extLst>
        </c:dLbl>
      </c:pivotFmt>
      <c:pivotFmt>
        <c:idx val="59"/>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1"/>
        <c:marker>
          <c:spPr>
            <a:solidFill>
              <a:srgbClr val="FFFF00"/>
            </a:solidFill>
          </c:spPr>
        </c:marker>
        <c:dLbl>
          <c:idx val="0"/>
          <c:delete val="1"/>
          <c:extLst>
            <c:ext xmlns:c15="http://schemas.microsoft.com/office/drawing/2012/chart" uri="{CE6537A1-D6FC-4f65-9D91-7224C49458BB}"/>
          </c:extLst>
        </c:dLbl>
      </c:pivotFmt>
      <c:pivotFmt>
        <c:idx val="62"/>
        <c:spPr>
          <a:solidFill>
            <a:srgbClr val="63CAAA"/>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bg1">
              <a:lumMod val="85000"/>
            </a:schemeClr>
          </a:solidFill>
          <a:effectLst/>
        </c:spPr>
        <c:marker>
          <c:symbol val="none"/>
        </c:marker>
        <c:dLbl>
          <c:idx val="0"/>
          <c:delete val="1"/>
          <c:extLst>
            <c:ext xmlns:c15="http://schemas.microsoft.com/office/drawing/2012/chart" uri="{CE6537A1-D6FC-4f65-9D91-7224C49458BB}"/>
          </c:extLst>
        </c:dLbl>
      </c:pivotFmt>
      <c:pivotFmt>
        <c:idx val="64"/>
        <c:marker>
          <c:spPr>
            <a:solidFill>
              <a:srgbClr val="FFFF00"/>
            </a:solidFill>
          </c:spPr>
        </c:marker>
        <c:dLbl>
          <c:idx val="0"/>
          <c:delete val="1"/>
          <c:extLst>
            <c:ext xmlns:c15="http://schemas.microsoft.com/office/drawing/2012/chart" uri="{CE6537A1-D6FC-4f65-9D91-7224C49458BB}"/>
          </c:extLst>
        </c:dLbl>
      </c:pivotFmt>
      <c:pivotFmt>
        <c:idx val="65"/>
        <c:spPr>
          <a:solidFill>
            <a:srgbClr val="63CAAA"/>
          </a:solidFill>
          <a:effectLst/>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68"/>
        <c:spPr>
          <a:solidFill>
            <a:srgbClr val="63CAAA"/>
          </a:solidFill>
          <a:effectLst/>
        </c:spPr>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1"/>
        <c:spPr>
          <a:solidFill>
            <a:srgbClr val="63CAAA"/>
          </a:solidFill>
          <a:effectLst/>
        </c:spPr>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4"/>
        <c:spPr>
          <a:solidFill>
            <a:srgbClr val="63CAAA"/>
          </a:solidFill>
          <a:effectLst/>
        </c:spPr>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77"/>
        <c:spPr>
          <a:solidFill>
            <a:srgbClr val="63CAAA"/>
          </a:solidFill>
          <a:effectLst/>
        </c:spPr>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0"/>
        <c:spPr>
          <a:solidFill>
            <a:srgbClr val="63CAAA"/>
          </a:solidFill>
          <a:effectLst/>
        </c:spPr>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3"/>
        <c:spPr>
          <a:solidFill>
            <a:srgbClr val="63CAAA"/>
          </a:solidFill>
          <a:effectLst/>
        </c:spPr>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6"/>
        <c:spPr>
          <a:solidFill>
            <a:srgbClr val="63CAAA"/>
          </a:solidFill>
          <a:effectLst/>
        </c:spPr>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
        <c:idx val="88"/>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89"/>
        <c:spPr>
          <a:solidFill>
            <a:srgbClr val="63CAAA"/>
          </a:solidFill>
          <a:effectLst/>
        </c:spPr>
        <c:marker>
          <c:symbol val="none"/>
        </c:marker>
        <c:dLbl>
          <c:idx val="0"/>
          <c:delete val="1"/>
          <c:extLst>
            <c:ext xmlns:c15="http://schemas.microsoft.com/office/drawing/2012/chart" uri="{CE6537A1-D6FC-4f65-9D91-7224C49458BB}"/>
          </c:extLst>
        </c:dLbl>
      </c:pivotFmt>
      <c:pivotFmt>
        <c:idx val="90"/>
        <c:marker>
          <c:symbol val="none"/>
        </c:marker>
        <c:dLbl>
          <c:idx val="0"/>
          <c:delete val="1"/>
          <c:extLst>
            <c:ext xmlns:c15="http://schemas.microsoft.com/office/drawing/2012/chart" uri="{CE6537A1-D6FC-4f65-9D91-7224C49458BB}"/>
          </c:extLst>
        </c:dLbl>
      </c:pivotFmt>
      <c:pivotFmt>
        <c:idx val="91"/>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92"/>
        <c:spPr>
          <a:solidFill>
            <a:srgbClr val="63CAAA"/>
          </a:solidFill>
          <a:effectLst/>
        </c:spPr>
        <c:marker>
          <c:symbol val="none"/>
        </c:marker>
        <c:dLbl>
          <c:idx val="0"/>
          <c:delete val="1"/>
          <c:extLst>
            <c:ext xmlns:c15="http://schemas.microsoft.com/office/drawing/2012/chart" uri="{CE6537A1-D6FC-4f65-9D91-7224C49458BB}"/>
          </c:extLst>
        </c:dLbl>
      </c:pivotFmt>
      <c:pivotFmt>
        <c:idx val="93"/>
        <c:marker>
          <c:symbol val="none"/>
        </c:marker>
        <c:dLbl>
          <c:idx val="0"/>
          <c:delete val="1"/>
          <c:extLst>
            <c:ext xmlns:c15="http://schemas.microsoft.com/office/drawing/2012/chart" uri="{CE6537A1-D6FC-4f65-9D91-7224C49458BB}"/>
          </c:extLst>
        </c:dLbl>
      </c:pivotFmt>
      <c:pivotFmt>
        <c:idx val="94"/>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95"/>
        <c:spPr>
          <a:solidFill>
            <a:srgbClr val="63CAAA"/>
          </a:solidFill>
          <a:effectLst/>
        </c:spPr>
        <c:marker>
          <c:symbol val="none"/>
        </c:marker>
        <c:dLbl>
          <c:idx val="0"/>
          <c:delete val="1"/>
          <c:extLst>
            <c:ext xmlns:c15="http://schemas.microsoft.com/office/drawing/2012/chart" uri="{CE6537A1-D6FC-4f65-9D91-7224C49458BB}"/>
          </c:extLst>
        </c:dLbl>
      </c:pivotFmt>
      <c:pivotFmt>
        <c:idx val="96"/>
        <c:marker>
          <c:symbol val="none"/>
        </c:marker>
        <c:dLbl>
          <c:idx val="0"/>
          <c:delete val="1"/>
          <c:extLst>
            <c:ext xmlns:c15="http://schemas.microsoft.com/office/drawing/2012/chart" uri="{CE6537A1-D6FC-4f65-9D91-7224C49458BB}"/>
          </c:extLst>
        </c:dLbl>
      </c:pivotFmt>
      <c:pivotFmt>
        <c:idx val="97"/>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98"/>
        <c:spPr>
          <a:solidFill>
            <a:srgbClr val="63CAAA"/>
          </a:solidFill>
          <a:effectLst/>
        </c:spPr>
        <c:marker>
          <c:symbol val="none"/>
        </c:marker>
        <c:dLbl>
          <c:idx val="0"/>
          <c:delete val="1"/>
          <c:extLst>
            <c:ext xmlns:c15="http://schemas.microsoft.com/office/drawing/2012/chart" uri="{CE6537A1-D6FC-4f65-9D91-7224C49458BB}"/>
          </c:extLst>
        </c:dLbl>
      </c:pivotFmt>
      <c:pivotFmt>
        <c:idx val="99"/>
        <c:marker>
          <c:symbol val="none"/>
        </c:marker>
        <c:dLbl>
          <c:idx val="0"/>
          <c:delete val="1"/>
          <c:extLst>
            <c:ext xmlns:c15="http://schemas.microsoft.com/office/drawing/2012/chart" uri="{CE6537A1-D6FC-4f65-9D91-7224C49458BB}"/>
          </c:extLst>
        </c:dLbl>
      </c:pivotFmt>
      <c:pivotFmt>
        <c:idx val="100"/>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101"/>
        <c:spPr>
          <a:solidFill>
            <a:srgbClr val="63CAAA"/>
          </a:solidFill>
          <a:effectLst/>
        </c:spPr>
        <c:marker>
          <c:symbol val="none"/>
        </c:marker>
        <c:dLbl>
          <c:idx val="0"/>
          <c:delete val="1"/>
          <c:extLst>
            <c:ext xmlns:c15="http://schemas.microsoft.com/office/drawing/2012/chart" uri="{CE6537A1-D6FC-4f65-9D91-7224C49458BB}"/>
          </c:extLst>
        </c:dLbl>
      </c:pivotFmt>
      <c:pivotFmt>
        <c:idx val="102"/>
        <c:marker>
          <c:symbol val="none"/>
        </c:marker>
        <c:dLbl>
          <c:idx val="0"/>
          <c:delete val="1"/>
          <c:extLst>
            <c:ext xmlns:c15="http://schemas.microsoft.com/office/drawing/2012/chart" uri="{CE6537A1-D6FC-4f65-9D91-7224C49458BB}"/>
          </c:extLst>
        </c:dLbl>
      </c:pivotFmt>
      <c:pivotFmt>
        <c:idx val="103"/>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
        <c:idx val="104"/>
        <c:spPr>
          <a:solidFill>
            <a:srgbClr val="63CAAA"/>
          </a:solidFill>
          <a:effectLst/>
        </c:spPr>
        <c:marker>
          <c:symbol val="none"/>
        </c:marker>
        <c:dLbl>
          <c:idx val="0"/>
          <c:delete val="1"/>
          <c:extLst>
            <c:ext xmlns:c15="http://schemas.microsoft.com/office/drawing/2012/chart" uri="{CE6537A1-D6FC-4f65-9D91-7224C49458BB}"/>
          </c:extLst>
        </c:dLbl>
      </c:pivotFmt>
      <c:pivotFmt>
        <c:idx val="105"/>
        <c:marker>
          <c:symbol val="none"/>
        </c:marker>
        <c:dLbl>
          <c:idx val="0"/>
          <c:delete val="1"/>
          <c:extLst>
            <c:ext xmlns:c15="http://schemas.microsoft.com/office/drawing/2012/chart" uri="{CE6537A1-D6FC-4f65-9D91-7224C49458BB}"/>
          </c:extLst>
        </c:dLbl>
      </c:pivotFmt>
      <c:pivotFmt>
        <c:idx val="106"/>
        <c:spPr>
          <a:ln>
            <a:solidFill>
              <a:schemeClr val="accent1"/>
            </a:solidFill>
          </a:ln>
          <a:effectLst/>
        </c:spPr>
        <c:marker>
          <c:spPr>
            <a:solidFill>
              <a:srgbClr val="FFFF00"/>
            </a:solidFill>
          </c:spPr>
        </c:marker>
        <c:dLbl>
          <c:idx val="0"/>
          <c:delete val="1"/>
          <c:extLst>
            <c:ext xmlns:c15="http://schemas.microsoft.com/office/drawing/2012/chart" uri="{CE6537A1-D6FC-4f65-9D91-7224C49458BB}"/>
          </c:extLst>
        </c:dLbl>
      </c:pivotFmt>
    </c:pivotFmts>
    <c:plotArea>
      <c:layout>
        <c:manualLayout>
          <c:layoutTarget val="inner"/>
          <c:xMode val="edge"/>
          <c:yMode val="edge"/>
          <c:x val="0.12224703813355808"/>
          <c:y val="0.14177965001867238"/>
          <c:w val="0.87775296186644192"/>
          <c:h val="0.39356896531431329"/>
        </c:manualLayout>
      </c:layout>
      <c:barChart>
        <c:barDir val="col"/>
        <c:grouping val="clustered"/>
        <c:varyColors val="0"/>
        <c:ser>
          <c:idx val="1"/>
          <c:order val="1"/>
          <c:tx>
            <c:strRef>
              <c:f>'Phân tích'!$J$46</c:f>
              <c:strCache>
                <c:ptCount val="1"/>
                <c:pt idx="0">
                  <c:v>Chênh lệch TM</c:v>
                </c:pt>
              </c:strCache>
            </c:strRef>
          </c:tx>
          <c:spPr>
            <a:solidFill>
              <a:srgbClr val="63CAAA"/>
            </a:solidFill>
            <a:effectLst/>
          </c:spPr>
          <c:invertIfNegative val="0"/>
          <c:cat>
            <c:multiLvlStrRef>
              <c:f>'Phân tích'!$H$47:$H$60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tích'!$J$47:$J$60</c:f>
              <c:numCache>
                <c:formatCode>General</c:formatCode>
                <c:ptCount val="12"/>
                <c:pt idx="0">
                  <c:v>0</c:v>
                </c:pt>
                <c:pt idx="1">
                  <c:v>-3</c:v>
                </c:pt>
                <c:pt idx="2">
                  <c:v>-14</c:v>
                </c:pt>
                <c:pt idx="3">
                  <c:v>-7</c:v>
                </c:pt>
                <c:pt idx="4">
                  <c:v>-16</c:v>
                </c:pt>
                <c:pt idx="5">
                  <c:v>-7</c:v>
                </c:pt>
                <c:pt idx="6">
                  <c:v>-8</c:v>
                </c:pt>
                <c:pt idx="7">
                  <c:v>-4</c:v>
                </c:pt>
                <c:pt idx="8">
                  <c:v>2</c:v>
                </c:pt>
                <c:pt idx="9">
                  <c:v>5</c:v>
                </c:pt>
                <c:pt idx="10">
                  <c:v>-9</c:v>
                </c:pt>
              </c:numCache>
            </c:numRef>
          </c:val>
          <c:extLst>
            <c:ext xmlns:c16="http://schemas.microsoft.com/office/drawing/2014/chart" uri="{C3380CC4-5D6E-409C-BE32-E72D297353CC}">
              <c16:uniqueId val="{00000004-160C-4FC3-B9FE-D1D5AE9D024E}"/>
            </c:ext>
          </c:extLst>
        </c:ser>
        <c:ser>
          <c:idx val="2"/>
          <c:order val="2"/>
          <c:tx>
            <c:strRef>
              <c:f>'Phân tích'!$K$46</c:f>
              <c:strCache>
                <c:ptCount val="1"/>
                <c:pt idx="0">
                  <c:v>Chênh lệch nghỉ việc</c:v>
                </c:pt>
              </c:strCache>
            </c:strRef>
          </c:tx>
          <c:invertIfNegative val="0"/>
          <c:cat>
            <c:multiLvlStrRef>
              <c:f>'Phân tích'!$H$47:$H$60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tích'!$K$47:$K$60</c:f>
              <c:numCache>
                <c:formatCode>General</c:formatCode>
                <c:ptCount val="12"/>
                <c:pt idx="0">
                  <c:v>2</c:v>
                </c:pt>
                <c:pt idx="1">
                  <c:v>-16</c:v>
                </c:pt>
                <c:pt idx="2">
                  <c:v>-4</c:v>
                </c:pt>
                <c:pt idx="3">
                  <c:v>-12</c:v>
                </c:pt>
                <c:pt idx="4">
                  <c:v>-50</c:v>
                </c:pt>
                <c:pt idx="5">
                  <c:v>-4</c:v>
                </c:pt>
                <c:pt idx="6">
                  <c:v>-4</c:v>
                </c:pt>
                <c:pt idx="7">
                  <c:v>-5</c:v>
                </c:pt>
                <c:pt idx="8">
                  <c:v>-8</c:v>
                </c:pt>
                <c:pt idx="9">
                  <c:v>8</c:v>
                </c:pt>
                <c:pt idx="10">
                  <c:v>-5</c:v>
                </c:pt>
              </c:numCache>
            </c:numRef>
          </c:val>
          <c:extLst>
            <c:ext xmlns:c16="http://schemas.microsoft.com/office/drawing/2014/chart" uri="{C3380CC4-5D6E-409C-BE32-E72D297353CC}">
              <c16:uniqueId val="{00000005-160C-4FC3-B9FE-D1D5AE9D024E}"/>
            </c:ext>
          </c:extLst>
        </c:ser>
        <c:dLbls>
          <c:showLegendKey val="0"/>
          <c:showVal val="0"/>
          <c:showCatName val="0"/>
          <c:showSerName val="0"/>
          <c:showPercent val="0"/>
          <c:showBubbleSize val="0"/>
        </c:dLbls>
        <c:gapWidth val="80"/>
        <c:axId val="118943744"/>
        <c:axId val="118939168"/>
      </c:barChart>
      <c:lineChart>
        <c:grouping val="stacked"/>
        <c:varyColors val="0"/>
        <c:ser>
          <c:idx val="0"/>
          <c:order val="0"/>
          <c:tx>
            <c:strRef>
              <c:f>'Phân tích'!$I$46</c:f>
              <c:strCache>
                <c:ptCount val="1"/>
                <c:pt idx="0">
                  <c:v>Chênh lệch NV</c:v>
                </c:pt>
              </c:strCache>
            </c:strRef>
          </c:tx>
          <c:spPr>
            <a:ln>
              <a:solidFill>
                <a:schemeClr val="accent1"/>
              </a:solidFill>
            </a:ln>
            <a:effectLst/>
          </c:spPr>
          <c:marker>
            <c:spPr>
              <a:solidFill>
                <a:srgbClr val="FFFF00"/>
              </a:solidFill>
            </c:spPr>
          </c:marker>
          <c:cat>
            <c:multiLvlStrRef>
              <c:f>'Phân tích'!$H$47:$H$60</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2023</c:v>
                  </c:pt>
                </c:lvl>
              </c:multiLvlStrCache>
            </c:multiLvlStrRef>
          </c:cat>
          <c:val>
            <c:numRef>
              <c:f>'Phân tích'!$I$47:$I$60</c:f>
              <c:numCache>
                <c:formatCode>General</c:formatCode>
                <c:ptCount val="12"/>
                <c:pt idx="0">
                  <c:v>-60</c:v>
                </c:pt>
                <c:pt idx="1">
                  <c:v>-65</c:v>
                </c:pt>
                <c:pt idx="2">
                  <c:v>-63</c:v>
                </c:pt>
                <c:pt idx="3">
                  <c:v>-66</c:v>
                </c:pt>
                <c:pt idx="4">
                  <c:v>-70</c:v>
                </c:pt>
                <c:pt idx="5">
                  <c:v>-27</c:v>
                </c:pt>
                <c:pt idx="6">
                  <c:v>-31</c:v>
                </c:pt>
                <c:pt idx="7">
                  <c:v>-31</c:v>
                </c:pt>
                <c:pt idx="8">
                  <c:v>-24</c:v>
                </c:pt>
                <c:pt idx="9">
                  <c:v>-11</c:v>
                </c:pt>
                <c:pt idx="10">
                  <c:v>-28</c:v>
                </c:pt>
                <c:pt idx="11">
                  <c:v>-32</c:v>
                </c:pt>
              </c:numCache>
            </c:numRef>
          </c:val>
          <c:smooth val="0"/>
          <c:extLst>
            <c:ext xmlns:c16="http://schemas.microsoft.com/office/drawing/2014/chart" uri="{C3380CC4-5D6E-409C-BE32-E72D297353CC}">
              <c16:uniqueId val="{00000003-160C-4FC3-B9FE-D1D5AE9D024E}"/>
            </c:ext>
          </c:extLst>
        </c:ser>
        <c:dLbls>
          <c:showLegendKey val="0"/>
          <c:showVal val="0"/>
          <c:showCatName val="0"/>
          <c:showSerName val="0"/>
          <c:showPercent val="0"/>
          <c:showBubbleSize val="0"/>
        </c:dLbls>
        <c:marker val="1"/>
        <c:smooth val="0"/>
        <c:axId val="247215232"/>
        <c:axId val="672710016"/>
      </c:lineChart>
      <c:catAx>
        <c:axId val="1189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939168"/>
        <c:crosses val="autoZero"/>
        <c:auto val="1"/>
        <c:lblAlgn val="ctr"/>
        <c:lblOffset val="100"/>
        <c:noMultiLvlLbl val="0"/>
      </c:catAx>
      <c:valAx>
        <c:axId val="118939168"/>
        <c:scaling>
          <c:orientation val="minMax"/>
        </c:scaling>
        <c:delete val="1"/>
        <c:axPos val="l"/>
        <c:numFmt formatCode="General" sourceLinked="1"/>
        <c:majorTickMark val="out"/>
        <c:minorTickMark val="none"/>
        <c:tickLblPos val="nextTo"/>
        <c:crossAx val="118943744"/>
        <c:crosses val="autoZero"/>
        <c:crossBetween val="between"/>
      </c:valAx>
      <c:valAx>
        <c:axId val="672710016"/>
        <c:scaling>
          <c:orientation val="minMax"/>
        </c:scaling>
        <c:delete val="0"/>
        <c:axPos val="r"/>
        <c:numFmt formatCode="General" sourceLinked="1"/>
        <c:majorTickMark val="out"/>
        <c:minorTickMark val="none"/>
        <c:tickLblPos val="nextTo"/>
        <c:crossAx val="247215232"/>
        <c:crosses val="max"/>
        <c:crossBetween val="between"/>
      </c:valAx>
      <c:catAx>
        <c:axId val="247215232"/>
        <c:scaling>
          <c:orientation val="minMax"/>
        </c:scaling>
        <c:delete val="1"/>
        <c:axPos val="b"/>
        <c:numFmt formatCode="General" sourceLinked="1"/>
        <c:majorTickMark val="out"/>
        <c:minorTickMark val="none"/>
        <c:tickLblPos val="nextTo"/>
        <c:crossAx val="672710016"/>
        <c:crosses val="autoZero"/>
        <c:auto val="1"/>
        <c:lblAlgn val="ctr"/>
        <c:lblOffset val="100"/>
        <c:noMultiLvlLbl val="0"/>
      </c:catAx>
      <c:dTable>
        <c:showHorzBorder val="1"/>
        <c:showVertBorder val="1"/>
        <c:showOutline val="1"/>
        <c:showKeys val="1"/>
      </c:dTable>
    </c:plotArea>
    <c:plotVisOnly val="1"/>
    <c:dispBlanksAs val="gap"/>
    <c:showDLblsOverMax val="0"/>
    <c:extLst/>
  </c:chart>
  <c:spPr>
    <a:ln w="19050">
      <a:solidFill>
        <a:srgbClr val="1D3557"/>
      </a:solidFill>
    </a:ln>
    <a:scene3d>
      <a:camera prst="orthographicFront"/>
      <a:lightRig rig="threePt" dir="t"/>
    </a:scene3d>
    <a:sp3d prstMaterial="matte">
      <a:bevelT w="63500" h="63500" prst="artDeco"/>
      <a:contourClr>
        <a:srgbClr val="000000"/>
      </a:contourClr>
    </a:sp3d>
  </c:spPr>
  <c:txPr>
    <a:bodyPr/>
    <a:lstStyle/>
    <a:p>
      <a:pPr>
        <a:defRPr lang="en-US" sz="7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19</xdr:col>
      <xdr:colOff>349569</xdr:colOff>
      <xdr:row>27</xdr:row>
      <xdr:rowOff>0</xdr:rowOff>
    </xdr:from>
    <xdr:to>
      <xdr:col>24</xdr:col>
      <xdr:colOff>417820</xdr:colOff>
      <xdr:row>36</xdr:row>
      <xdr:rowOff>101824</xdr:rowOff>
    </xdr:to>
    <xdr:graphicFrame macro="">
      <xdr:nvGraphicFramePr>
        <xdr:cNvPr id="9" name="Chart 8">
          <a:extLst>
            <a:ext uri="{FF2B5EF4-FFF2-40B4-BE49-F238E27FC236}">
              <a16:creationId xmlns:a16="http://schemas.microsoft.com/office/drawing/2014/main" id="{1AE81D71-E967-4BFF-82FF-92CA0C322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390525</xdr:colOff>
      <xdr:row>14</xdr:row>
      <xdr:rowOff>19050</xdr:rowOff>
    </xdr:from>
    <xdr:to>
      <xdr:col>18</xdr:col>
      <xdr:colOff>390525</xdr:colOff>
      <xdr:row>21</xdr:row>
      <xdr:rowOff>66675</xdr:rowOff>
    </xdr:to>
    <mc:AlternateContent xmlns:mc="http://schemas.openxmlformats.org/markup-compatibility/2006" xmlns:a14="http://schemas.microsoft.com/office/drawing/2010/main">
      <mc:Choice Requires="a14">
        <xdr:graphicFrame macro="">
          <xdr:nvGraphicFramePr>
            <xdr:cNvPr id="15" name="Month Number">
              <a:extLst>
                <a:ext uri="{FF2B5EF4-FFF2-40B4-BE49-F238E27FC236}">
                  <a16:creationId xmlns:a16="http://schemas.microsoft.com/office/drawing/2014/main" id="{818205B1-AB35-ED5C-3D3D-818985CDBF90}"/>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0715625" y="2686050"/>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133350</xdr:colOff>
      <xdr:row>7</xdr:row>
      <xdr:rowOff>0</xdr:rowOff>
    </xdr:from>
    <xdr:to>
      <xdr:col>15</xdr:col>
      <xdr:colOff>323850</xdr:colOff>
      <xdr:row>15</xdr:row>
      <xdr:rowOff>161925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DABDBA92-003B-9CA7-FA82-22C38561CC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29650" y="1333500"/>
              <a:ext cx="2019300"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0</xdr:row>
      <xdr:rowOff>114300</xdr:rowOff>
    </xdr:from>
    <xdr:to>
      <xdr:col>18</xdr:col>
      <xdr:colOff>361950</xdr:colOff>
      <xdr:row>13</xdr:row>
      <xdr:rowOff>161925</xdr:rowOff>
    </xdr:to>
    <mc:AlternateContent xmlns:mc="http://schemas.openxmlformats.org/markup-compatibility/2006" xmlns:a14="http://schemas.microsoft.com/office/drawing/2010/main">
      <mc:Choice Requires="a14">
        <xdr:graphicFrame macro="">
          <xdr:nvGraphicFramePr>
            <xdr:cNvPr id="17" name="Khối">
              <a:extLst>
                <a:ext uri="{FF2B5EF4-FFF2-40B4-BE49-F238E27FC236}">
                  <a16:creationId xmlns:a16="http://schemas.microsoft.com/office/drawing/2014/main" id="{EA1312FC-FB6E-5DB4-B811-8006DBE060B0}"/>
                </a:ext>
              </a:extLst>
            </xdr:cNvPr>
            <xdr:cNvGraphicFramePr/>
          </xdr:nvGraphicFramePr>
          <xdr:xfrm>
            <a:off x="0" y="0"/>
            <a:ext cx="0" cy="0"/>
          </xdr:xfrm>
          <a:graphic>
            <a:graphicData uri="http://schemas.microsoft.com/office/drawing/2010/slicer">
              <sle:slicer xmlns:sle="http://schemas.microsoft.com/office/drawing/2010/slicer" name="Khối"/>
            </a:graphicData>
          </a:graphic>
        </xdr:graphicFrame>
      </mc:Choice>
      <mc:Fallback xmlns="">
        <xdr:sp macro="" textlink="">
          <xdr:nvSpPr>
            <xdr:cNvPr id="0" name=""/>
            <xdr:cNvSpPr>
              <a:spLocks noTextEdit="1"/>
            </xdr:cNvSpPr>
          </xdr:nvSpPr>
          <xdr:spPr>
            <a:xfrm>
              <a:off x="10687050"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123825</xdr:colOff>
      <xdr:row>0</xdr:row>
      <xdr:rowOff>104776</xdr:rowOff>
    </xdr:from>
    <xdr:to>
      <xdr:col>15</xdr:col>
      <xdr:colOff>276225</xdr:colOff>
      <xdr:row>6</xdr:row>
      <xdr:rowOff>161926</xdr:rowOff>
    </xdr:to>
    <mc:AlternateContent xmlns:mc="http://schemas.openxmlformats.org/markup-compatibility/2006" xmlns:a14="http://schemas.microsoft.com/office/drawing/2010/main">
      <mc:Choice Requires="a14">
        <xdr:graphicFrame macro="">
          <xdr:nvGraphicFramePr>
            <xdr:cNvPr id="18" name="Vùng">
              <a:extLst>
                <a:ext uri="{FF2B5EF4-FFF2-40B4-BE49-F238E27FC236}">
                  <a16:creationId xmlns:a16="http://schemas.microsoft.com/office/drawing/2014/main" id="{D98F1C3E-5E72-F176-0D5D-951011E75608}"/>
                </a:ext>
              </a:extLst>
            </xdr:cNvPr>
            <xdr:cNvGraphicFramePr/>
          </xdr:nvGraphicFramePr>
          <xdr:xfrm>
            <a:off x="0" y="0"/>
            <a:ext cx="0" cy="0"/>
          </xdr:xfrm>
          <a:graphic>
            <a:graphicData uri="http://schemas.microsoft.com/office/drawing/2010/slicer">
              <sle:slicer xmlns:sle="http://schemas.microsoft.com/office/drawing/2010/slicer" name="Vùng"/>
            </a:graphicData>
          </a:graphic>
        </xdr:graphicFrame>
      </mc:Choice>
      <mc:Fallback xmlns="">
        <xdr:sp macro="" textlink="">
          <xdr:nvSpPr>
            <xdr:cNvPr id="0" name=""/>
            <xdr:cNvSpPr>
              <a:spLocks noTextEdit="1"/>
            </xdr:cNvSpPr>
          </xdr:nvSpPr>
          <xdr:spPr>
            <a:xfrm>
              <a:off x="8620125" y="104776"/>
              <a:ext cx="19812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558362</xdr:colOff>
      <xdr:row>33</xdr:row>
      <xdr:rowOff>87586</xdr:rowOff>
    </xdr:to>
    <xdr:grpSp>
      <xdr:nvGrpSpPr>
        <xdr:cNvPr id="31" name="Group 30">
          <a:extLst>
            <a:ext uri="{FF2B5EF4-FFF2-40B4-BE49-F238E27FC236}">
              <a16:creationId xmlns:a16="http://schemas.microsoft.com/office/drawing/2014/main" id="{C94421AB-F265-9155-5D52-60B30C120635}"/>
            </a:ext>
          </a:extLst>
        </xdr:cNvPr>
        <xdr:cNvGrpSpPr/>
      </xdr:nvGrpSpPr>
      <xdr:grpSpPr>
        <a:xfrm>
          <a:off x="0" y="0"/>
          <a:ext cx="15272845" cy="6229569"/>
          <a:chOff x="0" y="0"/>
          <a:chExt cx="13700125" cy="5724525"/>
        </a:xfrm>
      </xdr:grpSpPr>
      <xdr:sp macro="" textlink="">
        <xdr:nvSpPr>
          <xdr:cNvPr id="2" name="TextBox 1">
            <a:extLst>
              <a:ext uri="{FF2B5EF4-FFF2-40B4-BE49-F238E27FC236}">
                <a16:creationId xmlns:a16="http://schemas.microsoft.com/office/drawing/2014/main" id="{6CF0320B-7C11-4830-B864-496E3B7156E7}"/>
              </a:ext>
            </a:extLst>
          </xdr:cNvPr>
          <xdr:cNvSpPr txBox="1"/>
        </xdr:nvSpPr>
        <xdr:spPr bwMode="auto">
          <a:xfrm>
            <a:off x="0" y="0"/>
            <a:ext cx="13700125" cy="37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rgbClr val="C00000"/>
                </a:solidFill>
                <a:latin typeface="Arial" panose="020B0604020202020204" pitchFamily="34" charset="0"/>
                <a:cs typeface="Arial" panose="020B0604020202020204" pitchFamily="34" charset="0"/>
              </a:rPr>
              <a:t>              BÁO</a:t>
            </a:r>
            <a:r>
              <a:rPr lang="en-US" sz="1600" b="1" baseline="0">
                <a:solidFill>
                  <a:srgbClr val="C00000"/>
                </a:solidFill>
                <a:latin typeface="Arial" panose="020B0604020202020204" pitchFamily="34" charset="0"/>
                <a:cs typeface="Arial" panose="020B0604020202020204" pitchFamily="34" charset="0"/>
              </a:rPr>
              <a:t> CÁO TỔNG QUAN NHÂN SỰ       </a:t>
            </a:r>
            <a:endParaRPr lang="en-US" sz="1800">
              <a:solidFill>
                <a:srgbClr val="002060"/>
              </a:solidFill>
              <a:effectLst/>
              <a:latin typeface="Arial" panose="020B0604020202020204" pitchFamily="34" charset="0"/>
              <a:cs typeface="Arial" panose="020B0604020202020204" pitchFamily="34" charset="0"/>
            </a:endParaRPr>
          </a:p>
        </xdr:txBody>
      </xdr:sp>
      <xdr:grpSp>
        <xdr:nvGrpSpPr>
          <xdr:cNvPr id="5" name="Group 4">
            <a:extLst>
              <a:ext uri="{FF2B5EF4-FFF2-40B4-BE49-F238E27FC236}">
                <a16:creationId xmlns:a16="http://schemas.microsoft.com/office/drawing/2014/main" id="{A53FDA10-D035-A700-E880-7B86F081F154}"/>
              </a:ext>
            </a:extLst>
          </xdr:cNvPr>
          <xdr:cNvGrpSpPr/>
        </xdr:nvGrpSpPr>
        <xdr:grpSpPr>
          <a:xfrm>
            <a:off x="0" y="457200"/>
            <a:ext cx="1280676" cy="578538"/>
            <a:chOff x="0" y="571500"/>
            <a:chExt cx="1293376" cy="578538"/>
          </a:xfrm>
          <a:scene3d>
            <a:camera prst="orthographicFront">
              <a:rot lat="0" lon="0" rev="0"/>
            </a:camera>
            <a:lightRig rig="soft" dir="t">
              <a:rot lat="0" lon="0" rev="0"/>
            </a:lightRig>
          </a:scene3d>
        </xdr:grpSpPr>
        <xdr:sp macro="" textlink="'Phân tích'!$A$4">
          <xdr:nvSpPr>
            <xdr:cNvPr id="3" name="Rectangle: Rounded Corners 2">
              <a:extLst>
                <a:ext uri="{FF2B5EF4-FFF2-40B4-BE49-F238E27FC236}">
                  <a16:creationId xmlns:a16="http://schemas.microsoft.com/office/drawing/2014/main" id="{AA3E84B0-EA6E-4186-B871-F29644822AAD}"/>
                </a:ext>
              </a:extLst>
            </xdr:cNvPr>
            <xdr:cNvSpPr/>
          </xdr:nvSpPr>
          <xdr:spPr>
            <a:xfrm>
              <a:off x="0" y="860178"/>
              <a:ext cx="1293376" cy="289860"/>
            </a:xfrm>
            <a:prstGeom prst="roundRect">
              <a:avLst>
                <a:gd name="adj" fmla="val 5836"/>
              </a:avLst>
            </a:prstGeom>
            <a:solidFill>
              <a:schemeClr val="bg1"/>
            </a:solidFill>
            <a:ln w="3175">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C6984B67-EBF7-42B4-9318-D5230224095C}" type="TxLink">
                <a:rPr lang="en-US" sz="1400" b="1" i="0" u="none" strike="noStrike">
                  <a:solidFill>
                    <a:srgbClr val="C00000"/>
                  </a:solidFill>
                  <a:latin typeface="Arial" panose="020B0604020202020204" pitchFamily="34" charset="0"/>
                  <a:ea typeface="+mn-ea"/>
                  <a:cs typeface="Arial" panose="020B0604020202020204" pitchFamily="34" charset="0"/>
                </a:rPr>
                <a:pPr marL="0" indent="0" algn="ctr"/>
                <a:t>384</a:t>
              </a:fld>
              <a:endParaRPr lang="en-US" sz="1400" b="1" i="0" u="none" strike="noStrike">
                <a:solidFill>
                  <a:srgbClr val="C00000"/>
                </a:solidFill>
                <a:latin typeface="Arial" panose="020B0604020202020204" pitchFamily="34" charset="0"/>
                <a:ea typeface="+mn-ea"/>
                <a:cs typeface="Arial" panose="020B0604020202020204" pitchFamily="34" charset="0"/>
              </a:endParaRPr>
            </a:p>
          </xdr:txBody>
        </xdr:sp>
        <xdr:sp macro="" textlink="">
          <xdr:nvSpPr>
            <xdr:cNvPr id="4" name="Rectangle 3">
              <a:extLst>
                <a:ext uri="{FF2B5EF4-FFF2-40B4-BE49-F238E27FC236}">
                  <a16:creationId xmlns:a16="http://schemas.microsoft.com/office/drawing/2014/main" id="{8F48305E-A7AA-4DFD-9BD5-4D14534FE47F}"/>
                </a:ext>
              </a:extLst>
            </xdr:cNvPr>
            <xdr:cNvSpPr/>
          </xdr:nvSpPr>
          <xdr:spPr>
            <a:xfrm>
              <a:off x="0" y="571500"/>
              <a:ext cx="1293376" cy="29189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TỔNG</a:t>
              </a:r>
              <a:r>
                <a:rPr lang="en-US" sz="700" b="1" i="0" u="none" strike="noStrike" baseline="0">
                  <a:solidFill>
                    <a:srgbClr val="000000"/>
                  </a:solidFill>
                  <a:latin typeface="Arial" panose="020B0604020202020204" pitchFamily="34" charset="0"/>
                  <a:cs typeface="Arial" panose="020B0604020202020204" pitchFamily="34" charset="0"/>
                </a:rPr>
                <a:t> SỐ NHÂN VIÊN</a:t>
              </a:r>
            </a:p>
          </xdr:txBody>
        </xdr:sp>
      </xdr:grpSp>
      <xdr:grpSp>
        <xdr:nvGrpSpPr>
          <xdr:cNvPr id="6" name="Group 5">
            <a:extLst>
              <a:ext uri="{FF2B5EF4-FFF2-40B4-BE49-F238E27FC236}">
                <a16:creationId xmlns:a16="http://schemas.microsoft.com/office/drawing/2014/main" id="{1DD37184-8B15-FB6D-5311-B870B74EFC77}"/>
              </a:ext>
            </a:extLst>
          </xdr:cNvPr>
          <xdr:cNvGrpSpPr/>
        </xdr:nvGrpSpPr>
        <xdr:grpSpPr>
          <a:xfrm>
            <a:off x="0" y="1610519"/>
            <a:ext cx="1280676" cy="578538"/>
            <a:chOff x="0" y="571500"/>
            <a:chExt cx="1293376" cy="578538"/>
          </a:xfrm>
          <a:scene3d>
            <a:camera prst="orthographicFront">
              <a:rot lat="0" lon="0" rev="0"/>
            </a:camera>
            <a:lightRig rig="soft" dir="t">
              <a:rot lat="0" lon="0" rev="0"/>
            </a:lightRig>
          </a:scene3d>
        </xdr:grpSpPr>
        <xdr:sp macro="" textlink="'Phân tích'!C4">
          <xdr:nvSpPr>
            <xdr:cNvPr id="7" name="Rectangle: Rounded Corners 6">
              <a:extLst>
                <a:ext uri="{FF2B5EF4-FFF2-40B4-BE49-F238E27FC236}">
                  <a16:creationId xmlns:a16="http://schemas.microsoft.com/office/drawing/2014/main" id="{AA972E28-F76E-B27B-EE47-A419369C8ED8}"/>
                </a:ext>
              </a:extLst>
            </xdr:cNvPr>
            <xdr:cNvSpPr/>
          </xdr:nvSpPr>
          <xdr:spPr>
            <a:xfrm>
              <a:off x="0" y="860178"/>
              <a:ext cx="1293376" cy="289860"/>
            </a:xfrm>
            <a:prstGeom prst="roundRect">
              <a:avLst>
                <a:gd name="adj" fmla="val 5836"/>
              </a:avLst>
            </a:prstGeom>
            <a:solidFill>
              <a:schemeClr val="bg1"/>
            </a:solidFill>
            <a:ln w="3175">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C9DB30D3-BA9F-4289-9B1C-9E008820B4A9}" type="TxLink">
                <a:rPr lang="en-US" sz="1400" b="1" i="0" u="none" strike="noStrike">
                  <a:solidFill>
                    <a:srgbClr val="C00000"/>
                  </a:solidFill>
                  <a:latin typeface="Arial" panose="020B0604020202020204" pitchFamily="34" charset="0"/>
                  <a:ea typeface="+mn-ea"/>
                  <a:cs typeface="Arial" panose="020B0604020202020204" pitchFamily="34" charset="0"/>
                </a:rPr>
                <a:pPr marL="0" indent="0" algn="ctr"/>
                <a:t>72</a:t>
              </a:fld>
              <a:endParaRPr lang="en-US" sz="1400" b="1" i="0" u="none" strike="noStrike">
                <a:solidFill>
                  <a:srgbClr val="C00000"/>
                </a:solidFill>
                <a:latin typeface="Arial" panose="020B0604020202020204" pitchFamily="34" charset="0"/>
                <a:ea typeface="+mn-ea"/>
                <a:cs typeface="Arial" panose="020B0604020202020204" pitchFamily="34" charset="0"/>
              </a:endParaRPr>
            </a:p>
          </xdr:txBody>
        </xdr:sp>
        <xdr:sp macro="" textlink="">
          <xdr:nvSpPr>
            <xdr:cNvPr id="8" name="Rectangle 7">
              <a:extLst>
                <a:ext uri="{FF2B5EF4-FFF2-40B4-BE49-F238E27FC236}">
                  <a16:creationId xmlns:a16="http://schemas.microsoft.com/office/drawing/2014/main" id="{1C8188D9-5E1B-6446-7763-5FA5F99510C7}"/>
                </a:ext>
              </a:extLst>
            </xdr:cNvPr>
            <xdr:cNvSpPr/>
          </xdr:nvSpPr>
          <xdr:spPr>
            <a:xfrm>
              <a:off x="0" y="571500"/>
              <a:ext cx="1293376" cy="29189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SỐ</a:t>
              </a:r>
              <a:r>
                <a:rPr lang="en-US" sz="700" b="1" i="0" u="none" strike="noStrike" baseline="0">
                  <a:solidFill>
                    <a:srgbClr val="000000"/>
                  </a:solidFill>
                  <a:latin typeface="Arial" panose="020B0604020202020204" pitchFamily="34" charset="0"/>
                  <a:cs typeface="Arial" panose="020B0604020202020204" pitchFamily="34" charset="0"/>
                </a:rPr>
                <a:t> TUYỂN MỚI</a:t>
              </a:r>
            </a:p>
          </xdr:txBody>
        </xdr:sp>
      </xdr:grpSp>
      <xdr:grpSp>
        <xdr:nvGrpSpPr>
          <xdr:cNvPr id="9" name="Group 8">
            <a:extLst>
              <a:ext uri="{FF2B5EF4-FFF2-40B4-BE49-F238E27FC236}">
                <a16:creationId xmlns:a16="http://schemas.microsoft.com/office/drawing/2014/main" id="{81DCDA8C-20F0-E677-BE7F-882768986010}"/>
              </a:ext>
            </a:extLst>
          </xdr:cNvPr>
          <xdr:cNvGrpSpPr/>
        </xdr:nvGrpSpPr>
        <xdr:grpSpPr>
          <a:xfrm>
            <a:off x="0" y="2763838"/>
            <a:ext cx="1280676" cy="578538"/>
            <a:chOff x="0" y="571500"/>
            <a:chExt cx="1293376" cy="578538"/>
          </a:xfrm>
          <a:scene3d>
            <a:camera prst="orthographicFront">
              <a:rot lat="0" lon="0" rev="0"/>
            </a:camera>
            <a:lightRig rig="soft" dir="t">
              <a:rot lat="0" lon="0" rev="0"/>
            </a:lightRig>
          </a:scene3d>
        </xdr:grpSpPr>
        <xdr:sp macro="" textlink="'Phân tích'!$E$4">
          <xdr:nvSpPr>
            <xdr:cNvPr id="10" name="Rectangle: Rounded Corners 9">
              <a:extLst>
                <a:ext uri="{FF2B5EF4-FFF2-40B4-BE49-F238E27FC236}">
                  <a16:creationId xmlns:a16="http://schemas.microsoft.com/office/drawing/2014/main" id="{AB148411-9ECB-7CE6-5F6F-E9D706B22145}"/>
                </a:ext>
              </a:extLst>
            </xdr:cNvPr>
            <xdr:cNvSpPr/>
          </xdr:nvSpPr>
          <xdr:spPr>
            <a:xfrm>
              <a:off x="0" y="860178"/>
              <a:ext cx="1293376" cy="289860"/>
            </a:xfrm>
            <a:prstGeom prst="roundRect">
              <a:avLst>
                <a:gd name="adj" fmla="val 5836"/>
              </a:avLst>
            </a:prstGeom>
            <a:solidFill>
              <a:schemeClr val="bg1"/>
            </a:solidFill>
            <a:ln w="3175">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F3B670B4-842F-4AF2-A1E3-E17B48B046AE}" type="TxLink">
                <a:rPr lang="en-US" sz="1400" b="1" i="0" u="none" strike="noStrike">
                  <a:solidFill>
                    <a:srgbClr val="C00000"/>
                  </a:solidFill>
                  <a:latin typeface="Arial" panose="020B0604020202020204" pitchFamily="34" charset="0"/>
                  <a:ea typeface="+mn-ea"/>
                  <a:cs typeface="Arial" panose="020B0604020202020204" pitchFamily="34" charset="0"/>
                </a:rPr>
                <a:pPr marL="0" indent="0" algn="ctr"/>
                <a:t>97</a:t>
              </a:fld>
              <a:endParaRPr lang="en-US" sz="1400" b="1" i="0" u="none" strike="noStrike">
                <a:solidFill>
                  <a:srgbClr val="C00000"/>
                </a:solidFill>
                <a:latin typeface="Arial" panose="020B0604020202020204" pitchFamily="34" charset="0"/>
                <a:ea typeface="+mn-ea"/>
                <a:cs typeface="Arial" panose="020B0604020202020204" pitchFamily="34" charset="0"/>
              </a:endParaRPr>
            </a:p>
          </xdr:txBody>
        </xdr:sp>
        <xdr:sp macro="" textlink="">
          <xdr:nvSpPr>
            <xdr:cNvPr id="11" name="Rectangle 10">
              <a:extLst>
                <a:ext uri="{FF2B5EF4-FFF2-40B4-BE49-F238E27FC236}">
                  <a16:creationId xmlns:a16="http://schemas.microsoft.com/office/drawing/2014/main" id="{14B290F7-4ABB-F2A4-AE44-3B5060B92DE4}"/>
                </a:ext>
              </a:extLst>
            </xdr:cNvPr>
            <xdr:cNvSpPr/>
          </xdr:nvSpPr>
          <xdr:spPr>
            <a:xfrm>
              <a:off x="0" y="571500"/>
              <a:ext cx="1293376" cy="29189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SỐ</a:t>
              </a:r>
              <a:r>
                <a:rPr lang="en-US" sz="700" b="1" i="0" u="none" strike="noStrike" baseline="0">
                  <a:solidFill>
                    <a:srgbClr val="000000"/>
                  </a:solidFill>
                  <a:latin typeface="Arial" panose="020B0604020202020204" pitchFamily="34" charset="0"/>
                  <a:cs typeface="Arial" panose="020B0604020202020204" pitchFamily="34" charset="0"/>
                </a:rPr>
                <a:t> NGHỈ VIỆC</a:t>
              </a:r>
            </a:p>
          </xdr:txBody>
        </xdr:sp>
      </xdr:grpSp>
      <xdr:grpSp>
        <xdr:nvGrpSpPr>
          <xdr:cNvPr id="12" name="Group 11">
            <a:extLst>
              <a:ext uri="{FF2B5EF4-FFF2-40B4-BE49-F238E27FC236}">
                <a16:creationId xmlns:a16="http://schemas.microsoft.com/office/drawing/2014/main" id="{FB9B453E-0E03-6438-4B73-03C7A6C532C0}"/>
              </a:ext>
            </a:extLst>
          </xdr:cNvPr>
          <xdr:cNvGrpSpPr/>
        </xdr:nvGrpSpPr>
        <xdr:grpSpPr>
          <a:xfrm>
            <a:off x="0" y="3917157"/>
            <a:ext cx="1280676" cy="578538"/>
            <a:chOff x="0" y="571500"/>
            <a:chExt cx="1293376" cy="578538"/>
          </a:xfrm>
          <a:scene3d>
            <a:camera prst="orthographicFront">
              <a:rot lat="0" lon="0" rev="0"/>
            </a:camera>
            <a:lightRig rig="soft" dir="t">
              <a:rot lat="0" lon="0" rev="0"/>
            </a:lightRig>
          </a:scene3d>
        </xdr:grpSpPr>
        <xdr:sp macro="" textlink="'Phân tích'!$I$4">
          <xdr:nvSpPr>
            <xdr:cNvPr id="13" name="Rectangle: Rounded Corners 12">
              <a:extLst>
                <a:ext uri="{FF2B5EF4-FFF2-40B4-BE49-F238E27FC236}">
                  <a16:creationId xmlns:a16="http://schemas.microsoft.com/office/drawing/2014/main" id="{4CB0C11B-61F9-E9F0-FFD7-E9EC5787466B}"/>
                </a:ext>
              </a:extLst>
            </xdr:cNvPr>
            <xdr:cNvSpPr/>
          </xdr:nvSpPr>
          <xdr:spPr>
            <a:xfrm>
              <a:off x="0" y="860178"/>
              <a:ext cx="1293376" cy="289860"/>
            </a:xfrm>
            <a:prstGeom prst="roundRect">
              <a:avLst>
                <a:gd name="adj" fmla="val 5836"/>
              </a:avLst>
            </a:prstGeom>
            <a:solidFill>
              <a:schemeClr val="bg1"/>
            </a:solidFill>
            <a:ln w="3175">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1661E4FA-1506-468B-AAF8-6EDDC373A121}" type="TxLink">
                <a:rPr lang="en-US" sz="1400" b="1" i="0" u="none" strike="noStrike">
                  <a:solidFill>
                    <a:srgbClr val="C00000"/>
                  </a:solidFill>
                  <a:latin typeface="Arial" panose="020B0604020202020204" pitchFamily="34" charset="0"/>
                  <a:ea typeface="+mn-ea"/>
                  <a:cs typeface="Arial" panose="020B0604020202020204" pitchFamily="34" charset="0"/>
                </a:rPr>
                <a:pPr marL="0" indent="0" algn="ctr"/>
                <a:t>25.26%</a:t>
              </a:fld>
              <a:endParaRPr lang="en-US" sz="1400" b="1" i="0" u="none" strike="noStrike">
                <a:solidFill>
                  <a:srgbClr val="C00000"/>
                </a:solidFill>
                <a:latin typeface="Arial" panose="020B0604020202020204" pitchFamily="34" charset="0"/>
                <a:ea typeface="+mn-ea"/>
                <a:cs typeface="Arial" panose="020B0604020202020204" pitchFamily="34" charset="0"/>
              </a:endParaRPr>
            </a:p>
          </xdr:txBody>
        </xdr:sp>
        <xdr:sp macro="" textlink="">
          <xdr:nvSpPr>
            <xdr:cNvPr id="14" name="Rectangle 13">
              <a:extLst>
                <a:ext uri="{FF2B5EF4-FFF2-40B4-BE49-F238E27FC236}">
                  <a16:creationId xmlns:a16="http://schemas.microsoft.com/office/drawing/2014/main" id="{583C7A3D-892E-8A41-5950-1CF4833BE777}"/>
                </a:ext>
              </a:extLst>
            </xdr:cNvPr>
            <xdr:cNvSpPr/>
          </xdr:nvSpPr>
          <xdr:spPr>
            <a:xfrm>
              <a:off x="0" y="571500"/>
              <a:ext cx="1293376" cy="29189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TỶ</a:t>
              </a:r>
              <a:r>
                <a:rPr lang="en-US" sz="700" b="1" i="0" u="none" strike="noStrike" baseline="0">
                  <a:solidFill>
                    <a:srgbClr val="000000"/>
                  </a:solidFill>
                  <a:latin typeface="Arial" panose="020B0604020202020204" pitchFamily="34" charset="0"/>
                  <a:cs typeface="Arial" panose="020B0604020202020204" pitchFamily="34" charset="0"/>
                </a:rPr>
                <a:t> LỆ NGHỈ VIỆC</a:t>
              </a:r>
            </a:p>
          </xdr:txBody>
        </xdr:sp>
      </xdr:grpSp>
      <xdr:grpSp>
        <xdr:nvGrpSpPr>
          <xdr:cNvPr id="15" name="Group 14">
            <a:extLst>
              <a:ext uri="{FF2B5EF4-FFF2-40B4-BE49-F238E27FC236}">
                <a16:creationId xmlns:a16="http://schemas.microsoft.com/office/drawing/2014/main" id="{23910240-B4FD-94E6-85F1-85352468B4AB}"/>
              </a:ext>
            </a:extLst>
          </xdr:cNvPr>
          <xdr:cNvGrpSpPr/>
        </xdr:nvGrpSpPr>
        <xdr:grpSpPr>
          <a:xfrm>
            <a:off x="0" y="5070475"/>
            <a:ext cx="1280676" cy="578538"/>
            <a:chOff x="0" y="571500"/>
            <a:chExt cx="1293376" cy="578538"/>
          </a:xfrm>
          <a:scene3d>
            <a:camera prst="orthographicFront">
              <a:rot lat="0" lon="0" rev="0"/>
            </a:camera>
            <a:lightRig rig="soft" dir="t">
              <a:rot lat="0" lon="0" rev="0"/>
            </a:lightRig>
          </a:scene3d>
        </xdr:grpSpPr>
        <xdr:sp macro="" textlink="'Phân tích'!$G$4">
          <xdr:nvSpPr>
            <xdr:cNvPr id="16" name="Rectangle: Rounded Corners 15">
              <a:extLst>
                <a:ext uri="{FF2B5EF4-FFF2-40B4-BE49-F238E27FC236}">
                  <a16:creationId xmlns:a16="http://schemas.microsoft.com/office/drawing/2014/main" id="{6EB779E7-9CC3-D0F2-D7C7-45021AC23C71}"/>
                </a:ext>
              </a:extLst>
            </xdr:cNvPr>
            <xdr:cNvSpPr/>
          </xdr:nvSpPr>
          <xdr:spPr>
            <a:xfrm>
              <a:off x="0" y="860178"/>
              <a:ext cx="1293376" cy="289860"/>
            </a:xfrm>
            <a:prstGeom prst="roundRect">
              <a:avLst>
                <a:gd name="adj" fmla="val 5836"/>
              </a:avLst>
            </a:prstGeom>
            <a:solidFill>
              <a:schemeClr val="bg1"/>
            </a:solidFill>
            <a:ln w="3175">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8FAF8D6F-1AF5-4617-A5BE-B6956DE2B64A}" type="TxLink">
                <a:rPr lang="en-US" sz="1400" b="1" i="0" u="none" strike="noStrike">
                  <a:solidFill>
                    <a:srgbClr val="C00000"/>
                  </a:solidFill>
                  <a:latin typeface="Arial" panose="020B0604020202020204" pitchFamily="34" charset="0"/>
                  <a:ea typeface="+mn-ea"/>
                  <a:cs typeface="Arial" panose="020B0604020202020204" pitchFamily="34" charset="0"/>
                </a:rPr>
                <a:pPr marL="0" indent="0" algn="ctr"/>
                <a:t>32</a:t>
              </a:fld>
              <a:endParaRPr lang="en-US" sz="1400" b="1" i="0" u="none" strike="noStrike">
                <a:solidFill>
                  <a:srgbClr val="C00000"/>
                </a:solidFill>
                <a:latin typeface="Arial" panose="020B0604020202020204" pitchFamily="34" charset="0"/>
                <a:ea typeface="+mn-ea"/>
                <a:cs typeface="Arial" panose="020B0604020202020204" pitchFamily="34" charset="0"/>
              </a:endParaRPr>
            </a:p>
          </xdr:txBody>
        </xdr:sp>
        <xdr:sp macro="" textlink="">
          <xdr:nvSpPr>
            <xdr:cNvPr id="17" name="Rectangle 16">
              <a:extLst>
                <a:ext uri="{FF2B5EF4-FFF2-40B4-BE49-F238E27FC236}">
                  <a16:creationId xmlns:a16="http://schemas.microsoft.com/office/drawing/2014/main" id="{1FC01448-A64F-97CC-7BBC-B9A1FF244B51}"/>
                </a:ext>
              </a:extLst>
            </xdr:cNvPr>
            <xdr:cNvSpPr/>
          </xdr:nvSpPr>
          <xdr:spPr>
            <a:xfrm>
              <a:off x="0" y="571500"/>
              <a:ext cx="1293376" cy="29189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TUỔI</a:t>
              </a:r>
              <a:r>
                <a:rPr lang="en-US" sz="700" b="1" i="0" u="none" strike="noStrike" baseline="0">
                  <a:solidFill>
                    <a:srgbClr val="000000"/>
                  </a:solidFill>
                  <a:latin typeface="Arial" panose="020B0604020202020204" pitchFamily="34" charset="0"/>
                  <a:cs typeface="Arial" panose="020B0604020202020204" pitchFamily="34" charset="0"/>
                </a:rPr>
                <a:t> TRUNG BÌNH</a:t>
              </a:r>
            </a:p>
          </xdr:txBody>
        </xdr:sp>
      </xdr:grpSp>
      <xdr:graphicFrame macro="">
        <xdr:nvGraphicFramePr>
          <xdr:cNvPr id="18" name="Chart 17">
            <a:extLst>
              <a:ext uri="{FF2B5EF4-FFF2-40B4-BE49-F238E27FC236}">
                <a16:creationId xmlns:a16="http://schemas.microsoft.com/office/drawing/2014/main" id="{243AE65D-D82F-4D8A-B30B-9A6A3DABAD2F}"/>
              </a:ext>
            </a:extLst>
          </xdr:cNvPr>
          <xdr:cNvGraphicFramePr>
            <a:graphicFrameLocks/>
          </xdr:cNvGraphicFramePr>
        </xdr:nvGraphicFramePr>
        <xdr:xfrm>
          <a:off x="1368425" y="438150"/>
          <a:ext cx="2873375" cy="1676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B9670F28-B642-4ECC-9201-6238285C1601}"/>
              </a:ext>
            </a:extLst>
          </xdr:cNvPr>
          <xdr:cNvGraphicFramePr>
            <a:graphicFrameLocks/>
          </xdr:cNvGraphicFramePr>
        </xdr:nvGraphicFramePr>
        <xdr:xfrm>
          <a:off x="4308475" y="438150"/>
          <a:ext cx="7131050" cy="1676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A988BE8E-59CC-4F8D-9066-C4FECDB8A855}"/>
              </a:ext>
            </a:extLst>
          </xdr:cNvPr>
          <xdr:cNvGraphicFramePr>
            <a:graphicFrameLocks/>
          </xdr:cNvGraphicFramePr>
        </xdr:nvGraphicFramePr>
        <xdr:xfrm>
          <a:off x="1368425" y="2181226"/>
          <a:ext cx="4641850" cy="168592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2" name="Chart 21">
            <a:extLst>
              <a:ext uri="{FF2B5EF4-FFF2-40B4-BE49-F238E27FC236}">
                <a16:creationId xmlns:a16="http://schemas.microsoft.com/office/drawing/2014/main" id="{342F009E-54C4-44CF-8BBA-FA972E22E17E}"/>
              </a:ext>
            </a:extLst>
          </xdr:cNvPr>
          <xdr:cNvGraphicFramePr>
            <a:graphicFrameLocks/>
          </xdr:cNvGraphicFramePr>
        </xdr:nvGraphicFramePr>
        <xdr:xfrm>
          <a:off x="4318000" y="3933825"/>
          <a:ext cx="2295525" cy="1771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3" name="Chart 22">
            <a:extLst>
              <a:ext uri="{FF2B5EF4-FFF2-40B4-BE49-F238E27FC236}">
                <a16:creationId xmlns:a16="http://schemas.microsoft.com/office/drawing/2014/main" id="{6638BD3E-245C-465C-896A-76FA8A3597D7}"/>
              </a:ext>
            </a:extLst>
          </xdr:cNvPr>
          <xdr:cNvGraphicFramePr>
            <a:graphicFrameLocks/>
          </xdr:cNvGraphicFramePr>
        </xdr:nvGraphicFramePr>
        <xdr:xfrm>
          <a:off x="1377949" y="3933825"/>
          <a:ext cx="2882901" cy="177165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4" name="Chart 23">
            <a:extLst>
              <a:ext uri="{FF2B5EF4-FFF2-40B4-BE49-F238E27FC236}">
                <a16:creationId xmlns:a16="http://schemas.microsoft.com/office/drawing/2014/main" id="{F226C535-AEFA-40E1-B016-A126C3B163AB}"/>
              </a:ext>
            </a:extLst>
          </xdr:cNvPr>
          <xdr:cNvGraphicFramePr>
            <a:graphicFrameLocks/>
          </xdr:cNvGraphicFramePr>
        </xdr:nvGraphicFramePr>
        <xdr:xfrm>
          <a:off x="6683375" y="3933825"/>
          <a:ext cx="2305050" cy="17716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5" name="Chart 24">
            <a:extLst>
              <a:ext uri="{FF2B5EF4-FFF2-40B4-BE49-F238E27FC236}">
                <a16:creationId xmlns:a16="http://schemas.microsoft.com/office/drawing/2014/main" id="{801AB8E5-FFE6-464C-B18B-C8FB1633DFC5}"/>
              </a:ext>
            </a:extLst>
          </xdr:cNvPr>
          <xdr:cNvGraphicFramePr>
            <a:graphicFrameLocks/>
          </xdr:cNvGraphicFramePr>
        </xdr:nvGraphicFramePr>
        <xdr:xfrm>
          <a:off x="9058275" y="3933825"/>
          <a:ext cx="2381250" cy="17716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6" name="Chart 25">
            <a:extLst>
              <a:ext uri="{FF2B5EF4-FFF2-40B4-BE49-F238E27FC236}">
                <a16:creationId xmlns:a16="http://schemas.microsoft.com/office/drawing/2014/main" id="{76707FBB-C63F-4A19-BC02-0EE3596BF9ED}"/>
              </a:ext>
            </a:extLst>
          </xdr:cNvPr>
          <xdr:cNvGraphicFramePr>
            <a:graphicFrameLocks/>
          </xdr:cNvGraphicFramePr>
        </xdr:nvGraphicFramePr>
        <xdr:xfrm>
          <a:off x="6051550" y="2181226"/>
          <a:ext cx="5387975" cy="167640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graphicFrame macro="">
            <xdr:nvGraphicFramePr>
              <xdr:cNvPr id="27" name="Month Number 1">
                <a:extLst>
                  <a:ext uri="{FF2B5EF4-FFF2-40B4-BE49-F238E27FC236}">
                    <a16:creationId xmlns:a16="http://schemas.microsoft.com/office/drawing/2014/main" id="{8EB689E0-B802-4026-9CA6-6E062D384E89}"/>
                  </a:ext>
                </a:extLst>
              </xdr:cNvPr>
              <xdr:cNvGraphicFramePr/>
            </xdr:nvGraphicFramePr>
            <xdr:xfrm>
              <a:off x="11480799" y="2809875"/>
              <a:ext cx="1952625" cy="1104900"/>
            </xdr:xfrm>
            <a:graphic>
              <a:graphicData uri="http://schemas.microsoft.com/office/drawing/2010/slicer">
                <sle:slicer xmlns:sle="http://schemas.microsoft.com/office/drawing/2010/slicer" name="Month Number 1"/>
              </a:graphicData>
            </a:graphic>
          </xdr:graphicFrame>
        </mc:Choice>
        <mc:Fallback xmlns="">
          <xdr:sp macro="" textlink="">
            <xdr:nvSpPr>
              <xdr:cNvPr id="0" name=""/>
              <xdr:cNvSpPr>
                <a:spLocks noTextEdit="1"/>
              </xdr:cNvSpPr>
            </xdr:nvSpPr>
            <xdr:spPr>
              <a:xfrm>
                <a:off x="12798749" y="3057775"/>
                <a:ext cx="2176779" cy="1202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254094FB-01A9-4175-A87B-10EEDBB15447}"/>
                  </a:ext>
                </a:extLst>
              </xdr:cNvPr>
              <xdr:cNvGraphicFramePr/>
            </xdr:nvGraphicFramePr>
            <xdr:xfrm>
              <a:off x="11471275" y="1266825"/>
              <a:ext cx="1952625" cy="150495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788132" y="1378590"/>
                <a:ext cx="2176779" cy="163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Khối 1">
                <a:extLst>
                  <a:ext uri="{FF2B5EF4-FFF2-40B4-BE49-F238E27FC236}">
                    <a16:creationId xmlns:a16="http://schemas.microsoft.com/office/drawing/2014/main" id="{ECB2E45E-5499-4B7D-99EF-B396839FF40B}"/>
                  </a:ext>
                </a:extLst>
              </xdr:cNvPr>
              <xdr:cNvGraphicFramePr/>
            </xdr:nvGraphicFramePr>
            <xdr:xfrm>
              <a:off x="11480799" y="3933825"/>
              <a:ext cx="1971675" cy="1790700"/>
            </xdr:xfrm>
            <a:graphic>
              <a:graphicData uri="http://schemas.microsoft.com/office/drawing/2010/slicer">
                <sle:slicer xmlns:sle="http://schemas.microsoft.com/office/drawing/2010/slicer" name="Khối 1"/>
              </a:graphicData>
            </a:graphic>
          </xdr:graphicFrame>
        </mc:Choice>
        <mc:Fallback xmlns="">
          <xdr:sp macro="" textlink="">
            <xdr:nvSpPr>
              <xdr:cNvPr id="0" name=""/>
              <xdr:cNvSpPr>
                <a:spLocks noTextEdit="1"/>
              </xdr:cNvSpPr>
            </xdr:nvSpPr>
            <xdr:spPr>
              <a:xfrm>
                <a:off x="12798749" y="4280885"/>
                <a:ext cx="2198015" cy="1948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Vùng 1">
                <a:extLst>
                  <a:ext uri="{FF2B5EF4-FFF2-40B4-BE49-F238E27FC236}">
                    <a16:creationId xmlns:a16="http://schemas.microsoft.com/office/drawing/2014/main" id="{B5E777F9-7F9C-4F0F-959C-B77C537C0080}"/>
                  </a:ext>
                </a:extLst>
              </xdr:cNvPr>
              <xdr:cNvGraphicFramePr/>
            </xdr:nvGraphicFramePr>
            <xdr:xfrm>
              <a:off x="11461750" y="409575"/>
              <a:ext cx="1962150" cy="819149"/>
            </xdr:xfrm>
            <a:graphic>
              <a:graphicData uri="http://schemas.microsoft.com/office/drawing/2010/slicer">
                <sle:slicer xmlns:sle="http://schemas.microsoft.com/office/drawing/2010/slicer" name="Vùng 1"/>
              </a:graphicData>
            </a:graphic>
          </xdr:graphicFrame>
        </mc:Choice>
        <mc:Fallback xmlns="">
          <xdr:sp macro="" textlink="">
            <xdr:nvSpPr>
              <xdr:cNvPr id="0" name=""/>
              <xdr:cNvSpPr>
                <a:spLocks noTextEdit="1"/>
              </xdr:cNvSpPr>
            </xdr:nvSpPr>
            <xdr:spPr>
              <a:xfrm>
                <a:off x="12777513" y="445710"/>
                <a:ext cx="2187397" cy="89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person displayName="Tiệp Trần" id="{1F740E6B-C986-46C1-A7B6-F74596583A5A}" userId="S::tieptran@6081wg.onmicrosoft.com::431d7847-5502-4e0b-b567-aeed35d333ed"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82870372" backgroundQuery="1" createdVersion="8" refreshedVersion="8" minRefreshableVersion="3" recordCount="0" supportSubquery="1" supportAdvancedDrill="1" xr:uid="{6395C187-8C33-41F4-93CC-53DD618F5C79}">
  <cacheSource type="external" connectionId="3"/>
  <cacheFields count="5">
    <cacheField name="[Measures].[Số NV]" caption="Số NV" numFmtId="0" hierarchy="28" level="32767"/>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4"/>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2"/>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8472222" backgroundQuery="1" createdVersion="8" refreshedVersion="8" minRefreshableVersion="3" recordCount="0" supportSubquery="1" supportAdvancedDrill="1" xr:uid="{C7A358B6-F2DD-4C63-A700-9B4A3FA6E629}">
  <cacheSource type="external" connectionId="3"/>
  <cacheFields count="6">
    <cacheField name="[Measures].[Số NV]" caption="Số NV" numFmtId="0" hierarchy="28" level="32767"/>
    <cacheField name="[Data].[Lý do thôi việc].[Lý do thôi việc]" caption="Lý do thôi việc" numFmtId="0" hierarchy="13" level="1">
      <sharedItems count="5">
        <s v="Cắt giảm nhân sự"/>
        <s v="Định hướng khác"/>
        <s v="Không gia hạn hợp đồng"/>
        <s v="Không phù hợp với cách làm việc của quản lý, tổ chức"/>
        <s v="Lý do khác"/>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5"/>
      </fieldsUsage>
    </cacheHierarchy>
    <cacheHierarchy uniqueName="[Data].[Khối]" caption="Khối" attribute="1" defaultMemberUniqueName="[Data].[Khối].[All]" allUniqueName="[Data].[Khối].[All]" dimensionUniqueName="[Data]" displayFolder="" count="2" memberValueDatatype="130" unbalanced="0">
      <fieldsUsage count="2">
        <fieldUsage x="-1"/>
        <fieldUsage x="4"/>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2" memberValueDatatype="130" unbalanced="0">
      <fieldsUsage count="2">
        <fieldUsage x="-1"/>
        <fieldUsage x="1"/>
      </fieldsUsage>
    </cacheHierarchy>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3"/>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86574075" backgroundQuery="1" createdVersion="8" refreshedVersion="8" minRefreshableVersion="3" recordCount="0" supportSubquery="1" supportAdvancedDrill="1" xr:uid="{AF9942E6-31CA-4D60-A875-7278A470846B}">
  <cacheSource type="external" connectionId="3"/>
  <cacheFields count="6">
    <cacheField name="[Measures].[Số NV]" caption="Số NV" numFmtId="0" hierarchy="28" level="32767"/>
    <cacheField name="[Data].[Nhóm tuổi].[Nhóm tuổi]" caption="Nhóm tuổi" numFmtId="0" hierarchy="15" level="1">
      <sharedItems count="4">
        <s v="25-34"/>
        <s v="35-44"/>
        <s v="45-55"/>
        <s v="Dưới 25"/>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5"/>
      </fieldsUsage>
    </cacheHierarchy>
    <cacheHierarchy uniqueName="[Data].[Khối]" caption="Khối" attribute="1" defaultMemberUniqueName="[Data].[Khối].[All]" allUniqueName="[Data].[Khối].[All]" dimensionUniqueName="[Data]" displayFolder="" count="2" memberValueDatatype="130" unbalanced="0">
      <fieldsUsage count="2">
        <fieldUsage x="-1"/>
        <fieldUsage x="4"/>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2" memberValueDatatype="130" unbalanced="0">
      <fieldsUsage count="2">
        <fieldUsage x="-1"/>
        <fieldUsage x="1"/>
      </fieldsUsage>
    </cacheHierarchy>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3"/>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88657407" backgroundQuery="1" createdVersion="8" refreshedVersion="8" minRefreshableVersion="3" recordCount="0" supportSubquery="1" supportAdvancedDrill="1" xr:uid="{95F3A085-38E2-4EBA-B716-4C8FB3A927B2}">
  <cacheSource type="external" connectionId="3"/>
  <cacheFields count="7">
    <cacheField name="[Measures].[Số NV]" caption="Số NV" numFmtId="0" hierarchy="28" level="32767"/>
    <cacheField name="[Measures].[Số tuyển mới]" caption="Số tuyển mới" numFmtId="0" hierarchy="32" level="32767"/>
    <cacheField name="[Measures].[SL nghỉ việc]" caption="SL nghỉ việc" numFmtId="0" hierarchy="30" level="32767"/>
    <cacheField name="[Data].[Khối].[Khối]" caption="Khối" numFmtId="0" hierarchy="2" level="1">
      <sharedItems count="14">
        <s v="BGĐ"/>
        <s v="DVKH"/>
        <s v="HCNS"/>
        <s v="IT"/>
        <s v="Kinh doanh"/>
        <s v="KSNB"/>
        <s v="Logistics"/>
        <s v="Marketing"/>
        <s v="PM"/>
        <s v="PP"/>
        <s v="QA&amp;QC"/>
        <s v="Retail MKT"/>
        <s v="TCKT"/>
        <s v="Thái Lan (APAC)"/>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6"/>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4"/>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oneField="1">
      <fieldsUsage count="1">
        <fieldUsage x="2"/>
      </fieldsUsage>
    </cacheHierarchy>
    <cacheHierarchy uniqueName="[Measures].[Số nghỉ việc LY]" caption="Số nghỉ việc LY" measure="1" displayFolder="" measureGroup="Data" count="0"/>
    <cacheHierarchy uniqueName="[Measures].[Số tuyển mới]" caption="Số tuyển mới" measure="1" displayFolder="" measureGroup="Data" count="0" oneField="1">
      <fieldsUsage count="1">
        <fieldUsage x="1"/>
      </fieldsUsage>
    </cacheHierarchy>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00463" backgroundQuery="1" createdVersion="8" refreshedVersion="8" minRefreshableVersion="3" recordCount="0" supportSubquery="1" supportAdvancedDrill="1" xr:uid="{07EE7EE8-B420-46DE-9D6A-DF6A05A26505}">
  <cacheSource type="external" connectionId="3"/>
  <cacheFields count="5">
    <cacheField name="[Measures].[SL nghỉ việc]" caption="SL nghỉ việc" numFmtId="0" hierarchy="30" level="32767"/>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4"/>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2"/>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oneField="1">
      <fieldsUsage count="1">
        <fieldUsage x="0"/>
      </fieldsUsage>
    </cacheHierarchy>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1435186" backgroundQuery="1" createdVersion="8" refreshedVersion="8" minRefreshableVersion="3" recordCount="0" supportSubquery="1" supportAdvancedDrill="1" xr:uid="{0E1775F1-CF6E-4B11-AD1F-07A50B765E00}">
  <cacheSource type="external" connectionId="3"/>
  <cacheFields count="5">
    <cacheField name="[Measures].[Số tuyển mới]" caption="Số tuyển mới" numFmtId="0" hierarchy="32" level="32767"/>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4"/>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2"/>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oneField="1">
      <fieldsUsage count="1">
        <fieldUsage x="0"/>
      </fieldsUsage>
    </cacheHierarchy>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3402779" backgroundQuery="1" createdVersion="8" refreshedVersion="8" minRefreshableVersion="3" recordCount="0" supportSubquery="1" supportAdvancedDrill="1" xr:uid="{BEFBAAB7-DF85-4493-B8D0-E37C102B415D}">
  <cacheSource type="external" connectionId="3"/>
  <cacheFields count="6">
    <cacheField name="[Measures].[Số NV]" caption="Số NV" numFmtId="0" hierarchy="28" level="32767"/>
    <cacheField name="[Data].[Nhóm TNCT].[Nhóm TNCT]" caption="Nhóm TNCT" numFmtId="0" hierarchy="17" level="1">
      <sharedItems count="5">
        <s v="Dưới 6 tháng"/>
        <s v="Từ 1 năm - dưới 3 năm"/>
        <s v="Từ 3 năm - dưới 5 năm"/>
        <s v="Từ 5 năm - dưới 10 năm"/>
        <s v="Từ 6 tháng - dưới 1 năm"/>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5"/>
      </fieldsUsage>
    </cacheHierarchy>
    <cacheHierarchy uniqueName="[Data].[Khối]" caption="Khối" attribute="1" defaultMemberUniqueName="[Data].[Khối].[All]" allUniqueName="[Data].[Khối].[All]" dimensionUniqueName="[Data]" displayFolder="" count="2" memberValueDatatype="130" unbalanced="0">
      <fieldsUsage count="2">
        <fieldUsage x="-1"/>
        <fieldUsage x="4"/>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2" memberValueDatatype="130" unbalanced="0">
      <fieldsUsage count="2">
        <fieldUsage x="-1"/>
        <fieldUsage x="1"/>
      </fieldsUsage>
    </cacheHierarchy>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3"/>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560185" backgroundQuery="1" createdVersion="8" refreshedVersion="8" minRefreshableVersion="3" recordCount="0" supportSubquery="1" supportAdvancedDrill="1" xr:uid="{DBC76F17-D72E-499E-A189-51B37471C782}">
  <cacheSource type="external" connectionId="3"/>
  <cacheFields count="7">
    <cacheField name="[Measures].[Số NV]" caption="Số NV" numFmtId="0" hierarchy="28" level="32767"/>
    <cacheField name="[Measures].[Số tuyển mới]" caption="Số tuyển mới" numFmtId="0" hierarchy="32" level="32767"/>
    <cacheField name="[Measures].[SL nghỉ việc]" caption="SL nghỉ việc" numFmtId="0" hierarchy="30" level="32767"/>
    <cacheField name="[dDate].[Year].[Year]" caption="Year" numFmtId="0" hierarchy="20"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dDate].[Year].&amp;[2023]"/>
          </x15:cachedUniqueNames>
        </ext>
      </extLst>
    </cacheField>
    <cacheField name="[dDate].[Month Number].[Month Number]" caption="Month Number"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Date].[Month Number].&amp;[1]"/>
            <x15:cachedUniqueName index="1" name="[dDate].[Month Number].&amp;[2]"/>
            <x15:cachedUniqueName index="2" name="[dDate].[Month Number].&amp;[3]"/>
            <x15:cachedUniqueName index="3" name="[dDate].[Month Number].&amp;[4]"/>
            <x15:cachedUniqueName index="4" name="[dDate].[Month Number].&amp;[5]"/>
            <x15:cachedUniqueName index="5" name="[dDate].[Month Number].&amp;[6]"/>
            <x15:cachedUniqueName index="6" name="[dDate].[Month Number].&amp;[7]"/>
            <x15:cachedUniqueName index="7" name="[dDate].[Month Number].&amp;[8]"/>
            <x15:cachedUniqueName index="8" name="[dDate].[Month Number].&amp;[9]"/>
            <x15:cachedUniqueName index="9" name="[dDate].[Month Number].&amp;[10]"/>
            <x15:cachedUniqueName index="10" name="[dDate].[Month Number].&amp;[11]"/>
            <x15:cachedUniqueName index="11" name="[dDate].[Month Number].&amp;[12]"/>
          </x15:cachedUniqueNames>
        </ext>
      </extLst>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6"/>
      </fieldsUsage>
    </cacheHierarchy>
    <cacheHierarchy uniqueName="[Data].[Khối]" caption="Khối" attribute="1" defaultMemberUniqueName="[Data].[Khối].[All]" allUniqueName="[Data].[Khối].[All]" dimensionUniqueName="[Data]" displayFolder="" count="2" memberValueDatatype="130" unbalanced="0">
      <fieldsUsage count="2">
        <fieldUsage x="-1"/>
        <fieldUsage x="5"/>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oneField="1">
      <fieldsUsage count="1">
        <fieldUsage x="2"/>
      </fieldsUsage>
    </cacheHierarchy>
    <cacheHierarchy uniqueName="[Measures].[Số nghỉ việc LY]" caption="Số nghỉ việc LY" measure="1" displayFolder="" measureGroup="Data" count="0"/>
    <cacheHierarchy uniqueName="[Measures].[Số tuyển mới]" caption="Số tuyển mới" measure="1" displayFolder="" measureGroup="Data" count="0" oneField="1">
      <fieldsUsage count="1">
        <fieldUsage x="1"/>
      </fieldsUsage>
    </cacheHierarchy>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7337966" backgroundQuery="1" createdVersion="8" refreshedVersion="8" minRefreshableVersion="3" recordCount="0" supportSubquery="1" supportAdvancedDrill="1" xr:uid="{A2924D29-575B-4CF4-8640-F1850D096883}">
  <cacheSource type="external" connectionId="3"/>
  <cacheFields count="6">
    <cacheField name="[Measures].[Số NV]" caption="Số NV" numFmtId="0" hierarchy="28" level="32767"/>
    <cacheField name="[Data].[Trình độ học vấn].[Trình độ học vấn]" caption="Trình độ học vấn" numFmtId="0" hierarchy="7" level="1">
      <sharedItems count="5">
        <s v="Cao đẳng"/>
        <s v="Đại học"/>
        <s v="Thạc sỹ"/>
        <s v="THPT"/>
        <s v="Trung cấp"/>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5"/>
      </fieldsUsage>
    </cacheHierarchy>
    <cacheHierarchy uniqueName="[Data].[Khối]" caption="Khối" attribute="1" defaultMemberUniqueName="[Data].[Khối].[All]" allUniqueName="[Data].[Khối].[All]" dimensionUniqueName="[Data]" displayFolder="" count="2" memberValueDatatype="130" unbalanced="0">
      <fieldsUsage count="2">
        <fieldUsage x="-1"/>
        <fieldUsage x="4"/>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2" memberValueDatatype="130" unbalanced="0">
      <fieldsUsage count="2">
        <fieldUsage x="-1"/>
        <fieldUsage x="1"/>
      </fieldsUsage>
    </cacheHierarchy>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3"/>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98958337" backgroundQuery="1" createdVersion="8" refreshedVersion="8" minRefreshableVersion="3" recordCount="0" supportSubquery="1" supportAdvancedDrill="1" xr:uid="{D09167E6-9455-4E3A-84EA-A858425BA7E9}">
  <cacheSource type="external" connectionId="3"/>
  <cacheFields count="5">
    <cacheField name="[Measures].[Average of Số tuổi]" caption="Average of Số tuổi" numFmtId="0" hierarchy="42" level="32767"/>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4"/>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2"/>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100810184" backgroundQuery="1" createdVersion="8" refreshedVersion="8" minRefreshableVersion="3" recordCount="0" supportSubquery="1" supportAdvancedDrill="1" xr:uid="{62D0B7B4-CC69-4AF8-BC94-8B9443C29B1C}">
  <cacheSource type="external" connectionId="3"/>
  <cacheFields count="5">
    <cacheField name="[Measures].[Tỷ lệ NV]" caption="Tỷ lệ NV" numFmtId="0" hierarchy="34" level="32767"/>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4"/>
      </fieldsUsage>
    </cacheHierarchy>
    <cacheHierarchy uniqueName="[Data].[Khối]" caption="Khối" attribute="1" defaultMemberUniqueName="[Data].[Khối].[All]" allUniqueName="[Data].[Khối].[All]" dimensionUniqueName="[Data]" displayFolder="" count="2" memberValueDatatype="130" unbalanced="0">
      <fieldsUsage count="2">
        <fieldUsage x="-1"/>
        <fieldUsage x="3"/>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1"/>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2"/>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oneField="1">
      <fieldsUsage count="1">
        <fieldUsage x="0"/>
      </fieldsUsage>
    </cacheHierarchy>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104282409" backgroundQuery="1" createdVersion="8" refreshedVersion="8" minRefreshableVersion="3" recordCount="0" supportSubquery="1" supportAdvancedDrill="1" xr:uid="{A0D70A0F-B3D5-4484-AA20-597389640858}">
  <cacheSource type="external" connectionId="3"/>
  <cacheFields count="7">
    <cacheField name="[dDate].[Year].[Year]" caption="Year" numFmtId="0" hierarchy="20"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dDate].[Year].&amp;[2023]"/>
          </x15:cachedUniqueNames>
        </ext>
      </extLst>
    </cacheField>
    <cacheField name="[dDate].[Month Number].[Month Number]" caption="Month Number"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Date].[Month Number].&amp;[1]"/>
            <x15:cachedUniqueName index="1" name="[dDate].[Month Number].&amp;[2]"/>
            <x15:cachedUniqueName index="2" name="[dDate].[Month Number].&amp;[3]"/>
            <x15:cachedUniqueName index="3" name="[dDate].[Month Number].&amp;[4]"/>
            <x15:cachedUniqueName index="4" name="[dDate].[Month Number].&amp;[5]"/>
            <x15:cachedUniqueName index="5" name="[dDate].[Month Number].&amp;[6]"/>
            <x15:cachedUniqueName index="6" name="[dDate].[Month Number].&amp;[7]"/>
            <x15:cachedUniqueName index="7" name="[dDate].[Month Number].&amp;[8]"/>
            <x15:cachedUniqueName index="8" name="[dDate].[Month Number].&amp;[9]"/>
            <x15:cachedUniqueName index="9" name="[dDate].[Month Number].&amp;[10]"/>
            <x15:cachedUniqueName index="10" name="[dDate].[Month Number].&amp;[11]"/>
            <x15:cachedUniqueName index="11" name="[dDate].[Month Number].&amp;[12]"/>
          </x15:cachedUniqueNames>
        </ext>
      </extLst>
    </cacheField>
    <cacheField name="[Measures].[Chênh lệch NV]" caption="Chênh lệch NV" numFmtId="0" hierarchy="35" level="32767"/>
    <cacheField name="[Measures].[Chênh lệch TM]" caption="Chênh lệch TM" numFmtId="0" hierarchy="36" level="32767"/>
    <cacheField name="[Measures].[Chênh lệch nghỉ việc]" caption="Chênh lệch nghỉ việc" numFmtId="0" hierarchy="37" level="32767"/>
    <cacheField name="[Data].[Khối].[Khối]" caption="Khối" numFmtId="0" hierarchy="2" level="1">
      <sharedItems containsSemiMixedTypes="0" containsNonDate="0" containsString="0"/>
    </cacheField>
    <cacheField name="[Data].[Vùng].[Vùng]" caption="Vùng" numFmtId="0" hierarchy="1"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6"/>
      </fieldsUsage>
    </cacheHierarchy>
    <cacheHierarchy uniqueName="[Data].[Khối]" caption="Khối" attribute="1" defaultMemberUniqueName="[Data].[Khối].[All]" allUniqueName="[Data].[Khối].[All]" dimensionUniqueName="[Data]" displayFolder="" count="2" memberValueDatatype="130" unbalanced="0">
      <fieldsUsage count="2">
        <fieldUsage x="-1"/>
        <fieldUsage x="5"/>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0"/>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1"/>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oneField="1">
      <fieldsUsage count="1">
        <fieldUsage x="2"/>
      </fieldsUsage>
    </cacheHierarchy>
    <cacheHierarchy uniqueName="[Measures].[Chênh lệch TM]" caption="Chênh lệch TM" measure="1" displayFolder="" measureGroup="Data" count="0" oneField="1">
      <fieldsUsage count="1">
        <fieldUsage x="3"/>
      </fieldsUsage>
    </cacheHierarchy>
    <cacheHierarchy uniqueName="[Measures].[Chênh lệch nghỉ việc]" caption="Chênh lệch nghỉ việc"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106250003" backgroundQuery="1" createdVersion="8" refreshedVersion="8" minRefreshableVersion="3" recordCount="0" supportSubquery="1" supportAdvancedDrill="1" xr:uid="{E004C5E6-ED38-44D3-913C-56E890A9A100}">
  <cacheSource type="external" connectionId="3"/>
  <cacheFields count="7">
    <cacheField name="[Measures].[Số NV]" caption="Số NV" numFmtId="0" hierarchy="28" level="32767"/>
    <cacheField name="[Measures].[Số tuyển mới]" caption="Số tuyển mới" numFmtId="0" hierarchy="32" level="32767"/>
    <cacheField name="[Measures].[SL nghỉ việc]" caption="SL nghỉ việc" numFmtId="0" hierarchy="30" level="32767"/>
    <cacheField name="[Data].[Vùng].[Vùng]" caption="Vùng" numFmtId="0" hierarchy="1" level="1">
      <sharedItems count="3">
        <s v="VP ĐN"/>
        <s v="VP HCM"/>
        <s v="VP HN"/>
      </sharedItems>
    </cacheField>
    <cacheField name="[dDate].[Year].[Year]" caption="Year" numFmtId="0" hierarchy="20" level="1">
      <sharedItems containsSemiMixedTypes="0" containsNonDate="0" containsString="0"/>
    </cacheField>
    <cacheField name="[dDate].[Month Number].[Month Number]" caption="Month Number" numFmtId="0" hierarchy="21" level="1">
      <sharedItems containsSemiMixedTypes="0" containsNonDate="0" containsString="0"/>
    </cacheField>
    <cacheField name="[Data].[Khối].[Khối]" caption="Khối" numFmtId="0" hierarchy="2" level="1">
      <sharedItems containsSemiMixedTypes="0" containsNonDate="0" containsString="0"/>
    </cacheField>
  </cacheFields>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fieldsUsage count="2">
        <fieldUsage x="-1"/>
        <fieldUsage x="3"/>
      </fieldsUsage>
    </cacheHierarchy>
    <cacheHierarchy uniqueName="[Data].[Khối]" caption="Khối" attribute="1" defaultMemberUniqueName="[Data].[Khối].[All]" allUniqueName="[Data].[Khối].[All]" dimensionUniqueName="[Data]" displayFolder="" count="2" memberValueDatatype="130" unbalanced="0">
      <fieldsUsage count="2">
        <fieldUsage x="-1"/>
        <fieldUsage x="6"/>
      </fieldsUsage>
    </cacheHierarchy>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4"/>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oneField="1">
      <fieldsUsage count="1">
        <fieldUsage x="0"/>
      </fieldsUsage>
    </cacheHierarchy>
    <cacheHierarchy uniqueName="[Measures].[Số NV LY]" caption="Số NV LY" measure="1" displayFolder="" measureGroup="Data" count="0"/>
    <cacheHierarchy uniqueName="[Measures].[SL nghỉ việc]" caption="SL nghỉ việc" measure="1" displayFolder="" measureGroup="Data" count="0" oneField="1">
      <fieldsUsage count="1">
        <fieldUsage x="2"/>
      </fieldsUsage>
    </cacheHierarchy>
    <cacheHierarchy uniqueName="[Measures].[Số nghỉ việc LY]" caption="Số nghỉ việc LY" measure="1" displayFolder="" measureGroup="Data" count="0"/>
    <cacheHierarchy uniqueName="[Measures].[Số tuyển mới]" caption="Số tuyển mới" measure="1" displayFolder="" measureGroup="Data" count="0" oneField="1">
      <fieldsUsage count="1">
        <fieldUsage x="1"/>
      </fieldsUsage>
    </cacheHierarchy>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dimensions count="3">
    <dimension name="Data" uniqueName="[Data]" caption="Data"/>
    <dimension name="dDate" uniqueName="[dDate]" caption="dDate"/>
    <dimension measure="1" name="Measures" uniqueName="[Measures]" caption="Measures"/>
  </dimensions>
  <measureGroups count="2">
    <measureGroup name="Data" caption="Data"/>
    <measureGroup name="dDate" caption="dDat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811080671294" backgroundQuery="1" createdVersion="3" refreshedVersion="8" minRefreshableVersion="3" recordCount="0" supportSubquery="1" supportAdvancedDrill="1" xr:uid="{1C58679F-2CFF-4775-9875-3ACECE6AA8B7}">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Data].[ID]" caption="ID" attribute="1" defaultMemberUniqueName="[Data].[ID].[All]" allUniqueName="[Data].[ID].[All]" dimensionUniqueName="[Data]" displayFolder="" count="0" memberValueDatatype="130" unbalanced="0"/>
    <cacheHierarchy uniqueName="[Data].[Vùng]" caption="Vùng" attribute="1" defaultMemberUniqueName="[Data].[Vùng].[All]" allUniqueName="[Data].[Vùng].[All]" dimensionUniqueName="[Data]" displayFolder="" count="2" memberValueDatatype="130" unbalanced="0"/>
    <cacheHierarchy uniqueName="[Data].[Khối]" caption="Khối" attribute="1" defaultMemberUniqueName="[Data].[Khối].[All]" allUniqueName="[Data].[Khối].[All]" dimensionUniqueName="[Data]" displayFolder="" count="2" memberValueDatatype="130" unbalanced="0"/>
    <cacheHierarchy uniqueName="[Data].[Bộ phận]" caption="Bộ phận" attribute="1" defaultMemberUniqueName="[Data].[Bộ phận].[All]" allUniqueName="[Data].[Bộ phận].[All]" dimensionUniqueName="[Data]" displayFolder="" count="0" memberValueDatatype="130" unbalanced="0"/>
    <cacheHierarchy uniqueName="[Data].[Chức danh]" caption="Chức danh" attribute="1" defaultMemberUniqueName="[Data].[Chức danh].[All]" allUniqueName="[Data].[Chức danh].[All]" dimensionUniqueName="[Data]" displayFolder="" count="0" memberValueDatatype="130" unbalanced="0"/>
    <cacheHierarchy uniqueName="[Data].[Ngày sinh]" caption="Ngày sinh" attribute="1" time="1" defaultMemberUniqueName="[Data].[Ngày sinh].[All]" allUniqueName="[Data].[Ngày sinh].[All]" dimensionUniqueName="[Data]" displayFolder="" count="0" memberValueDatatype="7" unbalanced="0"/>
    <cacheHierarchy uniqueName="[Data].[Giới tính]" caption="Giới tính" attribute="1" defaultMemberUniqueName="[Data].[Giới tính].[All]" allUniqueName="[Data].[Giới tính].[All]" dimensionUniqueName="[Data]" displayFolder="" count="0" memberValueDatatype="130" unbalanced="0"/>
    <cacheHierarchy uniqueName="[Data].[Trình độ học vấn]" caption="Trình độ học vấn" attribute="1" defaultMemberUniqueName="[Data].[Trình độ học vấn].[All]" allUniqueName="[Data].[Trình độ học vấn].[All]" dimensionUniqueName="[Data]" displayFolder="" count="0" memberValueDatatype="130" unbalanced="0"/>
    <cacheHierarchy uniqueName="[Data].[Ngày vào làm việc]" caption="Ngày vào làm việc" attribute="1" time="1" defaultMemberUniqueName="[Data].[Ngày vào làm việc].[All]" allUniqueName="[Data].[Ngày vào làm việc].[All]" dimensionUniqueName="[Data]" displayFolder="" count="0" memberValueDatatype="7" unbalanced="0"/>
    <cacheHierarchy uniqueName="[Data].[HĐLĐ]" caption="HĐLĐ" attribute="1" time="1" defaultMemberUniqueName="[Data].[HĐLĐ].[All]" allUniqueName="[Data].[HĐLĐ].[All]" dimensionUniqueName="[Data]" displayFolder="" count="0" memberValueDatatype="7" unbalanced="0"/>
    <cacheHierarchy uniqueName="[Data].[Tình trạng hôn nhân]" caption="Tình trạng hôn nhân" attribute="1" defaultMemberUniqueName="[Data].[Tình trạng hôn nhân].[All]" allUniqueName="[Data].[Tình trạng hôn nhân].[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ý do thôi việc]" caption="Lý do thôi việc" attribute="1" defaultMemberUniqueName="[Data].[Lý do thôi việc].[All]" allUniqueName="[Data].[Lý do thôi việc].[All]" dimensionUniqueName="[Data]" displayFolder="" count="0" memberValueDatatype="130" unbalanced="0"/>
    <cacheHierarchy uniqueName="[Data].[Số tuổi]" caption="Số tuổi" attribute="1" defaultMemberUniqueName="[Data].[Số tuổi].[All]" allUniqueName="[Data].[Số 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Thâm niên CT]" caption="Thâm niên CT" attribute="1" defaultMemberUniqueName="[Data].[Thâm niên CT].[All]" allUniqueName="[Data].[Thâm niên CT].[All]" dimensionUniqueName="[Data]" displayFolder="" count="0" memberValueDatatype="20" unbalanced="0"/>
    <cacheHierarchy uniqueName="[Data].[Nhóm TNCT]" caption="Nhóm TNCT" attribute="1" defaultMemberUniqueName="[Data].[Nhóm TNCT].[All]" allUniqueName="[Data].[Nhóm TNCT].[All]" dimensionUniqueName="[Data]"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Measures].[min_date]" caption="min_date" measure="1" displayFolder="" measureGroup="Data" count="0"/>
    <cacheHierarchy uniqueName="[Measures].[max_date]" caption="max_date" measure="1" displayFolder="" measureGroup="Data" count="0"/>
    <cacheHierarchy uniqueName="[Measures].[Số NV]" caption="Số NV" measure="1" displayFolder="" measureGroup="Data" count="0"/>
    <cacheHierarchy uniqueName="[Measures].[Số NV LY]" caption="Số NV LY" measure="1" displayFolder="" measureGroup="Data" count="0"/>
    <cacheHierarchy uniqueName="[Measures].[SL nghỉ việc]" caption="SL nghỉ việc" measure="1" displayFolder="" measureGroup="Data" count="0"/>
    <cacheHierarchy uniqueName="[Measures].[Số nghỉ việc LY]" caption="Số nghỉ việc LY" measure="1" displayFolder="" measureGroup="Data" count="0"/>
    <cacheHierarchy uniqueName="[Measures].[Số tuyển mới]" caption="Số tuyển mới" measure="1" displayFolder="" measureGroup="Data" count="0"/>
    <cacheHierarchy uniqueName="[Measures].[Số tuyển mới LY]" caption="Số tuyển mới LY" measure="1" displayFolder="" measureGroup="Data" count="0"/>
    <cacheHierarchy uniqueName="[Measures].[Tỷ lệ NV]" caption="Tỷ lệ NV" measure="1" displayFolder="" measureGroup="Data" count="0"/>
    <cacheHierarchy uniqueName="[Measures].[Chênh lệch NV]" caption="Chênh lệch NV" measure="1" displayFolder="" measureGroup="Data" count="0"/>
    <cacheHierarchy uniqueName="[Measures].[Chênh lệch TM]" caption="Chênh lệch TM" measure="1" displayFolder="" measureGroup="Data" count="0"/>
    <cacheHierarchy uniqueName="[Measures].[Chênh lệch nghỉ việc]" caption="Chênh lệch nghỉ việc"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Sum of Số tuổi]" caption="Sum of Số tuổi" measure="1" displayFolder="" measureGroup="Data" count="0" hidden="1">
      <extLst>
        <ext xmlns:x15="http://schemas.microsoft.com/office/spreadsheetml/2010/11/main" uri="{B97F6D7D-B522-45F9-BDA1-12C45D357490}">
          <x15:cacheHierarchy aggregatedColumn="14"/>
        </ext>
      </extLst>
    </cacheHierarchy>
    <cacheHierarchy uniqueName="[Measures].[Average of Số tuổi]" caption="Average of Số tuổi" measure="1" displayFolder="" measureGroup="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918746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425C2-8853-4DE0-8BB7-5C53D7609880}" name="Nhóm tuổi" cacheId="440" applyNumberFormats="0" applyBorderFormats="0" applyFontFormats="0" applyPatternFormats="0" applyAlignmentFormats="0" applyWidthHeightFormats="1" dataCaption="Values" tag="f363b604-2726-442e-8293-3d97820f9e40" updatedVersion="8" minRefreshableVersion="3" useAutoFormatting="1" subtotalHiddenItems="1" itemPrintTitles="1" createdVersion="8" indent="0" outline="1" outlineData="1" multipleFieldFilters="0" chartFormat="7" rowHeaderCaption="Nhóm tuổi">
  <location ref="K8:L13"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6" format="180" series="1">
      <pivotArea type="data" outline="0" fieldPosition="0">
        <references count="1">
          <reference field="4294967294" count="1" selected="0">
            <x v="0"/>
          </reference>
        </references>
      </pivotArea>
    </chartFormat>
    <chartFormat chart="6" format="181">
      <pivotArea type="data" outline="0" fieldPosition="0">
        <references count="2">
          <reference field="4294967294" count="1" selected="0">
            <x v="0"/>
          </reference>
          <reference field="1" count="1" selected="0">
            <x v="0"/>
          </reference>
        </references>
      </pivotArea>
    </chartFormat>
    <chartFormat chart="6" format="182">
      <pivotArea type="data" outline="0" fieldPosition="0">
        <references count="2">
          <reference field="4294967294" count="1" selected="0">
            <x v="0"/>
          </reference>
          <reference field="1" count="1" selected="0">
            <x v="1"/>
          </reference>
        </references>
      </pivotArea>
    </chartFormat>
    <chartFormat chart="6" format="183">
      <pivotArea type="data" outline="0" fieldPosition="0">
        <references count="2">
          <reference field="4294967294" count="1" selected="0">
            <x v="0"/>
          </reference>
          <reference field="1" count="1" selected="0">
            <x v="2"/>
          </reference>
        </references>
      </pivotArea>
    </chartFormat>
    <chartFormat chart="6" format="184">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0C0B30-8854-4299-9FE0-5A4472C96742}" name="Tuổi trung bình" cacheId="461" applyNumberFormats="0" applyBorderFormats="0" applyFontFormats="0" applyPatternFormats="0" applyAlignmentFormats="0" applyWidthHeightFormats="1" dataCaption="Values" tag="56123c2b-aa63-4946-bb61-c7a8c1ef9c5f" updatedVersion="8" minRefreshableVersion="3" useAutoFormatting="1" subtotalHiddenItems="1" itemPrintTitles="1" createdVersion="8" indent="0" outline="1" outlineData="1" multipleFieldFilters="0">
  <location ref="G3:G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uổi TB" fld="0" subtotal="average" baseField="0" baseItem="0" numFmtId="1"/>
  </dataFields>
  <formats count="1">
    <format dxfId="3">
      <pivotArea outline="0" collapsedLevelsAreSubtotals="1" fieldPosition="0"/>
    </format>
  </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L nghỉ việc"/>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uổi TB"/>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F20C36-D3B2-42A9-834E-01197DA3CA89}" name="Thâm niên CT" cacheId="452" applyNumberFormats="0" applyBorderFormats="0" applyFontFormats="0" applyPatternFormats="0" applyAlignmentFormats="0" applyWidthHeightFormats="1" dataCaption="Values" tag="e12c1541-507b-4b64-aa97-248b61b4dd93" updatedVersion="8" minRefreshableVersion="3" useAutoFormatting="1" subtotalHiddenItems="1" itemPrintTitles="1" createdVersion="8" indent="0" outline="1" outlineData="1" multipleFieldFilters="0" chartFormat="5" rowHeaderCaption="Thâm niên CT">
  <location ref="K17:L23" firstHeaderRow="1"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4" format="182" series="1">
      <pivotArea type="data" outline="0" fieldPosition="0">
        <references count="1">
          <reference field="4294967294" count="1" selected="0">
            <x v="0"/>
          </reference>
        </references>
      </pivotArea>
    </chartFormat>
    <chartFormat chart="4" format="183">
      <pivotArea type="data" outline="0" fieldPosition="0">
        <references count="2">
          <reference field="4294967294" count="1" selected="0">
            <x v="0"/>
          </reference>
          <reference field="1" count="1" selected="0">
            <x v="0"/>
          </reference>
        </references>
      </pivotArea>
    </chartFormat>
    <chartFormat chart="4" format="184">
      <pivotArea type="data" outline="0" fieldPosition="0">
        <references count="2">
          <reference field="4294967294" count="1" selected="0">
            <x v="0"/>
          </reference>
          <reference field="1" count="1" selected="0">
            <x v="1"/>
          </reference>
        </references>
      </pivotArea>
    </chartFormat>
    <chartFormat chart="4" format="185">
      <pivotArea type="data" outline="0" fieldPosition="0">
        <references count="2">
          <reference field="4294967294" count="1" selected="0">
            <x v="0"/>
          </reference>
          <reference field="1" count="1" selected="0">
            <x v="2"/>
          </reference>
        </references>
      </pivotArea>
    </chartFormat>
    <chartFormat chart="4" format="186">
      <pivotArea type="data" outline="0" fieldPosition="0">
        <references count="2">
          <reference field="4294967294" count="1" selected="0">
            <x v="0"/>
          </reference>
          <reference field="1" count="1" selected="0">
            <x v="3"/>
          </reference>
        </references>
      </pivotArea>
    </chartFormat>
    <chartFormat chart="4" format="187">
      <pivotArea type="data" outline="0" fieldPosition="0">
        <references count="2">
          <reference field="4294967294" count="1" selected="0">
            <x v="0"/>
          </reference>
          <reference field="1" count="1" selected="0">
            <x v="4"/>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2D115-5C61-4A86-8600-FA5ED8103816}" name="Trình độ học vấn" cacheId="458" applyNumberFormats="0" applyBorderFormats="0" applyFontFormats="0" applyPatternFormats="0" applyAlignmentFormats="0" applyWidthHeightFormats="1" dataCaption="Values" tag="0841747d-b1e8-420d-aa50-fb9eba43d426" updatedVersion="8" minRefreshableVersion="3" useAutoFormatting="1" subtotalHiddenItems="1" itemPrintTitles="1" createdVersion="8" indent="0" outline="1" outlineData="1" multipleFieldFilters="0" chartFormat="7" rowHeaderCaption="Lý do thôi việc">
  <location ref="G17:H23" firstHeaderRow="1"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6" format="11"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ABE9F-385C-4CC4-A37F-BCD95D5AC924}" name="Số NV" cacheId="434" applyNumberFormats="0" applyBorderFormats="0" applyFontFormats="0" applyPatternFormats="0" applyAlignmentFormats="0" applyWidthHeightFormats="1" dataCaption="Values" tag="25bc128d-226d-46e4-a082-c43c23185999" updatedVersion="8" minRefreshableVersion="3" useAutoFormatting="1" subtotalHiddenItems="1" itemPrintTitles="1" createdVersion="8"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C31C31-3A07-43D0-A9D3-0B83ACB48300}" name="SL nghỉ việc" cacheId="446" applyNumberFormats="0" applyBorderFormats="0" applyFontFormats="0" applyPatternFormats="0" applyAlignmentFormats="0" applyWidthHeightFormats="1" dataCaption="Values" tag="68f256cf-e581-4d8f-a07a-4e2ee81db5ad" updatedVersion="8" minRefreshableVersion="3" useAutoFormatting="1" subtotalHiddenItems="1" itemPrintTitles="1" createdVersion="8" indent="0" outline="1" outlineData="1" multipleFieldFilters="0">
  <location ref="E3:E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L nghỉ việc"/>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C8AB2D-7A57-4F86-B8D4-B527E34436F0}" name="Chi nhánh" cacheId="470" applyNumberFormats="0" applyBorderFormats="0" applyFontFormats="0" applyPatternFormats="0" applyAlignmentFormats="0" applyWidthHeightFormats="1" dataCaption="Values" tag="3298495c-6821-4837-867f-ef2a1d838d64" updatedVersion="8" minRefreshableVersion="3" useAutoFormatting="1" subtotalHiddenItems="1" itemPrintTitles="1" createdVersion="8" indent="0" outline="1" outlineData="1" multipleFieldFilters="0" chartFormat="7" rowHeaderCaption="Chi nhánh">
  <location ref="A8:D12"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6" format="71" series="1">
      <pivotArea type="data" outline="0" fieldPosition="0">
        <references count="1">
          <reference field="4294967294" count="1" selected="0">
            <x v="1"/>
          </reference>
        </references>
      </pivotArea>
    </chartFormat>
    <chartFormat chart="6" format="72" series="1">
      <pivotArea type="data" outline="0" fieldPosition="0">
        <references count="1">
          <reference field="4294967294" count="1" selected="0">
            <x v="2"/>
          </reference>
        </references>
      </pivotArea>
    </chartFormat>
    <chartFormat chart="6" format="73"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F67AD4-6D0F-4141-9F90-2D8FF8747C18}" name="Tháng" cacheId="455" applyNumberFormats="0" applyBorderFormats="0" applyFontFormats="0" applyPatternFormats="0" applyAlignmentFormats="0" applyWidthHeightFormats="1" dataCaption="Values" tag="a34769f8-11f5-409f-af5f-4333966cc3e3" updatedVersion="8" minRefreshableVersion="3" useAutoFormatting="1" subtotalHiddenItems="1" itemPrintTitles="1" createdVersion="8" indent="0" outline="1" outlineData="1" multipleFieldFilters="0" chartFormat="7" rowHeaderCaption="Chi nhánh">
  <location ref="A46:D60"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2">
    <field x="3"/>
    <field x="4"/>
  </rowFields>
  <rowItems count="14">
    <i>
      <x/>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4" format="89" series="1">
      <pivotArea type="data" outline="0" fieldPosition="0">
        <references count="1">
          <reference field="4294967294" count="1" selected="0">
            <x v="1"/>
          </reference>
        </references>
      </pivotArea>
    </chartFormat>
    <chartFormat chart="4" format="90" series="1">
      <pivotArea type="data" outline="0" fieldPosition="0">
        <references count="1">
          <reference field="4294967294" count="1" selected="0">
            <x v="2"/>
          </reference>
        </references>
      </pivotArea>
    </chartFormat>
    <chartFormat chart="4" format="91"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d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AA5A66-FF70-4BB4-B27D-85E0FF477EC2}" name="SL tuyển mới" cacheId="449" applyNumberFormats="0" applyBorderFormats="0" applyFontFormats="0" applyPatternFormats="0" applyAlignmentFormats="0" applyWidthHeightFormats="1" dataCaption="Values" tag="0f2e2e3f-b13f-47e0-9d1a-97d9fe07d5b1" updatedVersion="8" minRefreshableVersion="3" useAutoFormatting="1" subtotalHiddenItems="1" itemPrintTitles="1" createdVersion="8"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L tuyển mới" fld="0" subtotal="count" baseField="0" baseItem="0"/>
  </dataField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L tuyển mới"/>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00055F-06D4-4BD4-9165-99DCD725EBF7}" name="Lý do thôi việc" cacheId="437" applyNumberFormats="0" applyBorderFormats="0" applyFontFormats="0" applyPatternFormats="0" applyAlignmentFormats="0" applyWidthHeightFormats="1" dataCaption="Values" tag="3faef2b1-1785-478d-92a7-358c311e425f" updatedVersion="8" minRefreshableVersion="3" useAutoFormatting="1" subtotalHiddenItems="1" itemPrintTitles="1" createdVersion="8" indent="0" outline="1" outlineData="1" multipleFieldFilters="0" chartFormat="7" rowHeaderCaption="Lý do thôi việc">
  <location ref="G8:H14" firstHeaderRow="1" firstDataRow="1" firstDataCol="1"/>
  <pivotFields count="6">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4" format="14"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34FD07-1C94-4E7D-8702-84B9465D2156}" name="Tỷ lệ NV" cacheId="464" applyNumberFormats="0" applyBorderFormats="0" applyFontFormats="0" applyPatternFormats="0" applyAlignmentFormats="0" applyWidthHeightFormats="1" dataCaption="Values" tag="5d8be58d-a31b-43b8-acff-01ffc0bc5b11" updatedVersion="8" minRefreshableVersion="3" useAutoFormatting="1" subtotalHiddenItems="1" itemPrintTitles="1" createdVersion="8" indent="0" outline="1" outlineData="1" multipleFieldFilters="0">
  <location ref="I3:I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L nghỉ việc"/>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270E51-C3E7-4BF5-BF52-2061EE76B212}" name="Phòng ban" cacheId="443" applyNumberFormats="0" applyBorderFormats="0" applyFontFormats="0" applyPatternFormats="0" applyAlignmentFormats="0" applyWidthHeightFormats="1" dataCaption="Values" tag="c9841191-a6c9-4b7c-8cec-4532ecebbbf4" updatedVersion="8" minRefreshableVersion="3" useAutoFormatting="1" subtotalHiddenItems="1" itemPrintTitles="1" createdVersion="8" indent="0" outline="1" outlineData="1" multipleFieldFilters="0" chartFormat="9" rowHeaderCaption="Phòng ban">
  <location ref="A16:D31" firstHeaderRow="0" firstDataRow="1" firstDataCol="1"/>
  <pivotFields count="7">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8" format="80" series="1">
      <pivotArea type="data" outline="0" fieldPosition="0">
        <references count="1">
          <reference field="4294967294" count="1" selected="0">
            <x v="1"/>
          </reference>
        </references>
      </pivotArea>
    </chartFormat>
    <chartFormat chart="8" format="81" series="1">
      <pivotArea type="data" outline="0" fieldPosition="0">
        <references count="1">
          <reference field="4294967294" count="1" selected="0">
            <x v="2"/>
          </reference>
        </references>
      </pivotArea>
    </chartFormat>
    <chartFormat chart="8" format="8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members count="1" level="1">
        <member name="[dDate].[Year].&amp;[2023]"/>
      </members>
    </pivotHierarchy>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010D5A-DEAD-4E83-AE81-DB0937C044B0}" name="Chênh lệch NV" cacheId="467" applyNumberFormats="0" applyBorderFormats="0" applyFontFormats="0" applyPatternFormats="0" applyAlignmentFormats="0" applyWidthHeightFormats="1" dataCaption="Values" tag="4a166c0c-3d78-40fb-8568-32bce8e875c2" updatedVersion="8" minRefreshableVersion="3" useAutoFormatting="1" subtotalHiddenItems="1" itemPrintTitles="1" createdVersion="8" indent="0" outline="1" outlineData="1" multipleFieldFilters="0" chartFormat="12" rowHeaderCaption="Chi nhánh">
  <location ref="H46:K60" firstHeaderRow="0" firstDataRow="1" firstDataCol="1"/>
  <pivotFields count="7">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4">
    <i>
      <x/>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3">
    <chartFormat chart="8" format="104" series="1">
      <pivotArea type="data" outline="0" fieldPosition="0">
        <references count="1">
          <reference field="4294967294" count="1" selected="0">
            <x v="1"/>
          </reference>
        </references>
      </pivotArea>
    </chartFormat>
    <chartFormat chart="8" format="105" series="1">
      <pivotArea type="data" outline="0" fieldPosition="0">
        <references count="1">
          <reference field="4294967294" count="1" selected="0">
            <x v="2"/>
          </reference>
        </references>
      </pivotArea>
    </chartFormat>
    <chartFormat chart="8" format="106"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F3C4296F-6B89-4C51-9CB4-C8D42CD44667}" sourceName="[dDate].[Month Number]">
  <pivotTables>
    <pivotTable tabId="2" name="Số NV"/>
    <pivotTable tabId="2" name="Chi nhánh"/>
    <pivotTable tabId="2" name="Lý do thôi việc"/>
    <pivotTable tabId="2" name="Nhóm tuổi"/>
    <pivotTable tabId="2" name="Phòng ban"/>
    <pivotTable tabId="2" name="SL nghỉ việc"/>
    <pivotTable tabId="2" name="SL tuyển mới"/>
    <pivotTable tabId="2" name="Thâm niên CT"/>
    <pivotTable tabId="2" name="Tháng"/>
    <pivotTable tabId="2" name="Trình độ học vấn"/>
    <pivotTable tabId="2" name="Tuổi trung bình"/>
    <pivotTable tabId="2" name="Tỷ lệ NV"/>
  </pivotTables>
  <data>
    <olap pivotCacheId="1791874646">
      <levels count="2">
        <level uniqueName="[dDate].[Month Number].[(All)]" sourceCaption="(All)" count="0"/>
        <level uniqueName="[dDate].[Month Number].[Month Number]" sourceCaption="Month Number" count="13">
          <ranges>
            <range startItem="0">
              <i n="[dDate].[Month Number].&amp;[1]" c="1"/>
              <i n="[dDate].[Month Number].&amp;[2]" c="2"/>
              <i n="[dDate].[Month Number].&amp;[3]" c="3"/>
              <i n="[dDate].[Month Number].&amp;[4]" c="4"/>
              <i n="[dDate].[Month Number].&amp;[5]" c="5"/>
              <i n="[dDate].[Month Number].&amp;[6]" c="6"/>
              <i n="[dDate].[Month Number].&amp;[7]" c="7"/>
              <i n="[dDate].[Month Number].&amp;[8]" c="8"/>
              <i n="[dDate].[Month Number].&amp;[9]" c="9"/>
              <i n="[dDate].[Month Number].&amp;[10]" c="10"/>
              <i n="[dDate].[Month Number].&amp;[11]" c="11"/>
              <i n="[dDate].[Month Number].&amp;[12]" c="12"/>
              <i n="[dDate].[Month Number].&amp;" c="(blank)" nd="1"/>
            </range>
          </ranges>
        </level>
      </levels>
      <selections count="1">
        <selection n="[dDate].[Month Number].[All]"/>
      </selections>
    </olap>
  </data>
  <extLst>
    <x:ext xmlns:x15="http://schemas.microsoft.com/office/spreadsheetml/2010/11/main" uri="{470722E0-AACD-4C17-9CDC-17EF765DBC7E}">
      <x15:slicerCacheHideItemsWithNoData count="1">
        <x15:slicerCacheOlapLevelName uniqueName="[dDate].[Month Number].[Month Number]"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6487E1-D748-4AA4-ABCD-287FAC219129}" sourceName="[dDate].[Year]">
  <pivotTables>
    <pivotTable tabId="2" name="Số NV"/>
    <pivotTable tabId="2" name="Chênh lệch NV"/>
    <pivotTable tabId="2" name="Chi nhánh"/>
    <pivotTable tabId="2" name="Lý do thôi việc"/>
    <pivotTable tabId="2" name="Nhóm tuổi"/>
    <pivotTable tabId="2" name="Phòng ban"/>
    <pivotTable tabId="2" name="SL nghỉ việc"/>
    <pivotTable tabId="2" name="SL tuyển mới"/>
    <pivotTable tabId="2" name="Thâm niên CT"/>
    <pivotTable tabId="2" name="Tháng"/>
    <pivotTable tabId="2" name="Trình độ học vấn"/>
    <pivotTable tabId="2" name="Tuổi trung bình"/>
    <pivotTable tabId="2" name="Tỷ lệ NV"/>
  </pivotTables>
  <data>
    <olap pivotCacheId="1791874646">
      <levels count="2">
        <level uniqueName="[dDate].[Year].[(All)]" sourceCaption="(All)" count="0"/>
        <level uniqueName="[dDate].[Year].[Year]" sourceCaption="Year" count="10">
          <ranges>
            <range startItem="0">
              <i n="[dDate].[Year].&amp;[2015]" c="2015"/>
              <i n="[dDate].[Year].&amp;[2016]" c="2016"/>
              <i n="[dDate].[Year].&amp;[2017]" c="2017"/>
              <i n="[dDate].[Year].&amp;[2018]" c="2018"/>
              <i n="[dDate].[Year].&amp;[2019]" c="2019"/>
              <i n="[dDate].[Year].&amp;[2020]" c="2020"/>
              <i n="[dDate].[Year].&amp;[2021]" c="2021"/>
              <i n="[dDate].[Year].&amp;[2022]" c="2022"/>
              <i n="[dDate].[Year].&amp;[2023]" c="2023"/>
              <i n="[dDate].[Year].&amp;" c="(blank)"/>
            </range>
          </ranges>
        </level>
      </levels>
      <selections count="1">
        <selection n="[dDate].[Year].&amp;[202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hối" xr10:uid="{4667B3E4-02E1-49D7-ABDD-FA205EBCABE6}" sourceName="[Data].[Khối]">
  <pivotTables>
    <pivotTable tabId="2" name="Số NV"/>
    <pivotTable tabId="2" name="Chênh lệch NV"/>
    <pivotTable tabId="2" name="Chi nhánh"/>
    <pivotTable tabId="2" name="Lý do thôi việc"/>
    <pivotTable tabId="2" name="Nhóm tuổi"/>
    <pivotTable tabId="2" name="SL nghỉ việc"/>
    <pivotTable tabId="2" name="SL tuyển mới"/>
    <pivotTable tabId="2" name="Thâm niên CT"/>
    <pivotTable tabId="2" name="Tháng"/>
    <pivotTable tabId="2" name="Trình độ học vấn"/>
    <pivotTable tabId="2" name="Tuổi trung bình"/>
    <pivotTable tabId="2" name="Tỷ lệ NV"/>
  </pivotTables>
  <data>
    <olap pivotCacheId="1791874646">
      <levels count="2">
        <level uniqueName="[Data].[Khối].[(All)]" sourceCaption="(All)" count="0"/>
        <level uniqueName="[Data].[Khối].[Khối]" sourceCaption="Khối" count="14">
          <ranges>
            <range startItem="0">
              <i n="[Data].[Khối].&amp;[BGĐ]" c="BGĐ"/>
              <i n="[Data].[Khối].&amp;[DVKH]" c="DVKH"/>
              <i n="[Data].[Khối].&amp;[HCNS]" c="HCNS"/>
              <i n="[Data].[Khối].&amp;[IT]" c="IT"/>
              <i n="[Data].[Khối].&amp;[Kinh doanh]" c="Kinh doanh"/>
              <i n="[Data].[Khối].&amp;[KSNB]" c="KSNB"/>
              <i n="[Data].[Khối].&amp;[Logistics]" c="Logistics"/>
              <i n="[Data].[Khối].&amp;[Marketing]" c="Marketing"/>
              <i n="[Data].[Khối].&amp;[PM]" c="PM"/>
              <i n="[Data].[Khối].&amp;[PP]" c="PP"/>
              <i n="[Data].[Khối].&amp;[QA&amp;QC]" c="QA&amp;QC"/>
              <i n="[Data].[Khối].&amp;[Retail MKT]" c="Retail MKT"/>
              <i n="[Data].[Khối].&amp;[TCKT]" c="TCKT"/>
              <i n="[Data].[Khối].&amp;[Thái Lan (APAC)]" c="Thái Lan (APAC)"/>
            </range>
          </ranges>
        </level>
      </levels>
      <selections count="1">
        <selection n="[Data].[Khố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ùng" xr10:uid="{C0E03479-3FD5-44C8-8135-182D9E299B2F}" sourceName="[Data].[Vùng]">
  <pivotTables>
    <pivotTable tabId="2" name="Số NV"/>
    <pivotTable tabId="2" name="Chênh lệch NV"/>
    <pivotTable tabId="2" name="Lý do thôi việc"/>
    <pivotTable tabId="2" name="Nhóm tuổi"/>
    <pivotTable tabId="2" name="Phòng ban"/>
    <pivotTable tabId="2" name="SL nghỉ việc"/>
    <pivotTable tabId="2" name="SL tuyển mới"/>
    <pivotTable tabId="2" name="Thâm niên CT"/>
    <pivotTable tabId="2" name="Tháng"/>
    <pivotTable tabId="2" name="Trình độ học vấn"/>
    <pivotTable tabId="2" name="Tuổi trung bình"/>
    <pivotTable tabId="2" name="Tỷ lệ NV"/>
  </pivotTables>
  <data>
    <olap pivotCacheId="1791874646">
      <levels count="2">
        <level uniqueName="[Data].[Vùng].[(All)]" sourceCaption="(All)" count="0"/>
        <level uniqueName="[Data].[Vùng].[Vùng]" sourceCaption="Vùng" count="3">
          <ranges>
            <range startItem="0">
              <i n="[Data].[Vùng].&amp;[VP ĐN]" c="VP ĐN"/>
              <i n="[Data].[Vùng].&amp;[VP HCM]" c="VP HCM"/>
              <i n="[Data].[Vùng].&amp;[VP HN]" c="VP HN"/>
            </range>
          </ranges>
        </level>
      </levels>
      <selections count="1">
        <selection n="[Data].[Vù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DE217A18-7453-418E-8888-16DF8BF75783}" cache="Slicer_Month_Number" caption="THÁNG" columnCount="3" level="1" style="SlicerStyleLight1 2" rowHeight="241300"/>
  <slicer name="Year" xr10:uid="{181967CC-7405-43C2-89F6-E133B7C8F61C}" cache="Slicer_Year" caption="NĂM" columnCount="2" level="1" style="SlicerStyleLight1 2" rowHeight="241300"/>
  <slicer name="Khối" xr10:uid="{0830247B-43E3-4521-BB2B-3E5B86739CB4}" cache="Slicer_Khối" caption="PHÒNG BAN" columnCount="2" level="1" style="SlicerStyleLight1 2" rowHeight="241300"/>
  <slicer name="Vùng" xr10:uid="{F5DEBCA9-8D55-4970-A270-0FB197F87E83}" cache="Slicer_Vùng" caption="CHI NHÁNH"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1" xr10:uid="{6B44F5DA-BF16-4EC4-ACCC-F7B621E3339E}" cache="Slicer_Month_Number" caption="THÁNG" columnCount="3" level="1" style="SlicerStyleLight1 2" rowHeight="180000"/>
  <slicer name="Year 1" xr10:uid="{BFABD7DC-74A0-44FC-A307-A797BA54E861}" cache="Slicer_Year" caption="NĂM" columnCount="2" level="1" style="SlicerStyleLight1 2" rowHeight="201600"/>
  <slicer name="Khối 1" xr10:uid="{D0EC68D5-627B-49A3-B93E-B0F62D3BB3D5}" cache="Slicer_Khối" caption="PHÒNG BAN" columnCount="2" level="1" style="SlicerStyleLight1 2" rowHeight="180000"/>
  <slicer name="Vùng 1" xr10:uid="{B60C1950-28BA-4430-A7F3-A78A7C0DD0FF}" cache="Slicer_Vùng" caption="CHI NHÁNH" columnCount="2" level="1" style="SlicerStyleLight1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AE8360-B1D1-4EBB-9E3F-7109B5B70BDD}" name="Data" displayName="Data" ref="A1:T712" totalsRowShown="0" headerRowDxfId="28" dataDxfId="26" headerRowBorderDxfId="27" tableBorderDxfId="25" totalsRowBorderDxfId="24" dataCellStyle="Normal 2">
  <autoFilter ref="A1:T712" xr:uid="{20C6B294-6729-4A5C-B5B6-31790D06E7D3}"/>
  <sortState xmlns:xlrd2="http://schemas.microsoft.com/office/spreadsheetml/2017/richdata2" ref="A2:T712">
    <sortCondition ref="K1:K712"/>
  </sortState>
  <tableColumns count="20">
    <tableColumn id="1" xr3:uid="{7BB8E258-8105-4DB2-BD73-3554C4E86627}" name="STT" dataDxfId="23" dataCellStyle="Normal 2">
      <calculatedColumnFormula>IF(B2="","",COUNTA($B$2:B2))</calculatedColumnFormula>
    </tableColumn>
    <tableColumn id="2" xr3:uid="{F55A996D-8241-4702-892D-12AFE2D429F1}" name="ID" dataDxfId="22" dataCellStyle="Normal 2"/>
    <tableColumn id="3" xr3:uid="{75403C1C-7CA6-489A-8B35-F4D5601C4330}" name="Họ tên" dataDxfId="21" dataCellStyle="Normal 2"/>
    <tableColumn id="4" xr3:uid="{5C1D8C68-C631-4024-A0E3-A40CA75C5546}" name="Vùng" dataDxfId="20" dataCellStyle="Normal 2"/>
    <tableColumn id="5" xr3:uid="{6FFC5C23-4E6E-432C-A1A7-70F730DDAAB1}" name="Khối" dataDxfId="19" dataCellStyle="Normal 2"/>
    <tableColumn id="6" xr3:uid="{0825319F-00C2-4DE8-AD38-D9863B635465}" name="Bộ phận" dataDxfId="18" dataCellStyle="Normal 2"/>
    <tableColumn id="7" xr3:uid="{B8985598-5639-4C03-B280-3B619291ED35}" name="Chức danh" dataDxfId="17" dataCellStyle="Normal 2"/>
    <tableColumn id="8" xr3:uid="{07CAB6BA-8914-4C32-9527-3E4B611730F4}" name="Ngày sinh" dataDxfId="16" dataCellStyle="Normal 2"/>
    <tableColumn id="9" xr3:uid="{E59D861E-59BC-4985-A6C8-CEC247154EE2}" name="Giới tính" dataDxfId="15" dataCellStyle="Normal 2"/>
    <tableColumn id="10" xr3:uid="{EEE2D563-D02A-47BF-A997-ED0D361632A0}" name="Trình độ học vấn" dataDxfId="14" dataCellStyle="Normal 2"/>
    <tableColumn id="11" xr3:uid="{B8BC2A2A-3B9C-4EAF-8DA1-85EF5EFB53D6}" name="Ngày vào làm việc" dataDxfId="13" dataCellStyle="Normal 2"/>
    <tableColumn id="12" xr3:uid="{B8A4FF8A-754D-4DAB-9E0C-39CC80898769}" name="Thời gian thử việc" dataDxfId="12" dataCellStyle="Normal 2"/>
    <tableColumn id="13" xr3:uid="{15317B16-75D8-4F95-922B-4DE602385648}" name="HĐLĐ" dataDxfId="11" dataCellStyle="Normal 2"/>
    <tableColumn id="14" xr3:uid="{CECA6A24-54D3-4CBB-A490-2B89DCA5C976}" name="Hình thức" dataDxfId="10" dataCellStyle="Normal 2"/>
    <tableColumn id="15" xr3:uid="{101DB16A-72A7-44E0-B2F8-FFCF3D6F91D3}" name="Tình trạng hôn nhân" dataDxfId="9" dataCellStyle="Normal 2"/>
    <tableColumn id="16" xr3:uid="{D824D489-9558-446A-81E2-586AB84945AE}" name="Mã HĐ" dataDxfId="8" dataCellStyle="Normal 2"/>
    <tableColumn id="17" xr3:uid="{BC4A8849-CC2E-4A56-A26B-72024F306D4F}" name="Hợp đồng hiện  tại" dataDxfId="7" dataCellStyle="Normal 2"/>
    <tableColumn id="18" xr3:uid="{0505FA69-04BF-4B97-A3A4-45DFE0DB81D8}" name="Ngày thôi việc" dataDxfId="6" dataCellStyle="Normal 2"/>
    <tableColumn id="19" xr3:uid="{A145DA7A-1957-4B77-B01D-C0007F36B84F}" name="Lý do thôi việc" dataDxfId="5" dataCellStyle="Normal 2"/>
    <tableColumn id="20" xr3:uid="{EBED4472-FAB2-410F-B161-CDA4D8B061CC}" name="Ghi chú" dataDxfId="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 dT="2023-11-13T01:39:44.43" personId="{1F740E6B-C986-46C1-A7B6-F74596583A5A}" id="{DFA66182-A4D1-4287-97E5-022922651CF5}">
    <text>Thôi việc trong tháng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B294-6729-4A5C-B5B6-31790D06E7D3}">
  <dimension ref="A1:T712"/>
  <sheetViews>
    <sheetView zoomScale="85" zoomScaleNormal="85" workbookViewId="0">
      <pane xSplit="2" ySplit="1" topLeftCell="C701" activePane="bottomRight" state="frozen"/>
      <selection pane="topRight" activeCell="D1" sqref="D1"/>
      <selection pane="bottomLeft" activeCell="A2" sqref="A2"/>
      <selection pane="bottomRight" activeCell="C709" sqref="C709"/>
    </sheetView>
  </sheetViews>
  <sheetFormatPr defaultRowHeight="15" x14ac:dyDescent="0.25"/>
  <cols>
    <col min="1" max="1" width="6.28515625" customWidth="1"/>
    <col min="2" max="2" width="13.7109375" customWidth="1"/>
    <col min="3" max="3" width="18" customWidth="1"/>
    <col min="4" max="4" width="14.5703125" customWidth="1"/>
    <col min="5" max="5" width="15.28515625" bestFit="1" customWidth="1"/>
    <col min="6" max="6" width="13.140625" style="2" customWidth="1"/>
    <col min="7" max="7" width="28.85546875" style="1" customWidth="1"/>
    <col min="8" max="8" width="12.140625" bestFit="1" customWidth="1"/>
    <col min="9" max="9" width="10.5703125" customWidth="1"/>
    <col min="10" max="10" width="17" customWidth="1"/>
    <col min="11" max="11" width="18.7109375" customWidth="1"/>
    <col min="12" max="12" width="18.42578125" customWidth="1"/>
    <col min="13" max="14" width="14" customWidth="1"/>
    <col min="15" max="15" width="19.7109375" customWidth="1"/>
    <col min="16" max="16" width="13.7109375" customWidth="1"/>
    <col min="17" max="17" width="18.85546875" customWidth="1"/>
    <col min="18" max="19" width="15.140625" customWidth="1"/>
    <col min="20" max="20" width="17.7109375" customWidth="1"/>
  </cols>
  <sheetData>
    <row r="1" spans="1:20" s="1" customFormat="1" ht="18.75" customHeight="1" x14ac:dyDescent="0.25">
      <c r="A1" s="3" t="s">
        <v>0</v>
      </c>
      <c r="B1" s="4" t="s">
        <v>1</v>
      </c>
      <c r="C1" s="4" t="s">
        <v>2</v>
      </c>
      <c r="D1" s="4" t="s">
        <v>3</v>
      </c>
      <c r="E1" s="4" t="s">
        <v>4</v>
      </c>
      <c r="F1" s="4" t="s">
        <v>5</v>
      </c>
      <c r="G1" s="4" t="s">
        <v>6</v>
      </c>
      <c r="H1" s="4" t="s">
        <v>7</v>
      </c>
      <c r="I1" s="4" t="s">
        <v>490</v>
      </c>
      <c r="J1" s="4" t="s">
        <v>8</v>
      </c>
      <c r="K1" s="4" t="s">
        <v>9</v>
      </c>
      <c r="L1" s="4" t="s">
        <v>494</v>
      </c>
      <c r="M1" s="4" t="s">
        <v>495</v>
      </c>
      <c r="N1" s="4" t="s">
        <v>496</v>
      </c>
      <c r="O1" s="4" t="s">
        <v>537</v>
      </c>
      <c r="P1" s="4" t="s">
        <v>498</v>
      </c>
      <c r="Q1" s="4" t="s">
        <v>10</v>
      </c>
      <c r="R1" s="4" t="s">
        <v>11</v>
      </c>
      <c r="S1" s="4" t="s">
        <v>974</v>
      </c>
      <c r="T1" s="5" t="s">
        <v>12</v>
      </c>
    </row>
    <row r="2" spans="1:20" s="19" customFormat="1" ht="21" customHeight="1" x14ac:dyDescent="0.25">
      <c r="A2" s="12">
        <f>IF(B2="","",COUNTA($B$2:B2))</f>
        <v>1</v>
      </c>
      <c r="B2" s="13" t="s">
        <v>650</v>
      </c>
      <c r="C2" s="14"/>
      <c r="D2" s="14" t="s">
        <v>298</v>
      </c>
      <c r="E2" s="14" t="s">
        <v>307</v>
      </c>
      <c r="F2" s="15" t="s">
        <v>307</v>
      </c>
      <c r="G2" s="16" t="s">
        <v>435</v>
      </c>
      <c r="H2" s="13">
        <v>33952</v>
      </c>
      <c r="I2" s="14" t="s">
        <v>491</v>
      </c>
      <c r="J2" s="14" t="s">
        <v>504</v>
      </c>
      <c r="K2" s="13">
        <v>42113</v>
      </c>
      <c r="L2" s="17">
        <v>60</v>
      </c>
      <c r="M2" s="13">
        <f t="shared" ref="M2:M65" si="0">K2+L2</f>
        <v>42173</v>
      </c>
      <c r="N2" s="14"/>
      <c r="O2" s="14" t="s">
        <v>539</v>
      </c>
      <c r="P2" s="14"/>
      <c r="Q2" s="14"/>
      <c r="R2" s="13">
        <v>44501</v>
      </c>
      <c r="S2" s="13" t="s">
        <v>972</v>
      </c>
      <c r="T2" s="18"/>
    </row>
    <row r="3" spans="1:20" s="19" customFormat="1" ht="21" customHeight="1" x14ac:dyDescent="0.25">
      <c r="A3" s="12">
        <f>IF(B3="","",COUNTA($B$2:B3))</f>
        <v>2</v>
      </c>
      <c r="B3" s="20" t="s">
        <v>21</v>
      </c>
      <c r="C3" s="14"/>
      <c r="D3" s="14" t="s">
        <v>298</v>
      </c>
      <c r="E3" s="21" t="s">
        <v>303</v>
      </c>
      <c r="F3" s="22" t="s">
        <v>303</v>
      </c>
      <c r="G3" s="16" t="s">
        <v>365</v>
      </c>
      <c r="H3" s="13">
        <v>29561</v>
      </c>
      <c r="I3" s="20" t="s">
        <v>492</v>
      </c>
      <c r="J3" s="14" t="s">
        <v>504</v>
      </c>
      <c r="K3" s="13">
        <v>42307</v>
      </c>
      <c r="L3" s="17">
        <v>1675</v>
      </c>
      <c r="M3" s="13">
        <f t="shared" si="0"/>
        <v>43982</v>
      </c>
      <c r="N3" s="14" t="s">
        <v>495</v>
      </c>
      <c r="O3" s="16" t="s">
        <v>538</v>
      </c>
      <c r="P3" s="16">
        <v>4</v>
      </c>
      <c r="Q3" s="14" t="s">
        <v>502</v>
      </c>
      <c r="R3" s="23"/>
      <c r="S3" s="23"/>
      <c r="T3" s="24"/>
    </row>
    <row r="4" spans="1:20" s="19" customFormat="1" ht="21" customHeight="1" x14ac:dyDescent="0.25">
      <c r="A4" s="12">
        <f>IF(B4="","",COUNTA($B$2:B4))</f>
        <v>3</v>
      </c>
      <c r="B4" s="20" t="s">
        <v>95</v>
      </c>
      <c r="C4" s="14"/>
      <c r="D4" s="14" t="s">
        <v>298</v>
      </c>
      <c r="E4" s="21" t="s">
        <v>309</v>
      </c>
      <c r="F4" s="22" t="s">
        <v>329</v>
      </c>
      <c r="G4" s="16" t="s">
        <v>404</v>
      </c>
      <c r="H4" s="13">
        <v>33572</v>
      </c>
      <c r="I4" s="20" t="s">
        <v>491</v>
      </c>
      <c r="J4" s="14" t="s">
        <v>504</v>
      </c>
      <c r="K4" s="13">
        <v>42461</v>
      </c>
      <c r="L4" s="17">
        <v>60</v>
      </c>
      <c r="M4" s="13">
        <f t="shared" si="0"/>
        <v>42521</v>
      </c>
      <c r="N4" s="14" t="s">
        <v>495</v>
      </c>
      <c r="O4" s="16" t="s">
        <v>538</v>
      </c>
      <c r="P4" s="16">
        <v>3</v>
      </c>
      <c r="Q4" s="14" t="s">
        <v>501</v>
      </c>
      <c r="R4" s="23"/>
      <c r="S4" s="23"/>
      <c r="T4" s="24"/>
    </row>
    <row r="5" spans="1:20" s="19" customFormat="1" ht="21" customHeight="1" x14ac:dyDescent="0.25">
      <c r="A5" s="12">
        <f>IF(B5="","",COUNTA($B$2:B5))</f>
        <v>4</v>
      </c>
      <c r="B5" s="20" t="s">
        <v>29</v>
      </c>
      <c r="C5" s="14"/>
      <c r="D5" s="14" t="s">
        <v>298</v>
      </c>
      <c r="E5" s="21" t="s">
        <v>301</v>
      </c>
      <c r="F5" s="22" t="s">
        <v>464</v>
      </c>
      <c r="G5" s="16" t="s">
        <v>468</v>
      </c>
      <c r="H5" s="13">
        <v>31771</v>
      </c>
      <c r="I5" s="20" t="s">
        <v>491</v>
      </c>
      <c r="J5" s="14" t="s">
        <v>504</v>
      </c>
      <c r="K5" s="13">
        <v>42479</v>
      </c>
      <c r="L5" s="17">
        <v>60</v>
      </c>
      <c r="M5" s="13">
        <f t="shared" si="0"/>
        <v>42539</v>
      </c>
      <c r="N5" s="14" t="s">
        <v>495</v>
      </c>
      <c r="O5" s="16" t="s">
        <v>538</v>
      </c>
      <c r="P5" s="16">
        <v>4</v>
      </c>
      <c r="Q5" s="14" t="s">
        <v>502</v>
      </c>
      <c r="R5" s="23"/>
      <c r="S5" s="23"/>
      <c r="T5" s="24"/>
    </row>
    <row r="6" spans="1:20" s="19" customFormat="1" ht="21" customHeight="1" x14ac:dyDescent="0.25">
      <c r="A6" s="12">
        <f>IF(B6="","",COUNTA($B$2:B6))</f>
        <v>5</v>
      </c>
      <c r="B6" s="20" t="s">
        <v>142</v>
      </c>
      <c r="C6" s="14"/>
      <c r="D6" s="14" t="s">
        <v>298</v>
      </c>
      <c r="E6" s="21" t="s">
        <v>304</v>
      </c>
      <c r="F6" s="22" t="s">
        <v>368</v>
      </c>
      <c r="G6" s="16" t="s">
        <v>370</v>
      </c>
      <c r="H6" s="13">
        <v>34151</v>
      </c>
      <c r="I6" s="20" t="s">
        <v>491</v>
      </c>
      <c r="J6" s="14" t="s">
        <v>504</v>
      </c>
      <c r="K6" s="13">
        <v>42544</v>
      </c>
      <c r="L6" s="17">
        <v>60</v>
      </c>
      <c r="M6" s="13">
        <f t="shared" si="0"/>
        <v>42604</v>
      </c>
      <c r="N6" s="14" t="s">
        <v>495</v>
      </c>
      <c r="O6" s="16" t="s">
        <v>538</v>
      </c>
      <c r="P6" s="16">
        <v>4</v>
      </c>
      <c r="Q6" s="14" t="s">
        <v>502</v>
      </c>
      <c r="R6" s="23"/>
      <c r="S6" s="23"/>
      <c r="T6" s="24"/>
    </row>
    <row r="7" spans="1:20" s="19" customFormat="1" ht="21" customHeight="1" x14ac:dyDescent="0.25">
      <c r="A7" s="12">
        <f>IF(B7="","",COUNTA($B$2:B7))</f>
        <v>6</v>
      </c>
      <c r="B7" s="20" t="s">
        <v>47</v>
      </c>
      <c r="C7" s="14"/>
      <c r="D7" s="14" t="s">
        <v>298</v>
      </c>
      <c r="E7" s="21" t="s">
        <v>304</v>
      </c>
      <c r="F7" s="22" t="s">
        <v>315</v>
      </c>
      <c r="G7" s="16" t="s">
        <v>371</v>
      </c>
      <c r="H7" s="13">
        <v>31608</v>
      </c>
      <c r="I7" s="20" t="s">
        <v>492</v>
      </c>
      <c r="J7" s="14" t="s">
        <v>506</v>
      </c>
      <c r="K7" s="13">
        <v>42646</v>
      </c>
      <c r="L7" s="17">
        <v>60</v>
      </c>
      <c r="M7" s="13">
        <f t="shared" si="0"/>
        <v>42706</v>
      </c>
      <c r="N7" s="14" t="s">
        <v>495</v>
      </c>
      <c r="O7" s="16" t="s">
        <v>538</v>
      </c>
      <c r="P7" s="16">
        <v>4</v>
      </c>
      <c r="Q7" s="14" t="s">
        <v>502</v>
      </c>
      <c r="R7" s="23"/>
      <c r="S7" s="23"/>
      <c r="T7" s="24"/>
    </row>
    <row r="8" spans="1:20" s="19" customFormat="1" ht="21" customHeight="1" x14ac:dyDescent="0.25">
      <c r="A8" s="12">
        <f>IF(B8="","",COUNTA($B$2:B8))</f>
        <v>7</v>
      </c>
      <c r="B8" s="20" t="s">
        <v>250</v>
      </c>
      <c r="C8" s="14"/>
      <c r="D8" s="14" t="s">
        <v>299</v>
      </c>
      <c r="E8" s="21" t="s">
        <v>314</v>
      </c>
      <c r="F8" s="22" t="s">
        <v>327</v>
      </c>
      <c r="G8" s="16" t="s">
        <v>338</v>
      </c>
      <c r="H8" s="13">
        <v>32039</v>
      </c>
      <c r="I8" s="20" t="s">
        <v>492</v>
      </c>
      <c r="J8" s="14" t="s">
        <v>507</v>
      </c>
      <c r="K8" s="13">
        <v>42719</v>
      </c>
      <c r="L8" s="17">
        <v>60</v>
      </c>
      <c r="M8" s="13">
        <f t="shared" si="0"/>
        <v>42779</v>
      </c>
      <c r="N8" s="14" t="s">
        <v>495</v>
      </c>
      <c r="O8" s="16" t="s">
        <v>538</v>
      </c>
      <c r="P8" s="16">
        <v>3</v>
      </c>
      <c r="Q8" s="14" t="s">
        <v>501</v>
      </c>
      <c r="R8" s="23"/>
      <c r="S8" s="23"/>
      <c r="T8" s="24"/>
    </row>
    <row r="9" spans="1:20" s="19" customFormat="1" ht="21" customHeight="1" x14ac:dyDescent="0.25">
      <c r="A9" s="12">
        <f>IF(B9="","",COUNTA($B$2:B9))</f>
        <v>8</v>
      </c>
      <c r="B9" s="20" t="s">
        <v>102</v>
      </c>
      <c r="C9" s="14"/>
      <c r="D9" s="14" t="s">
        <v>299</v>
      </c>
      <c r="E9" s="21" t="s">
        <v>309</v>
      </c>
      <c r="F9" s="22" t="s">
        <v>329</v>
      </c>
      <c r="G9" s="16" t="s">
        <v>410</v>
      </c>
      <c r="H9" s="13">
        <v>29565</v>
      </c>
      <c r="I9" s="20" t="s">
        <v>491</v>
      </c>
      <c r="J9" s="14" t="s">
        <v>504</v>
      </c>
      <c r="K9" s="13">
        <v>42723</v>
      </c>
      <c r="L9" s="17">
        <v>60</v>
      </c>
      <c r="M9" s="13">
        <f t="shared" si="0"/>
        <v>42783</v>
      </c>
      <c r="N9" s="14" t="s">
        <v>495</v>
      </c>
      <c r="O9" s="16" t="s">
        <v>538</v>
      </c>
      <c r="P9" s="16">
        <v>4</v>
      </c>
      <c r="Q9" s="14" t="s">
        <v>502</v>
      </c>
      <c r="R9" s="23"/>
      <c r="S9" s="23"/>
      <c r="T9" s="24"/>
    </row>
    <row r="10" spans="1:20" s="19" customFormat="1" ht="21" customHeight="1" x14ac:dyDescent="0.25">
      <c r="A10" s="12">
        <f>IF(B10="","",COUNTA($B$2:B10))</f>
        <v>9</v>
      </c>
      <c r="B10" s="20" t="s">
        <v>186</v>
      </c>
      <c r="C10" s="14"/>
      <c r="D10" s="14" t="s">
        <v>299</v>
      </c>
      <c r="E10" s="21" t="s">
        <v>311</v>
      </c>
      <c r="F10" s="22" t="s">
        <v>316</v>
      </c>
      <c r="G10" s="16" t="s">
        <v>320</v>
      </c>
      <c r="H10" s="13">
        <v>33890</v>
      </c>
      <c r="I10" s="20" t="s">
        <v>491</v>
      </c>
      <c r="J10" s="14" t="s">
        <v>504</v>
      </c>
      <c r="K10" s="13">
        <v>42723</v>
      </c>
      <c r="L10" s="17">
        <v>60</v>
      </c>
      <c r="M10" s="13">
        <f t="shared" si="0"/>
        <v>42783</v>
      </c>
      <c r="N10" s="14" t="s">
        <v>495</v>
      </c>
      <c r="O10" s="16" t="s">
        <v>539</v>
      </c>
      <c r="P10" s="16">
        <v>4</v>
      </c>
      <c r="Q10" s="14" t="s">
        <v>502</v>
      </c>
      <c r="R10" s="23"/>
      <c r="S10" s="23"/>
      <c r="T10" s="24"/>
    </row>
    <row r="11" spans="1:20" s="19" customFormat="1" ht="21" customHeight="1" x14ac:dyDescent="0.25">
      <c r="A11" s="12">
        <f>IF(B11="","",COUNTA($B$2:B11))</f>
        <v>10</v>
      </c>
      <c r="B11" s="13" t="s">
        <v>876</v>
      </c>
      <c r="C11" s="14"/>
      <c r="D11" s="14" t="s">
        <v>299</v>
      </c>
      <c r="E11" s="14" t="s">
        <v>314</v>
      </c>
      <c r="F11" s="15" t="s">
        <v>327</v>
      </c>
      <c r="G11" s="16" t="s">
        <v>341</v>
      </c>
      <c r="H11" s="13">
        <v>29919</v>
      </c>
      <c r="I11" s="14" t="s">
        <v>492</v>
      </c>
      <c r="J11" s="14" t="s">
        <v>507</v>
      </c>
      <c r="K11" s="13">
        <v>42723</v>
      </c>
      <c r="L11" s="17">
        <v>60</v>
      </c>
      <c r="M11" s="13">
        <f t="shared" si="0"/>
        <v>42783</v>
      </c>
      <c r="N11" s="14"/>
      <c r="O11" s="14" t="s">
        <v>538</v>
      </c>
      <c r="P11" s="14"/>
      <c r="Q11" s="14"/>
      <c r="R11" s="13">
        <v>44977</v>
      </c>
      <c r="S11" s="13" t="s">
        <v>977</v>
      </c>
      <c r="T11" s="18"/>
    </row>
    <row r="12" spans="1:20" s="19" customFormat="1" ht="21" customHeight="1" x14ac:dyDescent="0.25">
      <c r="A12" s="12">
        <f>IF(B12="","",COUNTA($B$2:B12))</f>
        <v>11</v>
      </c>
      <c r="B12" s="13" t="s">
        <v>692</v>
      </c>
      <c r="C12" s="14"/>
      <c r="D12" s="14" t="s">
        <v>299</v>
      </c>
      <c r="E12" s="14" t="s">
        <v>311</v>
      </c>
      <c r="F12" s="22" t="s">
        <v>318</v>
      </c>
      <c r="G12" s="16" t="s">
        <v>320</v>
      </c>
      <c r="H12" s="13">
        <v>32334</v>
      </c>
      <c r="I12" s="14" t="s">
        <v>492</v>
      </c>
      <c r="J12" s="14" t="s">
        <v>504</v>
      </c>
      <c r="K12" s="13">
        <v>42768</v>
      </c>
      <c r="L12" s="17">
        <v>60</v>
      </c>
      <c r="M12" s="13">
        <f t="shared" si="0"/>
        <v>42828</v>
      </c>
      <c r="N12" s="14"/>
      <c r="O12" s="14" t="s">
        <v>938</v>
      </c>
      <c r="P12" s="14"/>
      <c r="Q12" s="14"/>
      <c r="R12" s="13">
        <v>44615</v>
      </c>
      <c r="S12" s="13" t="s">
        <v>973</v>
      </c>
      <c r="T12" s="18"/>
    </row>
    <row r="13" spans="1:20" s="19" customFormat="1" ht="21" customHeight="1" x14ac:dyDescent="0.25">
      <c r="A13" s="12">
        <f>IF(B13="","",COUNTA($B$2:B13))</f>
        <v>12</v>
      </c>
      <c r="B13" s="20" t="s">
        <v>282</v>
      </c>
      <c r="C13" s="14"/>
      <c r="D13" s="14" t="s">
        <v>298</v>
      </c>
      <c r="E13" s="21" t="s">
        <v>314</v>
      </c>
      <c r="F13" s="22" t="s">
        <v>330</v>
      </c>
      <c r="G13" s="16" t="s">
        <v>358</v>
      </c>
      <c r="H13" s="13">
        <v>30263</v>
      </c>
      <c r="I13" s="20" t="s">
        <v>491</v>
      </c>
      <c r="J13" s="14" t="s">
        <v>504</v>
      </c>
      <c r="K13" s="13">
        <v>42796</v>
      </c>
      <c r="L13" s="17">
        <v>60</v>
      </c>
      <c r="M13" s="13">
        <f t="shared" si="0"/>
        <v>42856</v>
      </c>
      <c r="N13" s="14" t="s">
        <v>495</v>
      </c>
      <c r="O13" s="16" t="s">
        <v>538</v>
      </c>
      <c r="P13" s="16">
        <v>3</v>
      </c>
      <c r="Q13" s="14" t="s">
        <v>501</v>
      </c>
      <c r="R13" s="23"/>
      <c r="S13" s="23"/>
      <c r="T13" s="24"/>
    </row>
    <row r="14" spans="1:20" s="19" customFormat="1" ht="21" customHeight="1" x14ac:dyDescent="0.25">
      <c r="A14" s="12">
        <f>IF(B14="","",COUNTA($B$2:B14))</f>
        <v>13</v>
      </c>
      <c r="B14" s="20" t="s">
        <v>556</v>
      </c>
      <c r="C14" s="14"/>
      <c r="D14" s="14" t="s">
        <v>298</v>
      </c>
      <c r="E14" s="21" t="s">
        <v>310</v>
      </c>
      <c r="F14" s="22" t="s">
        <v>412</v>
      </c>
      <c r="G14" s="16" t="s">
        <v>420</v>
      </c>
      <c r="H14" s="13">
        <v>34615</v>
      </c>
      <c r="I14" s="20" t="s">
        <v>492</v>
      </c>
      <c r="J14" s="14" t="s">
        <v>504</v>
      </c>
      <c r="K14" s="13">
        <v>42800</v>
      </c>
      <c r="L14" s="17">
        <v>60</v>
      </c>
      <c r="M14" s="13">
        <f t="shared" si="0"/>
        <v>42860</v>
      </c>
      <c r="N14" s="14"/>
      <c r="O14" s="16" t="s">
        <v>938</v>
      </c>
      <c r="P14" s="16"/>
      <c r="Q14" s="14"/>
      <c r="R14" s="13">
        <v>44259</v>
      </c>
      <c r="S14" s="13" t="s">
        <v>972</v>
      </c>
      <c r="T14" s="18"/>
    </row>
    <row r="15" spans="1:20" s="19" customFormat="1" ht="21" customHeight="1" x14ac:dyDescent="0.25">
      <c r="A15" s="12">
        <f>IF(B15="","",COUNTA($B$2:B15))</f>
        <v>14</v>
      </c>
      <c r="B15" s="20" t="s">
        <v>67</v>
      </c>
      <c r="C15" s="14"/>
      <c r="D15" s="14" t="s">
        <v>298</v>
      </c>
      <c r="E15" s="21" t="s">
        <v>307</v>
      </c>
      <c r="F15" s="22" t="s">
        <v>434</v>
      </c>
      <c r="G15" s="16" t="s">
        <v>438</v>
      </c>
      <c r="H15" s="13">
        <v>34393</v>
      </c>
      <c r="I15" s="20" t="s">
        <v>491</v>
      </c>
      <c r="J15" s="14" t="s">
        <v>504</v>
      </c>
      <c r="K15" s="13">
        <v>42806</v>
      </c>
      <c r="L15" s="17">
        <v>60</v>
      </c>
      <c r="M15" s="13">
        <f t="shared" si="0"/>
        <v>42866</v>
      </c>
      <c r="N15" s="14" t="s">
        <v>495</v>
      </c>
      <c r="O15" s="16" t="s">
        <v>538</v>
      </c>
      <c r="P15" s="16">
        <v>3</v>
      </c>
      <c r="Q15" s="14" t="s">
        <v>501</v>
      </c>
      <c r="R15" s="23"/>
      <c r="S15" s="23"/>
      <c r="T15" s="24"/>
    </row>
    <row r="16" spans="1:20" s="19" customFormat="1" ht="21" customHeight="1" x14ac:dyDescent="0.25">
      <c r="A16" s="12">
        <f>IF(B16="","",COUNTA($B$2:B16))</f>
        <v>15</v>
      </c>
      <c r="B16" s="13" t="s">
        <v>898</v>
      </c>
      <c r="C16" s="14"/>
      <c r="D16" s="14" t="s">
        <v>298</v>
      </c>
      <c r="E16" s="14" t="s">
        <v>314</v>
      </c>
      <c r="F16" s="15" t="s">
        <v>327</v>
      </c>
      <c r="G16" s="16" t="s">
        <v>341</v>
      </c>
      <c r="H16" s="13">
        <v>34179</v>
      </c>
      <c r="I16" s="14" t="s">
        <v>492</v>
      </c>
      <c r="J16" s="14" t="s">
        <v>504</v>
      </c>
      <c r="K16" s="13">
        <v>42826</v>
      </c>
      <c r="L16" s="17">
        <v>60</v>
      </c>
      <c r="M16" s="13">
        <f t="shared" si="0"/>
        <v>42886</v>
      </c>
      <c r="N16" s="14"/>
      <c r="O16" s="14" t="s">
        <v>538</v>
      </c>
      <c r="P16" s="14"/>
      <c r="Q16" s="14"/>
      <c r="R16" s="13">
        <v>45047</v>
      </c>
      <c r="S16" s="13" t="s">
        <v>977</v>
      </c>
      <c r="T16" s="24"/>
    </row>
    <row r="17" spans="1:20" s="19" customFormat="1" ht="21" customHeight="1" x14ac:dyDescent="0.25">
      <c r="A17" s="12">
        <f>IF(B17="","",COUNTA($B$2:B17))</f>
        <v>16</v>
      </c>
      <c r="B17" s="13" t="s">
        <v>802</v>
      </c>
      <c r="C17" s="14"/>
      <c r="D17" s="14" t="s">
        <v>298</v>
      </c>
      <c r="E17" s="14" t="s">
        <v>311</v>
      </c>
      <c r="F17" s="22" t="s">
        <v>317</v>
      </c>
      <c r="G17" s="16" t="s">
        <v>320</v>
      </c>
      <c r="H17" s="13">
        <v>31304</v>
      </c>
      <c r="I17" s="14" t="s">
        <v>492</v>
      </c>
      <c r="J17" s="14" t="s">
        <v>504</v>
      </c>
      <c r="K17" s="13">
        <v>42849</v>
      </c>
      <c r="L17" s="17">
        <v>60</v>
      </c>
      <c r="M17" s="13">
        <f t="shared" si="0"/>
        <v>42909</v>
      </c>
      <c r="N17" s="14"/>
      <c r="O17" s="14" t="s">
        <v>538</v>
      </c>
      <c r="P17" s="14"/>
      <c r="Q17" s="14"/>
      <c r="R17" s="13">
        <v>44727</v>
      </c>
      <c r="S17" s="13" t="s">
        <v>972</v>
      </c>
      <c r="T17" s="18"/>
    </row>
    <row r="18" spans="1:20" s="19" customFormat="1" ht="21" customHeight="1" x14ac:dyDescent="0.25">
      <c r="A18" s="12">
        <f>IF(B18="","",COUNTA($B$2:B18))</f>
        <v>17</v>
      </c>
      <c r="B18" s="20" t="s">
        <v>144</v>
      </c>
      <c r="C18" s="14"/>
      <c r="D18" s="14" t="s">
        <v>298</v>
      </c>
      <c r="E18" s="21" t="s">
        <v>304</v>
      </c>
      <c r="F18" s="22" t="s">
        <v>315</v>
      </c>
      <c r="G18" s="16" t="s">
        <v>371</v>
      </c>
      <c r="H18" s="13">
        <v>27477</v>
      </c>
      <c r="I18" s="20" t="s">
        <v>492</v>
      </c>
      <c r="J18" s="14" t="s">
        <v>506</v>
      </c>
      <c r="K18" s="13">
        <v>43045</v>
      </c>
      <c r="L18" s="17">
        <v>60</v>
      </c>
      <c r="M18" s="13">
        <f t="shared" si="0"/>
        <v>43105</v>
      </c>
      <c r="N18" s="14" t="s">
        <v>495</v>
      </c>
      <c r="O18" s="16" t="s">
        <v>538</v>
      </c>
      <c r="P18" s="16">
        <v>4</v>
      </c>
      <c r="Q18" s="14" t="s">
        <v>502</v>
      </c>
      <c r="R18" s="23"/>
      <c r="S18" s="23"/>
      <c r="T18" s="24"/>
    </row>
    <row r="19" spans="1:20" s="19" customFormat="1" ht="21" customHeight="1" x14ac:dyDescent="0.25">
      <c r="A19" s="12">
        <f>IF(B19="","",COUNTA($B$2:B19))</f>
        <v>18</v>
      </c>
      <c r="B19" s="13" t="s">
        <v>706</v>
      </c>
      <c r="C19" s="14"/>
      <c r="D19" s="14" t="s">
        <v>298</v>
      </c>
      <c r="E19" s="14" t="s">
        <v>304</v>
      </c>
      <c r="F19" s="15" t="s">
        <v>368</v>
      </c>
      <c r="G19" s="16" t="s">
        <v>378</v>
      </c>
      <c r="H19" s="13">
        <v>35060</v>
      </c>
      <c r="I19" s="14" t="s">
        <v>491</v>
      </c>
      <c r="J19" s="14" t="s">
        <v>504</v>
      </c>
      <c r="K19" s="13">
        <v>43068</v>
      </c>
      <c r="L19" s="17">
        <v>60</v>
      </c>
      <c r="M19" s="13">
        <f t="shared" si="0"/>
        <v>43128</v>
      </c>
      <c r="N19" s="14"/>
      <c r="O19" s="14" t="s">
        <v>938</v>
      </c>
      <c r="P19" s="14"/>
      <c r="Q19" s="14"/>
      <c r="R19" s="13">
        <v>44636</v>
      </c>
      <c r="S19" s="13" t="s">
        <v>977</v>
      </c>
      <c r="T19" s="18"/>
    </row>
    <row r="20" spans="1:20" s="19" customFormat="1" ht="21" customHeight="1" x14ac:dyDescent="0.25">
      <c r="A20" s="12">
        <f>IF(B20="","",COUNTA($B$2:B20))</f>
        <v>19</v>
      </c>
      <c r="B20" s="20" t="s">
        <v>152</v>
      </c>
      <c r="C20" s="14"/>
      <c r="D20" s="14" t="s">
        <v>298</v>
      </c>
      <c r="E20" s="21" t="s">
        <v>311</v>
      </c>
      <c r="F20" s="22" t="s">
        <v>316</v>
      </c>
      <c r="G20" s="16" t="s">
        <v>320</v>
      </c>
      <c r="H20" s="13">
        <v>32359</v>
      </c>
      <c r="I20" s="20" t="s">
        <v>492</v>
      </c>
      <c r="J20" s="14" t="s">
        <v>507</v>
      </c>
      <c r="K20" s="13">
        <v>43073</v>
      </c>
      <c r="L20" s="17">
        <v>60</v>
      </c>
      <c r="M20" s="13">
        <f t="shared" si="0"/>
        <v>43133</v>
      </c>
      <c r="N20" s="14" t="s">
        <v>495</v>
      </c>
      <c r="O20" s="16" t="s">
        <v>538</v>
      </c>
      <c r="P20" s="16">
        <v>4</v>
      </c>
      <c r="Q20" s="14" t="s">
        <v>502</v>
      </c>
      <c r="R20" s="23"/>
      <c r="S20" s="23"/>
      <c r="T20" s="24"/>
    </row>
    <row r="21" spans="1:20" s="19" customFormat="1" ht="21" customHeight="1" x14ac:dyDescent="0.25">
      <c r="A21" s="12">
        <f>IF(B21="","",COUNTA($B$2:B21))</f>
        <v>20</v>
      </c>
      <c r="B21" s="20" t="s">
        <v>241</v>
      </c>
      <c r="C21" s="14"/>
      <c r="D21" s="14" t="s">
        <v>300</v>
      </c>
      <c r="E21" s="21" t="s">
        <v>314</v>
      </c>
      <c r="F21" s="22" t="s">
        <v>327</v>
      </c>
      <c r="G21" s="16" t="s">
        <v>333</v>
      </c>
      <c r="H21" s="13">
        <v>27437</v>
      </c>
      <c r="I21" s="20" t="s">
        <v>492</v>
      </c>
      <c r="J21" s="14" t="s">
        <v>504</v>
      </c>
      <c r="K21" s="13">
        <v>43110</v>
      </c>
      <c r="L21" s="17">
        <v>60</v>
      </c>
      <c r="M21" s="13">
        <f t="shared" si="0"/>
        <v>43170</v>
      </c>
      <c r="N21" s="14" t="s">
        <v>495</v>
      </c>
      <c r="O21" s="16" t="s">
        <v>538</v>
      </c>
      <c r="P21" s="16">
        <v>4</v>
      </c>
      <c r="Q21" s="14" t="s">
        <v>502</v>
      </c>
      <c r="R21" s="23"/>
      <c r="S21" s="23"/>
      <c r="T21" s="24"/>
    </row>
    <row r="22" spans="1:20" s="19" customFormat="1" ht="21" customHeight="1" x14ac:dyDescent="0.25">
      <c r="A22" s="12">
        <f>IF(B22="","",COUNTA($B$2:B22))</f>
        <v>21</v>
      </c>
      <c r="B22" s="20" t="s">
        <v>178</v>
      </c>
      <c r="C22" s="14"/>
      <c r="D22" s="14" t="s">
        <v>300</v>
      </c>
      <c r="E22" s="21" t="s">
        <v>311</v>
      </c>
      <c r="F22" s="22" t="s">
        <v>317</v>
      </c>
      <c r="G22" s="16" t="s">
        <v>321</v>
      </c>
      <c r="H22" s="13">
        <v>30015</v>
      </c>
      <c r="I22" s="20" t="s">
        <v>492</v>
      </c>
      <c r="J22" s="14" t="s">
        <v>504</v>
      </c>
      <c r="K22" s="13">
        <v>43132</v>
      </c>
      <c r="L22" s="17">
        <v>60</v>
      </c>
      <c r="M22" s="13">
        <f t="shared" si="0"/>
        <v>43192</v>
      </c>
      <c r="N22" s="14" t="s">
        <v>495</v>
      </c>
      <c r="O22" s="16" t="s">
        <v>538</v>
      </c>
      <c r="P22" s="16">
        <v>4</v>
      </c>
      <c r="Q22" s="14" t="s">
        <v>502</v>
      </c>
      <c r="R22" s="23"/>
      <c r="S22" s="23"/>
      <c r="T22" s="24"/>
    </row>
    <row r="23" spans="1:20" s="19" customFormat="1" ht="21" customHeight="1" x14ac:dyDescent="0.25">
      <c r="A23" s="12">
        <f>IF(B23="","",COUNTA($B$2:B23))</f>
        <v>22</v>
      </c>
      <c r="B23" s="20" t="s">
        <v>184</v>
      </c>
      <c r="C23" s="14"/>
      <c r="D23" s="14" t="s">
        <v>300</v>
      </c>
      <c r="E23" s="21" t="s">
        <v>311</v>
      </c>
      <c r="F23" s="22" t="s">
        <v>315</v>
      </c>
      <c r="G23" s="16" t="s">
        <v>315</v>
      </c>
      <c r="H23" s="13">
        <v>35031</v>
      </c>
      <c r="I23" s="20" t="s">
        <v>491</v>
      </c>
      <c r="J23" s="14" t="s">
        <v>504</v>
      </c>
      <c r="K23" s="13">
        <v>43132</v>
      </c>
      <c r="L23" s="17">
        <v>60</v>
      </c>
      <c r="M23" s="13">
        <f t="shared" si="0"/>
        <v>43192</v>
      </c>
      <c r="N23" s="14" t="s">
        <v>495</v>
      </c>
      <c r="O23" s="16" t="s">
        <v>539</v>
      </c>
      <c r="P23" s="16">
        <v>4</v>
      </c>
      <c r="Q23" s="14" t="s">
        <v>502</v>
      </c>
      <c r="R23" s="23"/>
      <c r="S23" s="23"/>
      <c r="T23" s="24"/>
    </row>
    <row r="24" spans="1:20" s="19" customFormat="1" ht="21" customHeight="1" x14ac:dyDescent="0.25">
      <c r="A24" s="12">
        <f>IF(B24="","",COUNTA($B$2:B24))</f>
        <v>23</v>
      </c>
      <c r="B24" s="20" t="s">
        <v>99</v>
      </c>
      <c r="C24" s="14"/>
      <c r="D24" s="14" t="s">
        <v>298</v>
      </c>
      <c r="E24" s="21" t="s">
        <v>309</v>
      </c>
      <c r="F24" s="22" t="s">
        <v>329</v>
      </c>
      <c r="G24" s="16" t="s">
        <v>408</v>
      </c>
      <c r="H24" s="13">
        <v>27068</v>
      </c>
      <c r="I24" s="20" t="s">
        <v>492</v>
      </c>
      <c r="J24" s="14" t="s">
        <v>506</v>
      </c>
      <c r="K24" s="13">
        <v>43160</v>
      </c>
      <c r="L24" s="17">
        <v>60</v>
      </c>
      <c r="M24" s="13">
        <f t="shared" si="0"/>
        <v>43220</v>
      </c>
      <c r="N24" s="14" t="s">
        <v>495</v>
      </c>
      <c r="O24" s="16" t="s">
        <v>538</v>
      </c>
      <c r="P24" s="16">
        <v>4</v>
      </c>
      <c r="Q24" s="14" t="s">
        <v>502</v>
      </c>
      <c r="R24" s="23"/>
      <c r="S24" s="23"/>
      <c r="T24" s="24"/>
    </row>
    <row r="25" spans="1:20" s="19" customFormat="1" ht="21" customHeight="1" x14ac:dyDescent="0.25">
      <c r="A25" s="12">
        <f>IF(B25="","",COUNTA($B$2:B25))</f>
        <v>24</v>
      </c>
      <c r="B25" s="20" t="s">
        <v>151</v>
      </c>
      <c r="C25" s="14"/>
      <c r="D25" s="14" t="s">
        <v>298</v>
      </c>
      <c r="E25" s="21" t="s">
        <v>311</v>
      </c>
      <c r="F25" s="22" t="s">
        <v>316</v>
      </c>
      <c r="G25" s="16" t="s">
        <v>320</v>
      </c>
      <c r="H25" s="13">
        <v>32088</v>
      </c>
      <c r="I25" s="20" t="s">
        <v>492</v>
      </c>
      <c r="J25" s="14" t="s">
        <v>504</v>
      </c>
      <c r="K25" s="13">
        <v>43160</v>
      </c>
      <c r="L25" s="17">
        <v>60</v>
      </c>
      <c r="M25" s="13">
        <f t="shared" si="0"/>
        <v>43220</v>
      </c>
      <c r="N25" s="14" t="s">
        <v>495</v>
      </c>
      <c r="O25" s="16" t="s">
        <v>538</v>
      </c>
      <c r="P25" s="16">
        <v>4</v>
      </c>
      <c r="Q25" s="14" t="s">
        <v>502</v>
      </c>
      <c r="R25" s="23"/>
      <c r="S25" s="23"/>
      <c r="T25" s="24"/>
    </row>
    <row r="26" spans="1:20" s="19" customFormat="1" ht="21" customHeight="1" x14ac:dyDescent="0.25">
      <c r="A26" s="12">
        <f>IF(B26="","",COUNTA($B$2:B26))</f>
        <v>25</v>
      </c>
      <c r="B26" s="13" t="s">
        <v>618</v>
      </c>
      <c r="C26" s="14"/>
      <c r="D26" s="14" t="s">
        <v>298</v>
      </c>
      <c r="E26" s="14" t="s">
        <v>304</v>
      </c>
      <c r="F26" s="22" t="s">
        <v>368</v>
      </c>
      <c r="G26" s="16" t="s">
        <v>949</v>
      </c>
      <c r="H26" s="13">
        <v>31710</v>
      </c>
      <c r="I26" s="14" t="s">
        <v>491</v>
      </c>
      <c r="J26" s="14" t="s">
        <v>504</v>
      </c>
      <c r="K26" s="13">
        <v>43168</v>
      </c>
      <c r="L26" s="17">
        <v>60</v>
      </c>
      <c r="M26" s="13">
        <f t="shared" si="0"/>
        <v>43228</v>
      </c>
      <c r="N26" s="14"/>
      <c r="O26" s="14" t="s">
        <v>938</v>
      </c>
      <c r="P26" s="14"/>
      <c r="Q26" s="14"/>
      <c r="R26" s="13">
        <v>44396</v>
      </c>
      <c r="S26" s="13" t="s">
        <v>973</v>
      </c>
      <c r="T26" s="18"/>
    </row>
    <row r="27" spans="1:20" s="19" customFormat="1" ht="21" customHeight="1" x14ac:dyDescent="0.25">
      <c r="A27" s="12">
        <f>IF(B27="","",COUNTA($B$2:B27))</f>
        <v>26</v>
      </c>
      <c r="B27" s="13" t="s">
        <v>765</v>
      </c>
      <c r="C27" s="14"/>
      <c r="D27" s="14" t="s">
        <v>300</v>
      </c>
      <c r="E27" s="14" t="s">
        <v>313</v>
      </c>
      <c r="F27" s="15" t="s">
        <v>942</v>
      </c>
      <c r="G27" s="14" t="s">
        <v>960</v>
      </c>
      <c r="H27" s="13">
        <v>35691</v>
      </c>
      <c r="I27" s="14" t="s">
        <v>492</v>
      </c>
      <c r="J27" s="14" t="s">
        <v>506</v>
      </c>
      <c r="K27" s="13">
        <v>43171</v>
      </c>
      <c r="L27" s="17">
        <v>60</v>
      </c>
      <c r="M27" s="13">
        <f t="shared" si="0"/>
        <v>43231</v>
      </c>
      <c r="N27" s="14"/>
      <c r="O27" s="14" t="s">
        <v>539</v>
      </c>
      <c r="P27" s="14"/>
      <c r="Q27" s="14"/>
      <c r="R27" s="13">
        <v>44682</v>
      </c>
      <c r="S27" s="13" t="s">
        <v>972</v>
      </c>
      <c r="T27" s="18"/>
    </row>
    <row r="28" spans="1:20" s="19" customFormat="1" ht="21" customHeight="1" x14ac:dyDescent="0.25">
      <c r="A28" s="12">
        <f>IF(B28="","",COUNTA($B$2:B28))</f>
        <v>27</v>
      </c>
      <c r="B28" s="20" t="s">
        <v>519</v>
      </c>
      <c r="C28" s="14"/>
      <c r="D28" s="14" t="s">
        <v>300</v>
      </c>
      <c r="E28" s="21" t="s">
        <v>314</v>
      </c>
      <c r="F28" s="22" t="s">
        <v>327</v>
      </c>
      <c r="G28" s="16" t="s">
        <v>341</v>
      </c>
      <c r="H28" s="13">
        <v>32505</v>
      </c>
      <c r="I28" s="20" t="s">
        <v>492</v>
      </c>
      <c r="J28" s="14" t="s">
        <v>507</v>
      </c>
      <c r="K28" s="13">
        <v>43178</v>
      </c>
      <c r="L28" s="17">
        <v>60</v>
      </c>
      <c r="M28" s="13">
        <f t="shared" si="0"/>
        <v>43238</v>
      </c>
      <c r="N28" s="14" t="s">
        <v>495</v>
      </c>
      <c r="O28" s="16" t="s">
        <v>538</v>
      </c>
      <c r="P28" s="16">
        <v>3</v>
      </c>
      <c r="Q28" s="14" t="s">
        <v>501</v>
      </c>
      <c r="R28" s="13">
        <v>45215</v>
      </c>
      <c r="S28" s="13" t="s">
        <v>975</v>
      </c>
      <c r="T28" s="24"/>
    </row>
    <row r="29" spans="1:20" s="19" customFormat="1" ht="21" customHeight="1" x14ac:dyDescent="0.25">
      <c r="A29" s="12">
        <f>IF(B29="","",COUNTA($B$2:B29))</f>
        <v>28</v>
      </c>
      <c r="B29" s="13" t="s">
        <v>672</v>
      </c>
      <c r="C29" s="14"/>
      <c r="D29" s="14" t="s">
        <v>298</v>
      </c>
      <c r="E29" s="14" t="s">
        <v>314</v>
      </c>
      <c r="F29" s="22" t="s">
        <v>330</v>
      </c>
      <c r="G29" s="16" t="s">
        <v>361</v>
      </c>
      <c r="H29" s="13">
        <v>33432</v>
      </c>
      <c r="I29" s="14" t="s">
        <v>491</v>
      </c>
      <c r="J29" s="14" t="s">
        <v>504</v>
      </c>
      <c r="K29" s="13">
        <v>43185</v>
      </c>
      <c r="L29" s="17">
        <v>60</v>
      </c>
      <c r="M29" s="13">
        <f t="shared" si="0"/>
        <v>43245</v>
      </c>
      <c r="N29" s="14"/>
      <c r="O29" s="14" t="s">
        <v>938</v>
      </c>
      <c r="P29" s="14"/>
      <c r="Q29" s="14"/>
      <c r="R29" s="13">
        <v>44593</v>
      </c>
      <c r="S29" s="13" t="s">
        <v>973</v>
      </c>
      <c r="T29" s="18"/>
    </row>
    <row r="30" spans="1:20" s="19" customFormat="1" ht="21" customHeight="1" x14ac:dyDescent="0.25">
      <c r="A30" s="12">
        <f>IF(B30="","",COUNTA($B$2:B30))</f>
        <v>29</v>
      </c>
      <c r="B30" s="20" t="s">
        <v>242</v>
      </c>
      <c r="C30" s="14"/>
      <c r="D30" s="14" t="s">
        <v>300</v>
      </c>
      <c r="E30" s="21" t="s">
        <v>314</v>
      </c>
      <c r="F30" s="22" t="s">
        <v>327</v>
      </c>
      <c r="G30" s="16" t="s">
        <v>335</v>
      </c>
      <c r="H30" s="13">
        <v>34097</v>
      </c>
      <c r="I30" s="20" t="s">
        <v>491</v>
      </c>
      <c r="J30" s="14" t="s">
        <v>504</v>
      </c>
      <c r="K30" s="13">
        <v>43206</v>
      </c>
      <c r="L30" s="17">
        <v>60</v>
      </c>
      <c r="M30" s="13">
        <f t="shared" si="0"/>
        <v>43266</v>
      </c>
      <c r="N30" s="14" t="s">
        <v>495</v>
      </c>
      <c r="O30" s="16" t="s">
        <v>538</v>
      </c>
      <c r="P30" s="16">
        <v>3</v>
      </c>
      <c r="Q30" s="14" t="s">
        <v>501</v>
      </c>
      <c r="R30" s="23"/>
      <c r="S30" s="23"/>
      <c r="T30" s="24"/>
    </row>
    <row r="31" spans="1:20" s="19" customFormat="1" ht="21" customHeight="1" x14ac:dyDescent="0.25">
      <c r="A31" s="12">
        <f>IF(B31="","",COUNTA($B$2:B31))</f>
        <v>30</v>
      </c>
      <c r="B31" s="13" t="s">
        <v>855</v>
      </c>
      <c r="C31" s="14"/>
      <c r="D31" s="14" t="s">
        <v>298</v>
      </c>
      <c r="E31" s="14" t="s">
        <v>310</v>
      </c>
      <c r="F31" s="22" t="s">
        <v>415</v>
      </c>
      <c r="G31" s="16" t="s">
        <v>418</v>
      </c>
      <c r="H31" s="13">
        <v>32286</v>
      </c>
      <c r="I31" s="14" t="s">
        <v>491</v>
      </c>
      <c r="J31" s="14" t="s">
        <v>507</v>
      </c>
      <c r="K31" s="13">
        <v>43222</v>
      </c>
      <c r="L31" s="17">
        <v>60</v>
      </c>
      <c r="M31" s="13">
        <f t="shared" si="0"/>
        <v>43282</v>
      </c>
      <c r="N31" s="14"/>
      <c r="O31" s="14" t="s">
        <v>538</v>
      </c>
      <c r="P31" s="14"/>
      <c r="Q31" s="14"/>
      <c r="R31" s="13">
        <v>44880</v>
      </c>
      <c r="S31" s="13" t="s">
        <v>976</v>
      </c>
      <c r="T31" s="18"/>
    </row>
    <row r="32" spans="1:20" s="19" customFormat="1" ht="21" customHeight="1" x14ac:dyDescent="0.25">
      <c r="A32" s="12">
        <f>IF(B32="","",COUNTA($B$2:B32))</f>
        <v>31</v>
      </c>
      <c r="B32" s="20" t="s">
        <v>569</v>
      </c>
      <c r="C32" s="14"/>
      <c r="D32" s="14" t="s">
        <v>298</v>
      </c>
      <c r="E32" s="21" t="s">
        <v>301</v>
      </c>
      <c r="F32" s="22" t="s">
        <v>465</v>
      </c>
      <c r="G32" s="16" t="s">
        <v>533</v>
      </c>
      <c r="H32" s="13">
        <v>30210</v>
      </c>
      <c r="I32" s="20" t="s">
        <v>491</v>
      </c>
      <c r="J32" s="14" t="s">
        <v>504</v>
      </c>
      <c r="K32" s="13">
        <v>43234</v>
      </c>
      <c r="L32" s="17">
        <v>60</v>
      </c>
      <c r="M32" s="13">
        <f t="shared" si="0"/>
        <v>43294</v>
      </c>
      <c r="N32" s="14"/>
      <c r="O32" s="16" t="s">
        <v>938</v>
      </c>
      <c r="P32" s="16"/>
      <c r="Q32" s="14"/>
      <c r="R32" s="13">
        <v>44287</v>
      </c>
      <c r="S32" s="13" t="s">
        <v>977</v>
      </c>
      <c r="T32" s="18"/>
    </row>
    <row r="33" spans="1:20" s="19" customFormat="1" ht="21" customHeight="1" x14ac:dyDescent="0.25">
      <c r="A33" s="12">
        <f>IF(B33="","",COUNTA($B$2:B33))</f>
        <v>32</v>
      </c>
      <c r="B33" s="13" t="s">
        <v>719</v>
      </c>
      <c r="C33" s="14"/>
      <c r="D33" s="14" t="s">
        <v>300</v>
      </c>
      <c r="E33" s="14" t="s">
        <v>311</v>
      </c>
      <c r="F33" s="22" t="s">
        <v>318</v>
      </c>
      <c r="G33" s="16" t="s">
        <v>320</v>
      </c>
      <c r="H33" s="13">
        <v>33604</v>
      </c>
      <c r="I33" s="14" t="s">
        <v>492</v>
      </c>
      <c r="J33" s="14" t="s">
        <v>504</v>
      </c>
      <c r="K33" s="13">
        <v>43235</v>
      </c>
      <c r="L33" s="17">
        <v>60</v>
      </c>
      <c r="M33" s="13">
        <f t="shared" si="0"/>
        <v>43295</v>
      </c>
      <c r="N33" s="14"/>
      <c r="O33" s="14" t="s">
        <v>539</v>
      </c>
      <c r="P33" s="14"/>
      <c r="Q33" s="14"/>
      <c r="R33" s="13">
        <v>44652</v>
      </c>
      <c r="S33" s="13" t="s">
        <v>977</v>
      </c>
      <c r="T33" s="18"/>
    </row>
    <row r="34" spans="1:20" s="19" customFormat="1" ht="21" customHeight="1" x14ac:dyDescent="0.25">
      <c r="A34" s="12">
        <f>IF(B34="","",COUNTA($B$2:B34))</f>
        <v>33</v>
      </c>
      <c r="B34" s="20" t="s">
        <v>251</v>
      </c>
      <c r="C34" s="14"/>
      <c r="D34" s="14" t="s">
        <v>299</v>
      </c>
      <c r="E34" s="21" t="s">
        <v>314</v>
      </c>
      <c r="F34" s="22" t="s">
        <v>327</v>
      </c>
      <c r="G34" s="16" t="s">
        <v>338</v>
      </c>
      <c r="H34" s="13">
        <v>34865</v>
      </c>
      <c r="I34" s="20" t="s">
        <v>492</v>
      </c>
      <c r="J34" s="14" t="s">
        <v>507</v>
      </c>
      <c r="K34" s="13">
        <v>43241</v>
      </c>
      <c r="L34" s="17">
        <v>60</v>
      </c>
      <c r="M34" s="13">
        <f t="shared" si="0"/>
        <v>43301</v>
      </c>
      <c r="N34" s="14" t="s">
        <v>495</v>
      </c>
      <c r="O34" s="16" t="s">
        <v>539</v>
      </c>
      <c r="P34" s="16">
        <v>4</v>
      </c>
      <c r="Q34" s="14" t="s">
        <v>502</v>
      </c>
      <c r="R34" s="23"/>
      <c r="S34" s="23"/>
      <c r="T34" s="24"/>
    </row>
    <row r="35" spans="1:20" s="19" customFormat="1" ht="21" customHeight="1" x14ac:dyDescent="0.25">
      <c r="A35" s="12">
        <f>IF(B35="","",COUNTA($B$2:B35))</f>
        <v>34</v>
      </c>
      <c r="B35" s="20" t="s">
        <v>232</v>
      </c>
      <c r="C35" s="20"/>
      <c r="D35" s="20" t="s">
        <v>298</v>
      </c>
      <c r="E35" s="20" t="s">
        <v>314</v>
      </c>
      <c r="F35" s="25" t="s">
        <v>327</v>
      </c>
      <c r="G35" s="16" t="s">
        <v>334</v>
      </c>
      <c r="H35" s="13">
        <v>34181</v>
      </c>
      <c r="I35" s="20" t="s">
        <v>491</v>
      </c>
      <c r="J35" s="14" t="s">
        <v>504</v>
      </c>
      <c r="K35" s="13">
        <v>43252</v>
      </c>
      <c r="L35" s="17">
        <v>60</v>
      </c>
      <c r="M35" s="13">
        <f t="shared" si="0"/>
        <v>43312</v>
      </c>
      <c r="N35" s="14" t="s">
        <v>495</v>
      </c>
      <c r="O35" s="16" t="s">
        <v>539</v>
      </c>
      <c r="P35" s="16">
        <v>4</v>
      </c>
      <c r="Q35" s="14" t="s">
        <v>502</v>
      </c>
      <c r="R35" s="23"/>
      <c r="S35" s="23"/>
      <c r="T35" s="24"/>
    </row>
    <row r="36" spans="1:20" s="19" customFormat="1" ht="21" customHeight="1" x14ac:dyDescent="0.25">
      <c r="A36" s="12">
        <f>IF(B36="","",COUNTA($B$2:B36))</f>
        <v>35</v>
      </c>
      <c r="B36" s="20" t="s">
        <v>239</v>
      </c>
      <c r="C36" s="14"/>
      <c r="D36" s="14" t="s">
        <v>298</v>
      </c>
      <c r="E36" s="21" t="s">
        <v>314</v>
      </c>
      <c r="F36" s="22" t="s">
        <v>327</v>
      </c>
      <c r="G36" s="16" t="s">
        <v>338</v>
      </c>
      <c r="H36" s="13">
        <v>35445</v>
      </c>
      <c r="I36" s="20" t="s">
        <v>492</v>
      </c>
      <c r="J36" s="14" t="s">
        <v>935</v>
      </c>
      <c r="K36" s="13">
        <v>43252</v>
      </c>
      <c r="L36" s="17">
        <v>60</v>
      </c>
      <c r="M36" s="13">
        <f t="shared" si="0"/>
        <v>43312</v>
      </c>
      <c r="N36" s="14" t="s">
        <v>495</v>
      </c>
      <c r="O36" s="16" t="s">
        <v>538</v>
      </c>
      <c r="P36" s="16">
        <v>4</v>
      </c>
      <c r="Q36" s="14" t="s">
        <v>502</v>
      </c>
      <c r="R36" s="23"/>
      <c r="S36" s="23"/>
      <c r="T36" s="24"/>
    </row>
    <row r="37" spans="1:20" s="19" customFormat="1" ht="21" customHeight="1" x14ac:dyDescent="0.25">
      <c r="A37" s="12">
        <f>IF(B37="","",COUNTA($B$2:B37))</f>
        <v>36</v>
      </c>
      <c r="B37" s="20" t="s">
        <v>33</v>
      </c>
      <c r="C37" s="14"/>
      <c r="D37" s="14" t="s">
        <v>300</v>
      </c>
      <c r="E37" s="21" t="s">
        <v>301</v>
      </c>
      <c r="F37" s="22" t="s">
        <v>464</v>
      </c>
      <c r="G37" s="16" t="s">
        <v>472</v>
      </c>
      <c r="H37" s="13">
        <v>34235</v>
      </c>
      <c r="I37" s="20" t="s">
        <v>491</v>
      </c>
      <c r="J37" s="14" t="s">
        <v>504</v>
      </c>
      <c r="K37" s="13">
        <v>43263</v>
      </c>
      <c r="L37" s="17">
        <v>60</v>
      </c>
      <c r="M37" s="13">
        <f t="shared" si="0"/>
        <v>43323</v>
      </c>
      <c r="N37" s="14" t="s">
        <v>495</v>
      </c>
      <c r="O37" s="16" t="s">
        <v>539</v>
      </c>
      <c r="P37" s="16">
        <v>4</v>
      </c>
      <c r="Q37" s="14" t="s">
        <v>502</v>
      </c>
      <c r="R37" s="23"/>
      <c r="S37" s="23"/>
      <c r="T37" s="24"/>
    </row>
    <row r="38" spans="1:20" s="19" customFormat="1" ht="21" customHeight="1" x14ac:dyDescent="0.25">
      <c r="A38" s="12">
        <f>IF(B38="","",COUNTA($B$2:B38))</f>
        <v>37</v>
      </c>
      <c r="B38" s="13" t="s">
        <v>705</v>
      </c>
      <c r="C38" s="14"/>
      <c r="D38" s="14" t="s">
        <v>298</v>
      </c>
      <c r="E38" s="14" t="s">
        <v>311</v>
      </c>
      <c r="F38" s="15" t="s">
        <v>311</v>
      </c>
      <c r="G38" s="26" t="s">
        <v>966</v>
      </c>
      <c r="H38" s="13">
        <v>30099</v>
      </c>
      <c r="I38" s="14" t="s">
        <v>492</v>
      </c>
      <c r="J38" s="14" t="s">
        <v>504</v>
      </c>
      <c r="K38" s="13">
        <v>43265</v>
      </c>
      <c r="L38" s="17">
        <v>60</v>
      </c>
      <c r="M38" s="13">
        <f t="shared" si="0"/>
        <v>43325</v>
      </c>
      <c r="N38" s="14"/>
      <c r="O38" s="14" t="s">
        <v>938</v>
      </c>
      <c r="P38" s="14"/>
      <c r="Q38" s="14"/>
      <c r="R38" s="13">
        <v>44636</v>
      </c>
      <c r="S38" s="13" t="s">
        <v>973</v>
      </c>
      <c r="T38" s="18"/>
    </row>
    <row r="39" spans="1:20" s="19" customFormat="1" ht="21" customHeight="1" x14ac:dyDescent="0.25">
      <c r="A39" s="12">
        <f>IF(B39="","",COUNTA($B$2:B39))</f>
        <v>38</v>
      </c>
      <c r="B39" s="13" t="s">
        <v>700</v>
      </c>
      <c r="C39" s="14"/>
      <c r="D39" s="14" t="s">
        <v>299</v>
      </c>
      <c r="E39" s="14" t="s">
        <v>314</v>
      </c>
      <c r="F39" s="15" t="s">
        <v>327</v>
      </c>
      <c r="G39" s="16" t="s">
        <v>341</v>
      </c>
      <c r="H39" s="13">
        <v>33088</v>
      </c>
      <c r="I39" s="14" t="s">
        <v>491</v>
      </c>
      <c r="J39" s="14" t="s">
        <v>504</v>
      </c>
      <c r="K39" s="13">
        <v>43283</v>
      </c>
      <c r="L39" s="17">
        <v>60</v>
      </c>
      <c r="M39" s="13">
        <f t="shared" si="0"/>
        <v>43343</v>
      </c>
      <c r="N39" s="14"/>
      <c r="O39" s="14" t="s">
        <v>938</v>
      </c>
      <c r="P39" s="14"/>
      <c r="Q39" s="14"/>
      <c r="R39" s="13">
        <v>44626</v>
      </c>
      <c r="S39" s="13" t="s">
        <v>977</v>
      </c>
      <c r="T39" s="18"/>
    </row>
    <row r="40" spans="1:20" s="19" customFormat="1" ht="21" customHeight="1" x14ac:dyDescent="0.25">
      <c r="A40" s="12">
        <f>IF(B40="","",COUNTA($B$2:B40))</f>
        <v>39</v>
      </c>
      <c r="B40" s="13" t="s">
        <v>859</v>
      </c>
      <c r="C40" s="14"/>
      <c r="D40" s="14" t="s">
        <v>298</v>
      </c>
      <c r="E40" s="14" t="s">
        <v>310</v>
      </c>
      <c r="F40" s="15" t="s">
        <v>310</v>
      </c>
      <c r="G40" s="26" t="s">
        <v>955</v>
      </c>
      <c r="H40" s="13">
        <v>29810</v>
      </c>
      <c r="I40" s="14" t="s">
        <v>492</v>
      </c>
      <c r="J40" s="14" t="s">
        <v>505</v>
      </c>
      <c r="K40" s="13">
        <v>43315</v>
      </c>
      <c r="L40" s="17">
        <v>60</v>
      </c>
      <c r="M40" s="13">
        <f t="shared" si="0"/>
        <v>43375</v>
      </c>
      <c r="N40" s="14"/>
      <c r="O40" s="14" t="s">
        <v>538</v>
      </c>
      <c r="P40" s="14"/>
      <c r="Q40" s="14"/>
      <c r="R40" s="13">
        <v>44896</v>
      </c>
      <c r="S40" s="13" t="s">
        <v>972</v>
      </c>
      <c r="T40" s="18"/>
    </row>
    <row r="41" spans="1:20" s="19" customFormat="1" ht="21" customHeight="1" x14ac:dyDescent="0.25">
      <c r="A41" s="12">
        <f>IF(B41="","",COUNTA($B$2:B41))</f>
        <v>40</v>
      </c>
      <c r="B41" s="13" t="s">
        <v>758</v>
      </c>
      <c r="C41" s="14"/>
      <c r="D41" s="14" t="s">
        <v>299</v>
      </c>
      <c r="E41" s="14" t="s">
        <v>306</v>
      </c>
      <c r="F41" s="22" t="s">
        <v>306</v>
      </c>
      <c r="G41" s="16" t="s">
        <v>428</v>
      </c>
      <c r="H41" s="13">
        <v>30751</v>
      </c>
      <c r="I41" s="14" t="s">
        <v>492</v>
      </c>
      <c r="J41" s="14" t="s">
        <v>504</v>
      </c>
      <c r="K41" s="13">
        <v>43328</v>
      </c>
      <c r="L41" s="17">
        <v>60</v>
      </c>
      <c r="M41" s="13">
        <f t="shared" si="0"/>
        <v>43388</v>
      </c>
      <c r="N41" s="14"/>
      <c r="O41" s="14" t="s">
        <v>538</v>
      </c>
      <c r="P41" s="14"/>
      <c r="Q41" s="14"/>
      <c r="R41" s="13">
        <v>44682</v>
      </c>
      <c r="S41" s="13" t="s">
        <v>977</v>
      </c>
      <c r="T41" s="18"/>
    </row>
    <row r="42" spans="1:20" s="19" customFormat="1" ht="21" customHeight="1" x14ac:dyDescent="0.25">
      <c r="A42" s="12">
        <f>IF(B42="","",COUNTA($B$2:B42))</f>
        <v>41</v>
      </c>
      <c r="B42" s="13" t="s">
        <v>885</v>
      </c>
      <c r="C42" s="14"/>
      <c r="D42" s="14" t="s">
        <v>299</v>
      </c>
      <c r="E42" s="14" t="s">
        <v>311</v>
      </c>
      <c r="F42" s="22" t="s">
        <v>316</v>
      </c>
      <c r="G42" s="21" t="s">
        <v>320</v>
      </c>
      <c r="H42" s="13">
        <v>27931</v>
      </c>
      <c r="I42" s="14" t="s">
        <v>492</v>
      </c>
      <c r="J42" s="14" t="s">
        <v>504</v>
      </c>
      <c r="K42" s="13">
        <v>43374</v>
      </c>
      <c r="L42" s="17">
        <v>60</v>
      </c>
      <c r="M42" s="13">
        <f t="shared" si="0"/>
        <v>43434</v>
      </c>
      <c r="N42" s="14"/>
      <c r="O42" s="14" t="s">
        <v>538</v>
      </c>
      <c r="P42" s="14"/>
      <c r="Q42" s="14"/>
      <c r="R42" s="13">
        <v>44991</v>
      </c>
      <c r="S42" s="13" t="s">
        <v>975</v>
      </c>
      <c r="T42" s="24"/>
    </row>
    <row r="43" spans="1:20" s="19" customFormat="1" ht="21" customHeight="1" x14ac:dyDescent="0.25">
      <c r="A43" s="12">
        <f>IF(B43="","",COUNTA($B$2:B43))</f>
        <v>42</v>
      </c>
      <c r="B43" s="13" t="s">
        <v>844</v>
      </c>
      <c r="C43" s="14"/>
      <c r="D43" s="14" t="s">
        <v>298</v>
      </c>
      <c r="E43" s="14" t="s">
        <v>311</v>
      </c>
      <c r="F43" s="22" t="s">
        <v>318</v>
      </c>
      <c r="G43" s="16" t="s">
        <v>320</v>
      </c>
      <c r="H43" s="13">
        <v>35512</v>
      </c>
      <c r="I43" s="14" t="s">
        <v>492</v>
      </c>
      <c r="J43" s="14" t="s">
        <v>507</v>
      </c>
      <c r="K43" s="13">
        <v>43374</v>
      </c>
      <c r="L43" s="17">
        <v>60</v>
      </c>
      <c r="M43" s="13">
        <f t="shared" si="0"/>
        <v>43434</v>
      </c>
      <c r="N43" s="14"/>
      <c r="O43" s="14" t="s">
        <v>539</v>
      </c>
      <c r="P43" s="14"/>
      <c r="Q43" s="14"/>
      <c r="R43" s="13">
        <v>44849</v>
      </c>
      <c r="S43" s="13" t="s">
        <v>972</v>
      </c>
      <c r="T43" s="18"/>
    </row>
    <row r="44" spans="1:20" s="19" customFormat="1" ht="21" customHeight="1" x14ac:dyDescent="0.25">
      <c r="A44" s="12">
        <f>IF(B44="","",COUNTA($B$2:B44))</f>
        <v>43</v>
      </c>
      <c r="B44" s="20" t="s">
        <v>570</v>
      </c>
      <c r="C44" s="14"/>
      <c r="D44" s="14" t="s">
        <v>299</v>
      </c>
      <c r="E44" s="21" t="s">
        <v>311</v>
      </c>
      <c r="F44" s="22" t="s">
        <v>316</v>
      </c>
      <c r="G44" s="16" t="s">
        <v>320</v>
      </c>
      <c r="H44" s="13">
        <v>27970</v>
      </c>
      <c r="I44" s="20" t="s">
        <v>492</v>
      </c>
      <c r="J44" s="14" t="s">
        <v>504</v>
      </c>
      <c r="K44" s="13">
        <v>43374</v>
      </c>
      <c r="L44" s="17">
        <v>60</v>
      </c>
      <c r="M44" s="13">
        <f t="shared" si="0"/>
        <v>43434</v>
      </c>
      <c r="N44" s="14"/>
      <c r="O44" s="16" t="s">
        <v>938</v>
      </c>
      <c r="P44" s="16"/>
      <c r="Q44" s="14"/>
      <c r="R44" s="13">
        <v>44287</v>
      </c>
      <c r="S44" s="13" t="s">
        <v>972</v>
      </c>
      <c r="T44" s="18"/>
    </row>
    <row r="45" spans="1:20" s="19" customFormat="1" ht="21" customHeight="1" x14ac:dyDescent="0.25">
      <c r="A45" s="12">
        <f>IF(B45="","",COUNTA($B$2:B45))</f>
        <v>44</v>
      </c>
      <c r="B45" s="13" t="s">
        <v>779</v>
      </c>
      <c r="C45" s="14"/>
      <c r="D45" s="14" t="s">
        <v>298</v>
      </c>
      <c r="E45" s="14" t="s">
        <v>314</v>
      </c>
      <c r="F45" s="15" t="s">
        <v>330</v>
      </c>
      <c r="G45" s="16" t="s">
        <v>361</v>
      </c>
      <c r="H45" s="13">
        <v>34841</v>
      </c>
      <c r="I45" s="14" t="s">
        <v>491</v>
      </c>
      <c r="J45" s="14" t="s">
        <v>504</v>
      </c>
      <c r="K45" s="13">
        <v>43385</v>
      </c>
      <c r="L45" s="17">
        <v>60</v>
      </c>
      <c r="M45" s="13">
        <f t="shared" si="0"/>
        <v>43445</v>
      </c>
      <c r="N45" s="14"/>
      <c r="O45" s="14" t="s">
        <v>539</v>
      </c>
      <c r="P45" s="14"/>
      <c r="Q45" s="14"/>
      <c r="R45" s="13">
        <v>44683</v>
      </c>
      <c r="S45" s="13" t="s">
        <v>976</v>
      </c>
      <c r="T45" s="18"/>
    </row>
    <row r="46" spans="1:20" s="19" customFormat="1" ht="21" customHeight="1" x14ac:dyDescent="0.25">
      <c r="A46" s="12">
        <f>IF(B46="","",COUNTA($B$2:B46))</f>
        <v>45</v>
      </c>
      <c r="B46" s="13" t="s">
        <v>860</v>
      </c>
      <c r="C46" s="14"/>
      <c r="D46" s="14" t="s">
        <v>300</v>
      </c>
      <c r="E46" s="14" t="s">
        <v>311</v>
      </c>
      <c r="F46" s="22" t="s">
        <v>318</v>
      </c>
      <c r="G46" s="16" t="s">
        <v>320</v>
      </c>
      <c r="H46" s="13">
        <v>30007</v>
      </c>
      <c r="I46" s="14" t="s">
        <v>492</v>
      </c>
      <c r="J46" s="14" t="s">
        <v>507</v>
      </c>
      <c r="K46" s="13">
        <v>43389</v>
      </c>
      <c r="L46" s="17">
        <v>60</v>
      </c>
      <c r="M46" s="13">
        <f t="shared" si="0"/>
        <v>43449</v>
      </c>
      <c r="N46" s="14"/>
      <c r="O46" s="14" t="s">
        <v>538</v>
      </c>
      <c r="P46" s="14"/>
      <c r="Q46" s="14"/>
      <c r="R46" s="13">
        <v>44896</v>
      </c>
      <c r="S46" s="13" t="s">
        <v>973</v>
      </c>
      <c r="T46" s="18"/>
    </row>
    <row r="47" spans="1:20" s="19" customFormat="1" ht="21" customHeight="1" x14ac:dyDescent="0.25">
      <c r="A47" s="12">
        <f>IF(B47="","",COUNTA($B$2:B47))</f>
        <v>46</v>
      </c>
      <c r="B47" s="20" t="s">
        <v>153</v>
      </c>
      <c r="C47" s="14"/>
      <c r="D47" s="14" t="s">
        <v>298</v>
      </c>
      <c r="E47" s="21" t="s">
        <v>311</v>
      </c>
      <c r="F47" s="22" t="s">
        <v>316</v>
      </c>
      <c r="G47" s="16" t="s">
        <v>320</v>
      </c>
      <c r="H47" s="13">
        <v>31738</v>
      </c>
      <c r="I47" s="20" t="s">
        <v>492</v>
      </c>
      <c r="J47" s="14" t="s">
        <v>504</v>
      </c>
      <c r="K47" s="13">
        <v>43405</v>
      </c>
      <c r="L47" s="17">
        <v>60</v>
      </c>
      <c r="M47" s="13">
        <f t="shared" si="0"/>
        <v>43465</v>
      </c>
      <c r="N47" s="14" t="s">
        <v>495</v>
      </c>
      <c r="O47" s="16" t="s">
        <v>538</v>
      </c>
      <c r="P47" s="16">
        <v>4</v>
      </c>
      <c r="Q47" s="14" t="s">
        <v>502</v>
      </c>
      <c r="R47" s="23"/>
      <c r="S47" s="23"/>
      <c r="T47" s="24"/>
    </row>
    <row r="48" spans="1:20" s="19" customFormat="1" ht="21" customHeight="1" x14ac:dyDescent="0.25">
      <c r="A48" s="12">
        <f>IF(B48="","",COUNTA($B$2:B48))</f>
        <v>47</v>
      </c>
      <c r="B48" s="20" t="s">
        <v>48</v>
      </c>
      <c r="C48" s="14"/>
      <c r="D48" s="14" t="s">
        <v>298</v>
      </c>
      <c r="E48" s="21" t="s">
        <v>304</v>
      </c>
      <c r="F48" s="22" t="s">
        <v>315</v>
      </c>
      <c r="G48" s="16" t="s">
        <v>372</v>
      </c>
      <c r="H48" s="13">
        <v>29933</v>
      </c>
      <c r="I48" s="20" t="s">
        <v>491</v>
      </c>
      <c r="J48" s="14" t="s">
        <v>506</v>
      </c>
      <c r="K48" s="13">
        <v>43420</v>
      </c>
      <c r="L48" s="17">
        <v>60</v>
      </c>
      <c r="M48" s="13">
        <f t="shared" si="0"/>
        <v>43480</v>
      </c>
      <c r="N48" s="14" t="s">
        <v>495</v>
      </c>
      <c r="O48" s="16" t="s">
        <v>538</v>
      </c>
      <c r="P48" s="16">
        <v>4</v>
      </c>
      <c r="Q48" s="14" t="s">
        <v>502</v>
      </c>
      <c r="R48" s="23"/>
      <c r="S48" s="23"/>
      <c r="T48" s="24"/>
    </row>
    <row r="49" spans="1:20" s="19" customFormat="1" ht="21" customHeight="1" x14ac:dyDescent="0.25">
      <c r="A49" s="12">
        <f>IF(B49="","",COUNTA($B$2:B49))</f>
        <v>48</v>
      </c>
      <c r="B49" s="13" t="s">
        <v>617</v>
      </c>
      <c r="C49" s="14"/>
      <c r="D49" s="14" t="s">
        <v>299</v>
      </c>
      <c r="E49" s="14" t="s">
        <v>313</v>
      </c>
      <c r="F49" s="15" t="s">
        <v>944</v>
      </c>
      <c r="G49" s="14" t="s">
        <v>457</v>
      </c>
      <c r="H49" s="13">
        <v>33640</v>
      </c>
      <c r="I49" s="14" t="s">
        <v>492</v>
      </c>
      <c r="J49" s="14" t="s">
        <v>504</v>
      </c>
      <c r="K49" s="13">
        <v>43486</v>
      </c>
      <c r="L49" s="17">
        <v>60</v>
      </c>
      <c r="M49" s="13">
        <f t="shared" si="0"/>
        <v>43546</v>
      </c>
      <c r="N49" s="14"/>
      <c r="O49" s="14" t="s">
        <v>539</v>
      </c>
      <c r="P49" s="14"/>
      <c r="Q49" s="14"/>
      <c r="R49" s="13">
        <v>44392</v>
      </c>
      <c r="S49" s="13" t="s">
        <v>972</v>
      </c>
      <c r="T49" s="18"/>
    </row>
    <row r="50" spans="1:20" s="19" customFormat="1" ht="21" customHeight="1" x14ac:dyDescent="0.25">
      <c r="A50" s="12">
        <f>IF(B50="","",COUNTA($B$2:B50))</f>
        <v>49</v>
      </c>
      <c r="B50" s="13" t="s">
        <v>643</v>
      </c>
      <c r="C50" s="14"/>
      <c r="D50" s="14" t="s">
        <v>299</v>
      </c>
      <c r="E50" s="14" t="s">
        <v>311</v>
      </c>
      <c r="F50" s="22" t="s">
        <v>316</v>
      </c>
      <c r="G50" s="16" t="s">
        <v>320</v>
      </c>
      <c r="H50" s="13">
        <v>33373</v>
      </c>
      <c r="I50" s="14" t="s">
        <v>492</v>
      </c>
      <c r="J50" s="14" t="s">
        <v>507</v>
      </c>
      <c r="K50" s="13">
        <v>43507</v>
      </c>
      <c r="L50" s="17">
        <v>60</v>
      </c>
      <c r="M50" s="13">
        <f t="shared" si="0"/>
        <v>43567</v>
      </c>
      <c r="N50" s="14"/>
      <c r="O50" s="14" t="s">
        <v>938</v>
      </c>
      <c r="P50" s="14"/>
      <c r="Q50" s="14"/>
      <c r="R50" s="13">
        <v>44496</v>
      </c>
      <c r="S50" s="13" t="s">
        <v>972</v>
      </c>
      <c r="T50" s="18"/>
    </row>
    <row r="51" spans="1:20" s="19" customFormat="1" ht="21" customHeight="1" x14ac:dyDescent="0.25">
      <c r="A51" s="12">
        <f>IF(B51="","",COUNTA($B$2:B51))</f>
        <v>50</v>
      </c>
      <c r="B51" s="13" t="s">
        <v>600</v>
      </c>
      <c r="C51" s="14"/>
      <c r="D51" s="14" t="s">
        <v>298</v>
      </c>
      <c r="E51" s="14" t="s">
        <v>313</v>
      </c>
      <c r="F51" s="15" t="s">
        <v>942</v>
      </c>
      <c r="G51" s="14" t="s">
        <v>959</v>
      </c>
      <c r="H51" s="13">
        <v>32767</v>
      </c>
      <c r="I51" s="14" t="s">
        <v>492</v>
      </c>
      <c r="J51" s="14" t="s">
        <v>504</v>
      </c>
      <c r="K51" s="13">
        <v>43508</v>
      </c>
      <c r="L51" s="17">
        <v>60</v>
      </c>
      <c r="M51" s="13">
        <f t="shared" si="0"/>
        <v>43568</v>
      </c>
      <c r="N51" s="14"/>
      <c r="O51" s="14" t="s">
        <v>539</v>
      </c>
      <c r="P51" s="14"/>
      <c r="Q51" s="14"/>
      <c r="R51" s="13">
        <v>44346</v>
      </c>
      <c r="S51" s="13" t="s">
        <v>977</v>
      </c>
      <c r="T51" s="18"/>
    </row>
    <row r="52" spans="1:20" s="19" customFormat="1" ht="21" customHeight="1" x14ac:dyDescent="0.25">
      <c r="A52" s="12">
        <f>IF(B52="","",COUNTA($B$2:B52))</f>
        <v>51</v>
      </c>
      <c r="B52" s="20" t="s">
        <v>175</v>
      </c>
      <c r="C52" s="14"/>
      <c r="D52" s="14" t="s">
        <v>300</v>
      </c>
      <c r="E52" s="21" t="s">
        <v>311</v>
      </c>
      <c r="F52" s="22" t="s">
        <v>316</v>
      </c>
      <c r="G52" s="16" t="s">
        <v>321</v>
      </c>
      <c r="H52" s="13">
        <v>30335</v>
      </c>
      <c r="I52" s="20" t="s">
        <v>492</v>
      </c>
      <c r="J52" s="14" t="s">
        <v>504</v>
      </c>
      <c r="K52" s="13">
        <v>43516</v>
      </c>
      <c r="L52" s="17">
        <v>60</v>
      </c>
      <c r="M52" s="13">
        <f t="shared" si="0"/>
        <v>43576</v>
      </c>
      <c r="N52" s="14" t="s">
        <v>495</v>
      </c>
      <c r="O52" s="16" t="s">
        <v>538</v>
      </c>
      <c r="P52" s="16">
        <v>4</v>
      </c>
      <c r="Q52" s="14" t="s">
        <v>502</v>
      </c>
      <c r="R52" s="23"/>
      <c r="S52" s="23"/>
      <c r="T52" s="24"/>
    </row>
    <row r="53" spans="1:20" s="19" customFormat="1" ht="21" customHeight="1" x14ac:dyDescent="0.25">
      <c r="A53" s="12">
        <f>IF(B53="","",COUNTA($B$2:B53))</f>
        <v>52</v>
      </c>
      <c r="B53" s="13" t="s">
        <v>693</v>
      </c>
      <c r="C53" s="14"/>
      <c r="D53" s="14" t="s">
        <v>299</v>
      </c>
      <c r="E53" s="14" t="s">
        <v>314</v>
      </c>
      <c r="F53" s="15" t="s">
        <v>328</v>
      </c>
      <c r="G53" s="16" t="s">
        <v>349</v>
      </c>
      <c r="H53" s="13">
        <v>35600</v>
      </c>
      <c r="I53" s="14" t="s">
        <v>491</v>
      </c>
      <c r="J53" s="14" t="s">
        <v>507</v>
      </c>
      <c r="K53" s="13">
        <v>43528</v>
      </c>
      <c r="L53" s="17">
        <v>60</v>
      </c>
      <c r="M53" s="13">
        <f t="shared" si="0"/>
        <v>43588</v>
      </c>
      <c r="N53" s="14"/>
      <c r="O53" s="14" t="s">
        <v>539</v>
      </c>
      <c r="P53" s="14"/>
      <c r="Q53" s="14"/>
      <c r="R53" s="13">
        <v>44620</v>
      </c>
      <c r="S53" s="13" t="s">
        <v>977</v>
      </c>
      <c r="T53" s="18"/>
    </row>
    <row r="54" spans="1:20" s="19" customFormat="1" ht="21" customHeight="1" x14ac:dyDescent="0.25">
      <c r="A54" s="12">
        <f>IF(B54="","",COUNTA($B$2:B54))</f>
        <v>53</v>
      </c>
      <c r="B54" s="13" t="s">
        <v>623</v>
      </c>
      <c r="C54" s="14"/>
      <c r="D54" s="14" t="s">
        <v>298</v>
      </c>
      <c r="E54" s="14" t="s">
        <v>314</v>
      </c>
      <c r="F54" s="22" t="s">
        <v>330</v>
      </c>
      <c r="G54" s="16" t="s">
        <v>361</v>
      </c>
      <c r="H54" s="13">
        <v>34845</v>
      </c>
      <c r="I54" s="14" t="s">
        <v>491</v>
      </c>
      <c r="J54" s="14" t="s">
        <v>504</v>
      </c>
      <c r="K54" s="13">
        <v>43528</v>
      </c>
      <c r="L54" s="17">
        <v>60</v>
      </c>
      <c r="M54" s="13">
        <f t="shared" si="0"/>
        <v>43588</v>
      </c>
      <c r="N54" s="14"/>
      <c r="O54" s="14"/>
      <c r="P54" s="14"/>
      <c r="Q54" s="14"/>
      <c r="R54" s="13">
        <v>44408</v>
      </c>
      <c r="S54" s="13" t="s">
        <v>973</v>
      </c>
      <c r="T54" s="18"/>
    </row>
    <row r="55" spans="1:20" s="19" customFormat="1" ht="21" customHeight="1" x14ac:dyDescent="0.25">
      <c r="A55" s="12">
        <f>IF(B55="","",COUNTA($B$2:B55))</f>
        <v>54</v>
      </c>
      <c r="B55" s="20" t="s">
        <v>270</v>
      </c>
      <c r="C55" s="14"/>
      <c r="D55" s="14" t="s">
        <v>298</v>
      </c>
      <c r="E55" s="21" t="s">
        <v>314</v>
      </c>
      <c r="F55" s="22" t="s">
        <v>329</v>
      </c>
      <c r="G55" s="16" t="s">
        <v>354</v>
      </c>
      <c r="H55" s="13">
        <v>35334</v>
      </c>
      <c r="I55" s="20" t="s">
        <v>492</v>
      </c>
      <c r="J55" s="14" t="s">
        <v>935</v>
      </c>
      <c r="K55" s="13">
        <v>43535</v>
      </c>
      <c r="L55" s="17">
        <v>60</v>
      </c>
      <c r="M55" s="13">
        <f t="shared" si="0"/>
        <v>43595</v>
      </c>
      <c r="N55" s="14" t="s">
        <v>495</v>
      </c>
      <c r="O55" s="16" t="s">
        <v>539</v>
      </c>
      <c r="P55" s="16">
        <v>4</v>
      </c>
      <c r="Q55" s="14" t="s">
        <v>502</v>
      </c>
      <c r="R55" s="23"/>
      <c r="S55" s="23"/>
      <c r="T55" s="24"/>
    </row>
    <row r="56" spans="1:20" s="19" customFormat="1" ht="21" customHeight="1" x14ac:dyDescent="0.25">
      <c r="A56" s="12">
        <f>IF(B56="","",COUNTA($B$2:B56))</f>
        <v>55</v>
      </c>
      <c r="B56" s="20" t="s">
        <v>146</v>
      </c>
      <c r="C56" s="14"/>
      <c r="D56" s="14" t="s">
        <v>298</v>
      </c>
      <c r="E56" s="21" t="s">
        <v>304</v>
      </c>
      <c r="F56" s="22" t="s">
        <v>367</v>
      </c>
      <c r="G56" s="16" t="s">
        <v>373</v>
      </c>
      <c r="H56" s="13">
        <v>34937</v>
      </c>
      <c r="I56" s="20" t="s">
        <v>492</v>
      </c>
      <c r="J56" s="14" t="s">
        <v>935</v>
      </c>
      <c r="K56" s="13">
        <v>43542</v>
      </c>
      <c r="L56" s="17">
        <v>60</v>
      </c>
      <c r="M56" s="13">
        <f t="shared" si="0"/>
        <v>43602</v>
      </c>
      <c r="N56" s="14" t="s">
        <v>495</v>
      </c>
      <c r="O56" s="16" t="s">
        <v>539</v>
      </c>
      <c r="P56" s="16">
        <v>4</v>
      </c>
      <c r="Q56" s="14" t="s">
        <v>502</v>
      </c>
      <c r="R56" s="23"/>
      <c r="S56" s="23"/>
      <c r="T56" s="24"/>
    </row>
    <row r="57" spans="1:20" s="19" customFormat="1" ht="21" customHeight="1" x14ac:dyDescent="0.25">
      <c r="A57" s="12">
        <f>IF(B57="","",COUNTA($B$2:B57))</f>
        <v>56</v>
      </c>
      <c r="B57" s="20" t="s">
        <v>233</v>
      </c>
      <c r="C57" s="14"/>
      <c r="D57" s="14" t="s">
        <v>298</v>
      </c>
      <c r="E57" s="21" t="s">
        <v>314</v>
      </c>
      <c r="F57" s="22" t="s">
        <v>327</v>
      </c>
      <c r="G57" s="16" t="s">
        <v>335</v>
      </c>
      <c r="H57" s="13">
        <v>32645</v>
      </c>
      <c r="I57" s="20" t="s">
        <v>491</v>
      </c>
      <c r="J57" s="14" t="s">
        <v>507</v>
      </c>
      <c r="K57" s="13">
        <v>43542</v>
      </c>
      <c r="L57" s="17">
        <v>60</v>
      </c>
      <c r="M57" s="13">
        <f t="shared" si="0"/>
        <v>43602</v>
      </c>
      <c r="N57" s="14" t="s">
        <v>495</v>
      </c>
      <c r="O57" s="16" t="s">
        <v>538</v>
      </c>
      <c r="P57" s="16">
        <v>4</v>
      </c>
      <c r="Q57" s="14" t="s">
        <v>502</v>
      </c>
      <c r="R57" s="23"/>
      <c r="S57" s="23"/>
      <c r="T57" s="24"/>
    </row>
    <row r="58" spans="1:20" s="19" customFormat="1" ht="21" customHeight="1" x14ac:dyDescent="0.25">
      <c r="A58" s="12">
        <f>IF(B58="","",COUNTA($B$2:B58))</f>
        <v>57</v>
      </c>
      <c r="B58" s="20" t="s">
        <v>237</v>
      </c>
      <c r="C58" s="14"/>
      <c r="D58" s="14" t="s">
        <v>298</v>
      </c>
      <c r="E58" s="21" t="s">
        <v>314</v>
      </c>
      <c r="F58" s="22" t="s">
        <v>327</v>
      </c>
      <c r="G58" s="16" t="s">
        <v>338</v>
      </c>
      <c r="H58" s="13">
        <v>35505</v>
      </c>
      <c r="I58" s="20" t="s">
        <v>492</v>
      </c>
      <c r="J58" s="14" t="s">
        <v>507</v>
      </c>
      <c r="K58" s="13">
        <v>43542</v>
      </c>
      <c r="L58" s="17">
        <v>60</v>
      </c>
      <c r="M58" s="13">
        <f t="shared" si="0"/>
        <v>43602</v>
      </c>
      <c r="N58" s="14" t="s">
        <v>495</v>
      </c>
      <c r="O58" s="16" t="s">
        <v>539</v>
      </c>
      <c r="P58" s="16">
        <v>3</v>
      </c>
      <c r="Q58" s="14" t="s">
        <v>501</v>
      </c>
      <c r="R58" s="23"/>
      <c r="S58" s="23"/>
      <c r="T58" s="24"/>
    </row>
    <row r="59" spans="1:20" s="19" customFormat="1" ht="21" customHeight="1" x14ac:dyDescent="0.25">
      <c r="A59" s="12">
        <f>IF(B59="","",COUNTA($B$2:B59))</f>
        <v>58</v>
      </c>
      <c r="B59" s="13" t="s">
        <v>825</v>
      </c>
      <c r="C59" s="14"/>
      <c r="D59" s="14" t="s">
        <v>298</v>
      </c>
      <c r="E59" s="14" t="s">
        <v>314</v>
      </c>
      <c r="F59" s="15" t="s">
        <v>327</v>
      </c>
      <c r="G59" s="16" t="s">
        <v>341</v>
      </c>
      <c r="H59" s="13">
        <v>33192</v>
      </c>
      <c r="I59" s="14" t="s">
        <v>492</v>
      </c>
      <c r="J59" s="14" t="s">
        <v>935</v>
      </c>
      <c r="K59" s="13">
        <v>43542</v>
      </c>
      <c r="L59" s="17">
        <v>60</v>
      </c>
      <c r="M59" s="13">
        <f t="shared" si="0"/>
        <v>43602</v>
      </c>
      <c r="N59" s="14"/>
      <c r="O59" s="14" t="s">
        <v>538</v>
      </c>
      <c r="P59" s="14"/>
      <c r="Q59" s="14"/>
      <c r="R59" s="13">
        <v>44788</v>
      </c>
      <c r="S59" s="13" t="s">
        <v>973</v>
      </c>
      <c r="T59" s="18"/>
    </row>
    <row r="60" spans="1:20" s="19" customFormat="1" ht="21" customHeight="1" x14ac:dyDescent="0.25">
      <c r="A60" s="12">
        <f>IF(B60="","",COUNTA($B$2:B60))</f>
        <v>59</v>
      </c>
      <c r="B60" s="13" t="s">
        <v>710</v>
      </c>
      <c r="C60" s="14"/>
      <c r="D60" s="14" t="s">
        <v>298</v>
      </c>
      <c r="E60" s="14" t="s">
        <v>314</v>
      </c>
      <c r="F60" s="15" t="s">
        <v>330</v>
      </c>
      <c r="G60" s="16" t="s">
        <v>361</v>
      </c>
      <c r="H60" s="13">
        <v>31760</v>
      </c>
      <c r="I60" s="14" t="s">
        <v>491</v>
      </c>
      <c r="J60" s="14" t="s">
        <v>935</v>
      </c>
      <c r="K60" s="13">
        <v>43542</v>
      </c>
      <c r="L60" s="17">
        <v>60</v>
      </c>
      <c r="M60" s="13">
        <f t="shared" si="0"/>
        <v>43602</v>
      </c>
      <c r="N60" s="14"/>
      <c r="O60" s="14" t="s">
        <v>938</v>
      </c>
      <c r="P60" s="14"/>
      <c r="Q60" s="14"/>
      <c r="R60" s="13">
        <v>44642</v>
      </c>
      <c r="S60" s="13" t="s">
        <v>976</v>
      </c>
      <c r="T60" s="18"/>
    </row>
    <row r="61" spans="1:20" s="19" customFormat="1" ht="21" customHeight="1" x14ac:dyDescent="0.25">
      <c r="A61" s="12">
        <f>IF(B61="","",COUNTA($B$2:B61))</f>
        <v>60</v>
      </c>
      <c r="B61" s="20" t="s">
        <v>234</v>
      </c>
      <c r="C61" s="14"/>
      <c r="D61" s="14" t="s">
        <v>298</v>
      </c>
      <c r="E61" s="21" t="s">
        <v>314</v>
      </c>
      <c r="F61" s="22" t="s">
        <v>327</v>
      </c>
      <c r="G61" s="16" t="s">
        <v>335</v>
      </c>
      <c r="H61" s="13">
        <v>32959</v>
      </c>
      <c r="I61" s="20" t="s">
        <v>491</v>
      </c>
      <c r="J61" s="14" t="s">
        <v>504</v>
      </c>
      <c r="K61" s="13">
        <v>43549</v>
      </c>
      <c r="L61" s="17">
        <v>60</v>
      </c>
      <c r="M61" s="13">
        <f t="shared" si="0"/>
        <v>43609</v>
      </c>
      <c r="N61" s="14" t="s">
        <v>495</v>
      </c>
      <c r="O61" s="16" t="s">
        <v>538</v>
      </c>
      <c r="P61" s="16">
        <v>4</v>
      </c>
      <c r="Q61" s="14" t="s">
        <v>502</v>
      </c>
      <c r="R61" s="23"/>
      <c r="S61" s="23"/>
      <c r="T61" s="24"/>
    </row>
    <row r="62" spans="1:20" s="19" customFormat="1" ht="21" customHeight="1" x14ac:dyDescent="0.25">
      <c r="A62" s="12">
        <f>IF(B62="","",COUNTA($B$2:B62))</f>
        <v>61</v>
      </c>
      <c r="B62" s="13" t="s">
        <v>646</v>
      </c>
      <c r="C62" s="14"/>
      <c r="D62" s="14" t="s">
        <v>298</v>
      </c>
      <c r="E62" s="14" t="s">
        <v>314</v>
      </c>
      <c r="F62" s="15" t="s">
        <v>328</v>
      </c>
      <c r="G62" s="16" t="s">
        <v>349</v>
      </c>
      <c r="H62" s="13">
        <v>32604</v>
      </c>
      <c r="I62" s="14" t="s">
        <v>492</v>
      </c>
      <c r="J62" s="14" t="s">
        <v>504</v>
      </c>
      <c r="K62" s="13">
        <v>43549</v>
      </c>
      <c r="L62" s="17">
        <v>60</v>
      </c>
      <c r="M62" s="13">
        <f t="shared" si="0"/>
        <v>43609</v>
      </c>
      <c r="N62" s="14"/>
      <c r="O62" s="14" t="s">
        <v>938</v>
      </c>
      <c r="P62" s="14"/>
      <c r="Q62" s="14"/>
      <c r="R62" s="13">
        <v>44501</v>
      </c>
      <c r="S62" s="13" t="s">
        <v>973</v>
      </c>
      <c r="T62" s="18"/>
    </row>
    <row r="63" spans="1:20" s="19" customFormat="1" ht="21" customHeight="1" x14ac:dyDescent="0.25">
      <c r="A63" s="12">
        <f>IF(B63="","",COUNTA($B$2:B63))</f>
        <v>62</v>
      </c>
      <c r="B63" s="13" t="s">
        <v>813</v>
      </c>
      <c r="C63" s="14"/>
      <c r="D63" s="14" t="s">
        <v>300</v>
      </c>
      <c r="E63" s="14" t="s">
        <v>311</v>
      </c>
      <c r="F63" s="22" t="s">
        <v>316</v>
      </c>
      <c r="G63" s="16" t="s">
        <v>320</v>
      </c>
      <c r="H63" s="13">
        <v>33850</v>
      </c>
      <c r="I63" s="14" t="s">
        <v>492</v>
      </c>
      <c r="J63" s="14" t="s">
        <v>507</v>
      </c>
      <c r="K63" s="13">
        <v>43556</v>
      </c>
      <c r="L63" s="17">
        <v>60</v>
      </c>
      <c r="M63" s="13">
        <f t="shared" si="0"/>
        <v>43616</v>
      </c>
      <c r="N63" s="14"/>
      <c r="O63" s="14" t="s">
        <v>538</v>
      </c>
      <c r="P63" s="14"/>
      <c r="Q63" s="14"/>
      <c r="R63" s="13">
        <v>44758</v>
      </c>
      <c r="S63" s="13" t="s">
        <v>976</v>
      </c>
      <c r="T63" s="18"/>
    </row>
    <row r="64" spans="1:20" s="19" customFormat="1" ht="21" customHeight="1" x14ac:dyDescent="0.25">
      <c r="A64" s="12">
        <f>IF(B64="","",COUNTA($B$2:B64))</f>
        <v>63</v>
      </c>
      <c r="B64" s="20" t="s">
        <v>253</v>
      </c>
      <c r="C64" s="14"/>
      <c r="D64" s="14" t="s">
        <v>299</v>
      </c>
      <c r="E64" s="21" t="s">
        <v>314</v>
      </c>
      <c r="F64" s="22" t="s">
        <v>327</v>
      </c>
      <c r="G64" s="16" t="s">
        <v>341</v>
      </c>
      <c r="H64" s="13">
        <v>35494</v>
      </c>
      <c r="I64" s="20" t="s">
        <v>492</v>
      </c>
      <c r="J64" s="14" t="s">
        <v>507</v>
      </c>
      <c r="K64" s="13">
        <v>43566</v>
      </c>
      <c r="L64" s="17">
        <v>60</v>
      </c>
      <c r="M64" s="13">
        <f t="shared" si="0"/>
        <v>43626</v>
      </c>
      <c r="N64" s="14" t="s">
        <v>495</v>
      </c>
      <c r="O64" s="16" t="s">
        <v>539</v>
      </c>
      <c r="P64" s="16">
        <v>4</v>
      </c>
      <c r="Q64" s="14" t="s">
        <v>502</v>
      </c>
      <c r="R64" s="23"/>
      <c r="S64" s="23"/>
      <c r="T64" s="24"/>
    </row>
    <row r="65" spans="1:20" s="19" customFormat="1" ht="21" customHeight="1" x14ac:dyDescent="0.25">
      <c r="A65" s="12">
        <f>IF(B65="","",COUNTA($B$2:B65))</f>
        <v>64</v>
      </c>
      <c r="B65" s="20" t="s">
        <v>260</v>
      </c>
      <c r="C65" s="14"/>
      <c r="D65" s="14" t="s">
        <v>298</v>
      </c>
      <c r="E65" s="21" t="s">
        <v>314</v>
      </c>
      <c r="F65" s="22" t="s">
        <v>328</v>
      </c>
      <c r="G65" s="16" t="s">
        <v>347</v>
      </c>
      <c r="H65" s="13">
        <v>33628</v>
      </c>
      <c r="I65" s="20" t="s">
        <v>491</v>
      </c>
      <c r="J65" s="14" t="s">
        <v>507</v>
      </c>
      <c r="K65" s="13">
        <v>43571</v>
      </c>
      <c r="L65" s="17">
        <v>60</v>
      </c>
      <c r="M65" s="13">
        <f t="shared" si="0"/>
        <v>43631</v>
      </c>
      <c r="N65" s="14" t="s">
        <v>495</v>
      </c>
      <c r="O65" s="16" t="s">
        <v>538</v>
      </c>
      <c r="P65" s="16">
        <v>4</v>
      </c>
      <c r="Q65" s="14" t="s">
        <v>502</v>
      </c>
      <c r="R65" s="23"/>
      <c r="S65" s="23"/>
      <c r="T65" s="24"/>
    </row>
    <row r="66" spans="1:20" s="19" customFormat="1" ht="21" customHeight="1" x14ac:dyDescent="0.25">
      <c r="A66" s="12">
        <f>IF(B66="","",COUNTA($B$2:B66))</f>
        <v>65</v>
      </c>
      <c r="B66" s="13" t="s">
        <v>599</v>
      </c>
      <c r="C66" s="14"/>
      <c r="D66" s="14" t="s">
        <v>298</v>
      </c>
      <c r="E66" s="14" t="s">
        <v>301</v>
      </c>
      <c r="F66" s="15" t="s">
        <v>464</v>
      </c>
      <c r="G66" s="16" t="s">
        <v>469</v>
      </c>
      <c r="H66" s="13">
        <v>32392</v>
      </c>
      <c r="I66" s="14" t="s">
        <v>491</v>
      </c>
      <c r="J66" s="14" t="s">
        <v>504</v>
      </c>
      <c r="K66" s="13">
        <v>43572</v>
      </c>
      <c r="L66" s="17">
        <v>60</v>
      </c>
      <c r="M66" s="13">
        <f t="shared" ref="M66:M129" si="1">K66+L66</f>
        <v>43632</v>
      </c>
      <c r="N66" s="14"/>
      <c r="O66" s="14" t="s">
        <v>938</v>
      </c>
      <c r="P66" s="14"/>
      <c r="Q66" s="14"/>
      <c r="R66" s="13">
        <v>44341</v>
      </c>
      <c r="S66" s="13" t="s">
        <v>975</v>
      </c>
      <c r="T66" s="18"/>
    </row>
    <row r="67" spans="1:20" s="19" customFormat="1" ht="21" customHeight="1" x14ac:dyDescent="0.25">
      <c r="A67" s="12">
        <f>IF(B67="","",COUNTA($B$2:B67))</f>
        <v>66</v>
      </c>
      <c r="B67" s="20" t="s">
        <v>154</v>
      </c>
      <c r="C67" s="14"/>
      <c r="D67" s="14" t="s">
        <v>298</v>
      </c>
      <c r="E67" s="21" t="s">
        <v>311</v>
      </c>
      <c r="F67" s="22" t="s">
        <v>316</v>
      </c>
      <c r="G67" s="16" t="s">
        <v>320</v>
      </c>
      <c r="H67" s="13">
        <v>32012</v>
      </c>
      <c r="I67" s="20" t="s">
        <v>492</v>
      </c>
      <c r="J67" s="14" t="s">
        <v>504</v>
      </c>
      <c r="K67" s="13">
        <v>43584</v>
      </c>
      <c r="L67" s="17">
        <v>60</v>
      </c>
      <c r="M67" s="13">
        <f t="shared" si="1"/>
        <v>43644</v>
      </c>
      <c r="N67" s="14" t="s">
        <v>495</v>
      </c>
      <c r="O67" s="16" t="s">
        <v>538</v>
      </c>
      <c r="P67" s="16">
        <v>3</v>
      </c>
      <c r="Q67" s="14" t="s">
        <v>501</v>
      </c>
      <c r="R67" s="23"/>
      <c r="S67" s="23"/>
      <c r="T67" s="24"/>
    </row>
    <row r="68" spans="1:20" s="19" customFormat="1" ht="21" customHeight="1" x14ac:dyDescent="0.25">
      <c r="A68" s="12">
        <f>IF(B68="","",COUNTA($B$2:B68))</f>
        <v>67</v>
      </c>
      <c r="B68" s="20" t="s">
        <v>155</v>
      </c>
      <c r="C68" s="14"/>
      <c r="D68" s="14" t="s">
        <v>298</v>
      </c>
      <c r="E68" s="21" t="s">
        <v>311</v>
      </c>
      <c r="F68" s="22" t="s">
        <v>316</v>
      </c>
      <c r="G68" s="16" t="s">
        <v>320</v>
      </c>
      <c r="H68" s="13">
        <v>32481</v>
      </c>
      <c r="I68" s="20" t="s">
        <v>492</v>
      </c>
      <c r="J68" s="14" t="s">
        <v>507</v>
      </c>
      <c r="K68" s="13">
        <v>43587</v>
      </c>
      <c r="L68" s="17">
        <v>60</v>
      </c>
      <c r="M68" s="13">
        <f t="shared" si="1"/>
        <v>43647</v>
      </c>
      <c r="N68" s="14" t="s">
        <v>495</v>
      </c>
      <c r="O68" s="16" t="s">
        <v>538</v>
      </c>
      <c r="P68" s="16">
        <v>3</v>
      </c>
      <c r="Q68" s="14" t="s">
        <v>501</v>
      </c>
      <c r="R68" s="23"/>
      <c r="S68" s="23"/>
      <c r="T68" s="24"/>
    </row>
    <row r="69" spans="1:20" s="19" customFormat="1" ht="21" customHeight="1" x14ac:dyDescent="0.25">
      <c r="A69" s="12">
        <f>IF(B69="","",COUNTA($B$2:B69))</f>
        <v>68</v>
      </c>
      <c r="B69" s="20" t="s">
        <v>18</v>
      </c>
      <c r="C69" s="14"/>
      <c r="D69" s="14" t="s">
        <v>298</v>
      </c>
      <c r="E69" s="21" t="s">
        <v>302</v>
      </c>
      <c r="F69" s="22" t="s">
        <v>302</v>
      </c>
      <c r="G69" s="16" t="s">
        <v>398</v>
      </c>
      <c r="H69" s="13">
        <v>33080</v>
      </c>
      <c r="I69" s="20" t="s">
        <v>491</v>
      </c>
      <c r="J69" s="14" t="s">
        <v>504</v>
      </c>
      <c r="K69" s="13">
        <v>43591</v>
      </c>
      <c r="L69" s="17">
        <v>60</v>
      </c>
      <c r="M69" s="13">
        <f t="shared" si="1"/>
        <v>43651</v>
      </c>
      <c r="N69" s="14" t="s">
        <v>495</v>
      </c>
      <c r="O69" s="16" t="s">
        <v>538</v>
      </c>
      <c r="P69" s="16">
        <v>3</v>
      </c>
      <c r="Q69" s="14" t="s">
        <v>501</v>
      </c>
      <c r="R69" s="23"/>
      <c r="S69" s="23"/>
      <c r="T69" s="24"/>
    </row>
    <row r="70" spans="1:20" s="19" customFormat="1" ht="21" customHeight="1" x14ac:dyDescent="0.25">
      <c r="A70" s="12">
        <f>IF(B70="","",COUNTA($B$2:B70))</f>
        <v>69</v>
      </c>
      <c r="B70" s="20" t="s">
        <v>30</v>
      </c>
      <c r="C70" s="14"/>
      <c r="D70" s="14" t="s">
        <v>298</v>
      </c>
      <c r="E70" s="21" t="s">
        <v>301</v>
      </c>
      <c r="F70" s="22" t="s">
        <v>464</v>
      </c>
      <c r="G70" s="16" t="s">
        <v>472</v>
      </c>
      <c r="H70" s="13">
        <v>30414</v>
      </c>
      <c r="I70" s="20" t="s">
        <v>491</v>
      </c>
      <c r="J70" s="14" t="s">
        <v>504</v>
      </c>
      <c r="K70" s="13">
        <v>43591</v>
      </c>
      <c r="L70" s="17">
        <v>60</v>
      </c>
      <c r="M70" s="13">
        <f t="shared" si="1"/>
        <v>43651</v>
      </c>
      <c r="N70" s="14" t="s">
        <v>495</v>
      </c>
      <c r="O70" s="16" t="s">
        <v>538</v>
      </c>
      <c r="P70" s="16">
        <v>3</v>
      </c>
      <c r="Q70" s="14" t="s">
        <v>501</v>
      </c>
      <c r="R70" s="23"/>
      <c r="S70" s="23"/>
      <c r="T70" s="24"/>
    </row>
    <row r="71" spans="1:20" s="19" customFormat="1" ht="21" customHeight="1" x14ac:dyDescent="0.25">
      <c r="A71" s="12">
        <f>IF(B71="","",COUNTA($B$2:B71))</f>
        <v>70</v>
      </c>
      <c r="B71" s="20" t="s">
        <v>517</v>
      </c>
      <c r="C71" s="14"/>
      <c r="D71" s="14" t="s">
        <v>298</v>
      </c>
      <c r="E71" s="21" t="s">
        <v>314</v>
      </c>
      <c r="F71" s="22" t="s">
        <v>327</v>
      </c>
      <c r="G71" s="16" t="s">
        <v>339</v>
      </c>
      <c r="H71" s="13">
        <v>36417</v>
      </c>
      <c r="I71" s="20" t="s">
        <v>492</v>
      </c>
      <c r="J71" s="14" t="s">
        <v>935</v>
      </c>
      <c r="K71" s="13">
        <v>43601</v>
      </c>
      <c r="L71" s="17">
        <v>60</v>
      </c>
      <c r="M71" s="13">
        <f t="shared" si="1"/>
        <v>43661</v>
      </c>
      <c r="N71" s="14" t="s">
        <v>495</v>
      </c>
      <c r="O71" s="16" t="s">
        <v>538</v>
      </c>
      <c r="P71" s="16">
        <v>3</v>
      </c>
      <c r="Q71" s="14" t="s">
        <v>501</v>
      </c>
      <c r="R71" s="13">
        <v>45215</v>
      </c>
      <c r="S71" s="13" t="s">
        <v>975</v>
      </c>
      <c r="T71" s="24"/>
    </row>
    <row r="72" spans="1:20" s="19" customFormat="1" ht="21" customHeight="1" x14ac:dyDescent="0.25">
      <c r="A72" s="12">
        <f>IF(B72="","",COUNTA($B$2:B72))</f>
        <v>71</v>
      </c>
      <c r="B72" s="13" t="s">
        <v>848</v>
      </c>
      <c r="C72" s="14"/>
      <c r="D72" s="14" t="s">
        <v>298</v>
      </c>
      <c r="E72" s="14" t="s">
        <v>314</v>
      </c>
      <c r="F72" s="15" t="s">
        <v>327</v>
      </c>
      <c r="G72" s="16" t="s">
        <v>341</v>
      </c>
      <c r="H72" s="13">
        <v>34692</v>
      </c>
      <c r="I72" s="14" t="s">
        <v>492</v>
      </c>
      <c r="J72" s="14" t="s">
        <v>507</v>
      </c>
      <c r="K72" s="13">
        <v>43601</v>
      </c>
      <c r="L72" s="17">
        <v>60</v>
      </c>
      <c r="M72" s="13">
        <f t="shared" si="1"/>
        <v>43661</v>
      </c>
      <c r="N72" s="14"/>
      <c r="O72" s="14" t="s">
        <v>539</v>
      </c>
      <c r="P72" s="14"/>
      <c r="Q72" s="14"/>
      <c r="R72" s="13">
        <v>44850</v>
      </c>
      <c r="S72" s="13" t="s">
        <v>972</v>
      </c>
      <c r="T72" s="18"/>
    </row>
    <row r="73" spans="1:20" s="19" customFormat="1" ht="21" customHeight="1" x14ac:dyDescent="0.25">
      <c r="A73" s="12">
        <f>IF(B73="","",COUNTA($B$2:B73))</f>
        <v>72</v>
      </c>
      <c r="B73" s="20" t="s">
        <v>40</v>
      </c>
      <c r="C73" s="14"/>
      <c r="D73" s="14" t="s">
        <v>298</v>
      </c>
      <c r="E73" s="21" t="s">
        <v>304</v>
      </c>
      <c r="F73" s="22" t="s">
        <v>367</v>
      </c>
      <c r="G73" s="16" t="s">
        <v>376</v>
      </c>
      <c r="H73" s="13">
        <v>34224</v>
      </c>
      <c r="I73" s="20" t="s">
        <v>491</v>
      </c>
      <c r="J73" s="14" t="s">
        <v>504</v>
      </c>
      <c r="K73" s="13">
        <v>43605</v>
      </c>
      <c r="L73" s="17">
        <v>60</v>
      </c>
      <c r="M73" s="13">
        <f t="shared" si="1"/>
        <v>43665</v>
      </c>
      <c r="N73" s="14" t="s">
        <v>495</v>
      </c>
      <c r="O73" s="16" t="s">
        <v>538</v>
      </c>
      <c r="P73" s="16">
        <v>3</v>
      </c>
      <c r="Q73" s="14" t="s">
        <v>501</v>
      </c>
      <c r="R73" s="23"/>
      <c r="S73" s="23"/>
      <c r="T73" s="24"/>
    </row>
    <row r="74" spans="1:20" s="19" customFormat="1" ht="21" customHeight="1" x14ac:dyDescent="0.25">
      <c r="A74" s="12">
        <f>IF(B74="","",COUNTA($B$2:B74))</f>
        <v>73</v>
      </c>
      <c r="B74" s="20" t="s">
        <v>179</v>
      </c>
      <c r="C74" s="14"/>
      <c r="D74" s="14" t="s">
        <v>300</v>
      </c>
      <c r="E74" s="21" t="s">
        <v>311</v>
      </c>
      <c r="F74" s="22" t="s">
        <v>317</v>
      </c>
      <c r="G74" s="16" t="s">
        <v>320</v>
      </c>
      <c r="H74" s="13">
        <v>31959</v>
      </c>
      <c r="I74" s="20" t="s">
        <v>492</v>
      </c>
      <c r="J74" s="14" t="s">
        <v>506</v>
      </c>
      <c r="K74" s="13">
        <v>43605</v>
      </c>
      <c r="L74" s="17">
        <v>60</v>
      </c>
      <c r="M74" s="13">
        <f t="shared" si="1"/>
        <v>43665</v>
      </c>
      <c r="N74" s="14" t="s">
        <v>495</v>
      </c>
      <c r="O74" s="16" t="s">
        <v>538</v>
      </c>
      <c r="P74" s="16">
        <v>4</v>
      </c>
      <c r="Q74" s="14" t="s">
        <v>502</v>
      </c>
      <c r="R74" s="23"/>
      <c r="S74" s="23"/>
      <c r="T74" s="24"/>
    </row>
    <row r="75" spans="1:20" s="19" customFormat="1" ht="21" customHeight="1" x14ac:dyDescent="0.25">
      <c r="A75" s="12">
        <f>IF(B75="","",COUNTA($B$2:B75))</f>
        <v>74</v>
      </c>
      <c r="B75" s="20" t="s">
        <v>197</v>
      </c>
      <c r="C75" s="14"/>
      <c r="D75" s="14" t="s">
        <v>299</v>
      </c>
      <c r="E75" s="21" t="s">
        <v>311</v>
      </c>
      <c r="F75" s="22" t="s">
        <v>316</v>
      </c>
      <c r="G75" s="21" t="s">
        <v>320</v>
      </c>
      <c r="H75" s="13">
        <v>33622</v>
      </c>
      <c r="I75" s="20" t="s">
        <v>491</v>
      </c>
      <c r="J75" s="14" t="s">
        <v>507</v>
      </c>
      <c r="K75" s="13">
        <v>43605</v>
      </c>
      <c r="L75" s="17">
        <v>60</v>
      </c>
      <c r="M75" s="13">
        <f t="shared" si="1"/>
        <v>43665</v>
      </c>
      <c r="N75" s="14" t="s">
        <v>495</v>
      </c>
      <c r="O75" s="16" t="s">
        <v>539</v>
      </c>
      <c r="P75" s="16">
        <v>3</v>
      </c>
      <c r="Q75" s="14" t="s">
        <v>501</v>
      </c>
      <c r="R75" s="23"/>
      <c r="S75" s="23"/>
      <c r="T75" s="24"/>
    </row>
    <row r="76" spans="1:20" s="19" customFormat="1" ht="21" customHeight="1" x14ac:dyDescent="0.25">
      <c r="A76" s="12">
        <f>IF(B76="","",COUNTA($B$2:B76))</f>
        <v>75</v>
      </c>
      <c r="B76" s="13" t="s">
        <v>732</v>
      </c>
      <c r="C76" s="14"/>
      <c r="D76" s="14" t="s">
        <v>298</v>
      </c>
      <c r="E76" s="14" t="s">
        <v>301</v>
      </c>
      <c r="F76" s="15" t="s">
        <v>464</v>
      </c>
      <c r="G76" s="16" t="s">
        <v>483</v>
      </c>
      <c r="H76" s="13">
        <v>35212</v>
      </c>
      <c r="I76" s="14" t="s">
        <v>491</v>
      </c>
      <c r="J76" s="14" t="s">
        <v>504</v>
      </c>
      <c r="K76" s="13">
        <v>43609</v>
      </c>
      <c r="L76" s="17">
        <v>60</v>
      </c>
      <c r="M76" s="13">
        <f t="shared" si="1"/>
        <v>43669</v>
      </c>
      <c r="N76" s="14"/>
      <c r="O76" s="14" t="s">
        <v>539</v>
      </c>
      <c r="P76" s="14"/>
      <c r="Q76" s="14"/>
      <c r="R76" s="13">
        <v>44682</v>
      </c>
      <c r="S76" s="13" t="s">
        <v>977</v>
      </c>
      <c r="T76" s="18"/>
    </row>
    <row r="77" spans="1:20" s="19" customFormat="1" ht="21" customHeight="1" x14ac:dyDescent="0.25">
      <c r="A77" s="12">
        <f>IF(B77="","",COUNTA($B$2:B77))</f>
        <v>76</v>
      </c>
      <c r="B77" s="20" t="s">
        <v>24</v>
      </c>
      <c r="C77" s="14"/>
      <c r="D77" s="14" t="s">
        <v>298</v>
      </c>
      <c r="E77" s="21" t="s">
        <v>301</v>
      </c>
      <c r="F77" s="22" t="s">
        <v>465</v>
      </c>
      <c r="G77" s="16" t="s">
        <v>470</v>
      </c>
      <c r="H77" s="13">
        <v>32049</v>
      </c>
      <c r="I77" s="20" t="s">
        <v>491</v>
      </c>
      <c r="J77" s="14" t="s">
        <v>504</v>
      </c>
      <c r="K77" s="13">
        <v>43612</v>
      </c>
      <c r="L77" s="17">
        <v>60</v>
      </c>
      <c r="M77" s="13">
        <f t="shared" si="1"/>
        <v>43672</v>
      </c>
      <c r="N77" s="14" t="s">
        <v>495</v>
      </c>
      <c r="O77" s="16" t="s">
        <v>538</v>
      </c>
      <c r="P77" s="16">
        <v>3</v>
      </c>
      <c r="Q77" s="14" t="s">
        <v>501</v>
      </c>
      <c r="R77" s="23"/>
      <c r="S77" s="23"/>
      <c r="T77" s="24"/>
    </row>
    <row r="78" spans="1:20" s="19" customFormat="1" ht="21" customHeight="1" x14ac:dyDescent="0.25">
      <c r="A78" s="12">
        <f>IF(B78="","",COUNTA($B$2:B78))</f>
        <v>77</v>
      </c>
      <c r="B78" s="20" t="s">
        <v>89</v>
      </c>
      <c r="C78" s="20"/>
      <c r="D78" s="20" t="s">
        <v>298</v>
      </c>
      <c r="E78" s="20" t="s">
        <v>309</v>
      </c>
      <c r="F78" s="25" t="s">
        <v>399</v>
      </c>
      <c r="G78" s="16" t="s">
        <v>402</v>
      </c>
      <c r="H78" s="13">
        <v>34871</v>
      </c>
      <c r="I78" s="20" t="s">
        <v>491</v>
      </c>
      <c r="J78" s="14" t="s">
        <v>504</v>
      </c>
      <c r="K78" s="13">
        <v>43612</v>
      </c>
      <c r="L78" s="17">
        <v>60</v>
      </c>
      <c r="M78" s="13">
        <f t="shared" si="1"/>
        <v>43672</v>
      </c>
      <c r="N78" s="14" t="s">
        <v>495</v>
      </c>
      <c r="O78" s="16" t="s">
        <v>539</v>
      </c>
      <c r="P78" s="16">
        <v>3</v>
      </c>
      <c r="Q78" s="14" t="s">
        <v>501</v>
      </c>
      <c r="R78" s="23"/>
      <c r="S78" s="23"/>
      <c r="T78" s="24"/>
    </row>
    <row r="79" spans="1:20" s="19" customFormat="1" ht="21" customHeight="1" x14ac:dyDescent="0.25">
      <c r="A79" s="12">
        <f>IF(B79="","",COUNTA($B$2:B79))</f>
        <v>78</v>
      </c>
      <c r="B79" s="20" t="s">
        <v>157</v>
      </c>
      <c r="C79" s="14"/>
      <c r="D79" s="14" t="s">
        <v>298</v>
      </c>
      <c r="E79" s="21" t="s">
        <v>311</v>
      </c>
      <c r="F79" s="22" t="s">
        <v>315</v>
      </c>
      <c r="G79" s="16" t="s">
        <v>315</v>
      </c>
      <c r="H79" s="13">
        <v>34633</v>
      </c>
      <c r="I79" s="20" t="s">
        <v>491</v>
      </c>
      <c r="J79" s="14" t="s">
        <v>507</v>
      </c>
      <c r="K79" s="13">
        <v>43612</v>
      </c>
      <c r="L79" s="17">
        <v>60</v>
      </c>
      <c r="M79" s="13">
        <f t="shared" si="1"/>
        <v>43672</v>
      </c>
      <c r="N79" s="14" t="s">
        <v>495</v>
      </c>
      <c r="O79" s="16" t="s">
        <v>538</v>
      </c>
      <c r="P79" s="16">
        <v>4</v>
      </c>
      <c r="Q79" s="14" t="s">
        <v>502</v>
      </c>
      <c r="R79" s="23"/>
      <c r="S79" s="23"/>
      <c r="T79" s="24"/>
    </row>
    <row r="80" spans="1:20" s="19" customFormat="1" ht="21" customHeight="1" x14ac:dyDescent="0.25">
      <c r="A80" s="12">
        <f>IF(B80="","",COUNTA($B$2:B80))</f>
        <v>79</v>
      </c>
      <c r="B80" s="20" t="s">
        <v>31</v>
      </c>
      <c r="C80" s="14"/>
      <c r="D80" s="14" t="s">
        <v>298</v>
      </c>
      <c r="E80" s="21" t="s">
        <v>301</v>
      </c>
      <c r="F80" s="22" t="s">
        <v>464</v>
      </c>
      <c r="G80" s="16" t="s">
        <v>473</v>
      </c>
      <c r="H80" s="13">
        <v>32987</v>
      </c>
      <c r="I80" s="20" t="s">
        <v>491</v>
      </c>
      <c r="J80" s="14" t="s">
        <v>504</v>
      </c>
      <c r="K80" s="13">
        <v>43619</v>
      </c>
      <c r="L80" s="17">
        <v>60</v>
      </c>
      <c r="M80" s="13">
        <f t="shared" si="1"/>
        <v>43679</v>
      </c>
      <c r="N80" s="14" t="s">
        <v>495</v>
      </c>
      <c r="O80" s="16" t="s">
        <v>538</v>
      </c>
      <c r="P80" s="16">
        <v>3</v>
      </c>
      <c r="Q80" s="14" t="s">
        <v>501</v>
      </c>
      <c r="R80" s="23"/>
      <c r="S80" s="23"/>
      <c r="T80" s="24"/>
    </row>
    <row r="81" spans="1:20" s="19" customFormat="1" ht="21" customHeight="1" x14ac:dyDescent="0.25">
      <c r="A81" s="12">
        <f>IF(B81="","",COUNTA($B$2:B81))</f>
        <v>80</v>
      </c>
      <c r="B81" s="20" t="s">
        <v>128</v>
      </c>
      <c r="C81" s="14"/>
      <c r="D81" s="14" t="s">
        <v>299</v>
      </c>
      <c r="E81" s="21" t="s">
        <v>301</v>
      </c>
      <c r="F81" s="22" t="s">
        <v>464</v>
      </c>
      <c r="G81" s="16" t="s">
        <v>472</v>
      </c>
      <c r="H81" s="13">
        <v>34158</v>
      </c>
      <c r="I81" s="20" t="s">
        <v>491</v>
      </c>
      <c r="J81" s="14" t="s">
        <v>507</v>
      </c>
      <c r="K81" s="13">
        <v>43619</v>
      </c>
      <c r="L81" s="17">
        <v>60</v>
      </c>
      <c r="M81" s="13">
        <f t="shared" si="1"/>
        <v>43679</v>
      </c>
      <c r="N81" s="14" t="s">
        <v>495</v>
      </c>
      <c r="O81" s="16" t="s">
        <v>539</v>
      </c>
      <c r="P81" s="16">
        <v>4</v>
      </c>
      <c r="Q81" s="14" t="s">
        <v>502</v>
      </c>
      <c r="R81" s="23"/>
      <c r="S81" s="23"/>
      <c r="T81" s="24"/>
    </row>
    <row r="82" spans="1:20" s="19" customFormat="1" ht="21" customHeight="1" x14ac:dyDescent="0.25">
      <c r="A82" s="12">
        <f>IF(B82="","",COUNTA($B$2:B82))</f>
        <v>81</v>
      </c>
      <c r="B82" s="20" t="s">
        <v>176</v>
      </c>
      <c r="C82" s="14"/>
      <c r="D82" s="14" t="s">
        <v>300</v>
      </c>
      <c r="E82" s="21" t="s">
        <v>311</v>
      </c>
      <c r="F82" s="22" t="s">
        <v>316</v>
      </c>
      <c r="G82" s="16" t="s">
        <v>320</v>
      </c>
      <c r="H82" s="13">
        <v>31526</v>
      </c>
      <c r="I82" s="20" t="s">
        <v>492</v>
      </c>
      <c r="J82" s="14" t="s">
        <v>504</v>
      </c>
      <c r="K82" s="13">
        <v>43619</v>
      </c>
      <c r="L82" s="17">
        <v>60</v>
      </c>
      <c r="M82" s="13">
        <f t="shared" si="1"/>
        <v>43679</v>
      </c>
      <c r="N82" s="14" t="s">
        <v>495</v>
      </c>
      <c r="O82" s="16" t="s">
        <v>538</v>
      </c>
      <c r="P82" s="16">
        <v>3</v>
      </c>
      <c r="Q82" s="14" t="s">
        <v>501</v>
      </c>
      <c r="R82" s="23"/>
      <c r="S82" s="23"/>
      <c r="T82" s="24"/>
    </row>
    <row r="83" spans="1:20" s="19" customFormat="1" ht="21" customHeight="1" x14ac:dyDescent="0.25">
      <c r="A83" s="12">
        <f>IF(B83="","",COUNTA($B$2:B83))</f>
        <v>82</v>
      </c>
      <c r="B83" s="20" t="s">
        <v>23</v>
      </c>
      <c r="C83" s="14"/>
      <c r="D83" s="14" t="s">
        <v>298</v>
      </c>
      <c r="E83" s="21" t="s">
        <v>301</v>
      </c>
      <c r="F83" s="22" t="s">
        <v>465</v>
      </c>
      <c r="G83" s="16" t="s">
        <v>469</v>
      </c>
      <c r="H83" s="13">
        <v>33164</v>
      </c>
      <c r="I83" s="20" t="s">
        <v>491</v>
      </c>
      <c r="J83" s="14" t="s">
        <v>504</v>
      </c>
      <c r="K83" s="13">
        <v>43622</v>
      </c>
      <c r="L83" s="17">
        <v>60</v>
      </c>
      <c r="M83" s="13">
        <f t="shared" si="1"/>
        <v>43682</v>
      </c>
      <c r="N83" s="14" t="s">
        <v>495</v>
      </c>
      <c r="O83" s="16" t="s">
        <v>538</v>
      </c>
      <c r="P83" s="16">
        <v>3</v>
      </c>
      <c r="Q83" s="14" t="s">
        <v>501</v>
      </c>
      <c r="R83" s="23"/>
      <c r="S83" s="23"/>
      <c r="T83" s="24"/>
    </row>
    <row r="84" spans="1:20" s="19" customFormat="1" ht="21" customHeight="1" x14ac:dyDescent="0.25">
      <c r="A84" s="12">
        <f>IF(B84="","",COUNTA($B$2:B84))</f>
        <v>83</v>
      </c>
      <c r="B84" s="20" t="s">
        <v>34</v>
      </c>
      <c r="C84" s="14"/>
      <c r="D84" s="14" t="s">
        <v>299</v>
      </c>
      <c r="E84" s="21" t="s">
        <v>301</v>
      </c>
      <c r="F84" s="22" t="s">
        <v>464</v>
      </c>
      <c r="G84" s="16" t="s">
        <v>474</v>
      </c>
      <c r="H84" s="13">
        <v>32237</v>
      </c>
      <c r="I84" s="20" t="s">
        <v>491</v>
      </c>
      <c r="J84" s="14" t="s">
        <v>504</v>
      </c>
      <c r="K84" s="13">
        <v>43627</v>
      </c>
      <c r="L84" s="17">
        <v>60</v>
      </c>
      <c r="M84" s="13">
        <f t="shared" si="1"/>
        <v>43687</v>
      </c>
      <c r="N84" s="14" t="s">
        <v>495</v>
      </c>
      <c r="O84" s="16" t="s">
        <v>538</v>
      </c>
      <c r="P84" s="16">
        <v>3</v>
      </c>
      <c r="Q84" s="14" t="s">
        <v>501</v>
      </c>
      <c r="R84" s="23"/>
      <c r="S84" s="23"/>
      <c r="T84" s="24"/>
    </row>
    <row r="85" spans="1:20" s="19" customFormat="1" ht="21" customHeight="1" x14ac:dyDescent="0.25">
      <c r="A85" s="12">
        <f>IF(B85="","",COUNTA($B$2:B85))</f>
        <v>84</v>
      </c>
      <c r="B85" s="20" t="s">
        <v>143</v>
      </c>
      <c r="C85" s="14"/>
      <c r="D85" s="14" t="s">
        <v>298</v>
      </c>
      <c r="E85" s="21" t="s">
        <v>304</v>
      </c>
      <c r="F85" s="22" t="s">
        <v>315</v>
      </c>
      <c r="G85" s="16" t="s">
        <v>371</v>
      </c>
      <c r="H85" s="13">
        <v>27540</v>
      </c>
      <c r="I85" s="20" t="s">
        <v>492</v>
      </c>
      <c r="J85" s="14" t="s">
        <v>506</v>
      </c>
      <c r="K85" s="13">
        <v>43633</v>
      </c>
      <c r="L85" s="17">
        <v>60</v>
      </c>
      <c r="M85" s="13">
        <f t="shared" si="1"/>
        <v>43693</v>
      </c>
      <c r="N85" s="14" t="s">
        <v>495</v>
      </c>
      <c r="O85" s="16" t="s">
        <v>538</v>
      </c>
      <c r="P85" s="16">
        <v>3</v>
      </c>
      <c r="Q85" s="14" t="s">
        <v>501</v>
      </c>
      <c r="R85" s="23"/>
      <c r="S85" s="23"/>
      <c r="T85" s="24"/>
    </row>
    <row r="86" spans="1:20" s="19" customFormat="1" ht="21" customHeight="1" x14ac:dyDescent="0.25">
      <c r="A86" s="12">
        <f>IF(B86="","",COUNTA($B$2:B86))</f>
        <v>85</v>
      </c>
      <c r="B86" s="20" t="s">
        <v>589</v>
      </c>
      <c r="C86" s="14"/>
      <c r="D86" s="14" t="s">
        <v>298</v>
      </c>
      <c r="E86" s="21" t="s">
        <v>309</v>
      </c>
      <c r="F86" s="22" t="s">
        <v>399</v>
      </c>
      <c r="G86" s="16" t="s">
        <v>402</v>
      </c>
      <c r="H86" s="13">
        <v>34531</v>
      </c>
      <c r="I86" s="20" t="s">
        <v>491</v>
      </c>
      <c r="J86" s="14" t="s">
        <v>504</v>
      </c>
      <c r="K86" s="13">
        <v>43633</v>
      </c>
      <c r="L86" s="17">
        <v>60</v>
      </c>
      <c r="M86" s="13">
        <f t="shared" si="1"/>
        <v>43693</v>
      </c>
      <c r="N86" s="14"/>
      <c r="O86" s="16" t="s">
        <v>539</v>
      </c>
      <c r="P86" s="16"/>
      <c r="Q86" s="14"/>
      <c r="R86" s="13">
        <v>44317</v>
      </c>
      <c r="S86" s="13" t="s">
        <v>973</v>
      </c>
      <c r="T86" s="18"/>
    </row>
    <row r="87" spans="1:20" s="19" customFormat="1" ht="21" customHeight="1" x14ac:dyDescent="0.25">
      <c r="A87" s="12">
        <f>IF(B87="","",COUNTA($B$2:B87))</f>
        <v>86</v>
      </c>
      <c r="B87" s="13" t="s">
        <v>729</v>
      </c>
      <c r="C87" s="14"/>
      <c r="D87" s="14" t="s">
        <v>298</v>
      </c>
      <c r="E87" s="14" t="s">
        <v>311</v>
      </c>
      <c r="F87" s="22" t="s">
        <v>318</v>
      </c>
      <c r="G87" s="16" t="s">
        <v>320</v>
      </c>
      <c r="H87" s="13">
        <v>31116</v>
      </c>
      <c r="I87" s="14" t="s">
        <v>492</v>
      </c>
      <c r="J87" s="14" t="s">
        <v>507</v>
      </c>
      <c r="K87" s="13">
        <v>43637</v>
      </c>
      <c r="L87" s="17">
        <v>60</v>
      </c>
      <c r="M87" s="13">
        <f t="shared" si="1"/>
        <v>43697</v>
      </c>
      <c r="N87" s="14"/>
      <c r="O87" s="14" t="s">
        <v>538</v>
      </c>
      <c r="P87" s="14"/>
      <c r="Q87" s="14"/>
      <c r="R87" s="13">
        <v>44680</v>
      </c>
      <c r="S87" s="13" t="s">
        <v>975</v>
      </c>
      <c r="T87" s="18"/>
    </row>
    <row r="88" spans="1:20" s="19" customFormat="1" ht="21" customHeight="1" x14ac:dyDescent="0.25">
      <c r="A88" s="12">
        <f>IF(B88="","",COUNTA($B$2:B88))</f>
        <v>87</v>
      </c>
      <c r="B88" s="20" t="s">
        <v>136</v>
      </c>
      <c r="C88" s="14"/>
      <c r="D88" s="14" t="s">
        <v>298</v>
      </c>
      <c r="E88" s="21" t="s">
        <v>301</v>
      </c>
      <c r="F88" s="22" t="s">
        <v>465</v>
      </c>
      <c r="G88" s="16" t="s">
        <v>470</v>
      </c>
      <c r="H88" s="13">
        <v>34130</v>
      </c>
      <c r="I88" s="20" t="s">
        <v>491</v>
      </c>
      <c r="J88" s="14" t="s">
        <v>504</v>
      </c>
      <c r="K88" s="13">
        <v>43640</v>
      </c>
      <c r="L88" s="17">
        <v>60</v>
      </c>
      <c r="M88" s="13">
        <f t="shared" si="1"/>
        <v>43700</v>
      </c>
      <c r="N88" s="14" t="s">
        <v>495</v>
      </c>
      <c r="O88" s="16" t="s">
        <v>539</v>
      </c>
      <c r="P88" s="16">
        <v>3</v>
      </c>
      <c r="Q88" s="14" t="s">
        <v>501</v>
      </c>
      <c r="R88" s="23"/>
      <c r="S88" s="23"/>
      <c r="T88" s="24"/>
    </row>
    <row r="89" spans="1:20" s="19" customFormat="1" ht="21" customHeight="1" x14ac:dyDescent="0.25">
      <c r="A89" s="12">
        <f>IF(B89="","",COUNTA($B$2:B89))</f>
        <v>88</v>
      </c>
      <c r="B89" s="20" t="s">
        <v>118</v>
      </c>
      <c r="C89" s="14"/>
      <c r="D89" s="14" t="s">
        <v>298</v>
      </c>
      <c r="E89" s="21" t="s">
        <v>310</v>
      </c>
      <c r="F89" s="22" t="s">
        <v>310</v>
      </c>
      <c r="G89" s="16" t="s">
        <v>427</v>
      </c>
      <c r="H89" s="13">
        <v>33743</v>
      </c>
      <c r="I89" s="20" t="s">
        <v>491</v>
      </c>
      <c r="J89" s="14" t="s">
        <v>507</v>
      </c>
      <c r="K89" s="13">
        <v>43642</v>
      </c>
      <c r="L89" s="17">
        <v>60</v>
      </c>
      <c r="M89" s="13">
        <f t="shared" si="1"/>
        <v>43702</v>
      </c>
      <c r="N89" s="14" t="s">
        <v>495</v>
      </c>
      <c r="O89" s="16" t="s">
        <v>539</v>
      </c>
      <c r="P89" s="16">
        <v>4</v>
      </c>
      <c r="Q89" s="14" t="s">
        <v>502</v>
      </c>
      <c r="R89" s="23"/>
      <c r="S89" s="23"/>
      <c r="T89" s="24"/>
    </row>
    <row r="90" spans="1:20" s="19" customFormat="1" ht="21" customHeight="1" x14ac:dyDescent="0.25">
      <c r="A90" s="12">
        <f>IF(B90="","",COUNTA($B$2:B90))</f>
        <v>89</v>
      </c>
      <c r="B90" s="20" t="s">
        <v>16</v>
      </c>
      <c r="C90" s="14"/>
      <c r="D90" s="14" t="s">
        <v>298</v>
      </c>
      <c r="E90" s="21" t="s">
        <v>302</v>
      </c>
      <c r="F90" s="22" t="s">
        <v>394</v>
      </c>
      <c r="G90" s="16" t="s">
        <v>397</v>
      </c>
      <c r="H90" s="13">
        <v>33166</v>
      </c>
      <c r="I90" s="20" t="s">
        <v>491</v>
      </c>
      <c r="J90" s="14" t="s">
        <v>505</v>
      </c>
      <c r="K90" s="13">
        <v>43647</v>
      </c>
      <c r="L90" s="17">
        <v>60</v>
      </c>
      <c r="M90" s="13">
        <f t="shared" si="1"/>
        <v>43707</v>
      </c>
      <c r="N90" s="14" t="s">
        <v>495</v>
      </c>
      <c r="O90" s="16" t="s">
        <v>539</v>
      </c>
      <c r="P90" s="16">
        <v>3</v>
      </c>
      <c r="Q90" s="14" t="s">
        <v>501</v>
      </c>
      <c r="R90" s="23"/>
      <c r="S90" s="23"/>
      <c r="T90" s="24"/>
    </row>
    <row r="91" spans="1:20" s="19" customFormat="1" ht="21" customHeight="1" x14ac:dyDescent="0.25">
      <c r="A91" s="12">
        <f>IF(B91="","",COUNTA($B$2:B91))</f>
        <v>90</v>
      </c>
      <c r="B91" s="20" t="s">
        <v>45</v>
      </c>
      <c r="C91" s="14"/>
      <c r="D91" s="14" t="s">
        <v>298</v>
      </c>
      <c r="E91" s="21" t="s">
        <v>304</v>
      </c>
      <c r="F91" s="22" t="s">
        <v>315</v>
      </c>
      <c r="G91" s="16" t="s">
        <v>380</v>
      </c>
      <c r="H91" s="13">
        <v>35440</v>
      </c>
      <c r="I91" s="20" t="s">
        <v>491</v>
      </c>
      <c r="J91" s="14" t="s">
        <v>504</v>
      </c>
      <c r="K91" s="13">
        <v>43647</v>
      </c>
      <c r="L91" s="17">
        <v>60</v>
      </c>
      <c r="M91" s="13">
        <f t="shared" si="1"/>
        <v>43707</v>
      </c>
      <c r="N91" s="14" t="s">
        <v>495</v>
      </c>
      <c r="O91" s="16" t="s">
        <v>539</v>
      </c>
      <c r="P91" s="16">
        <v>3</v>
      </c>
      <c r="Q91" s="14" t="s">
        <v>501</v>
      </c>
      <c r="R91" s="23"/>
      <c r="S91" s="23"/>
      <c r="T91" s="24"/>
    </row>
    <row r="92" spans="1:20" s="19" customFormat="1" ht="21" customHeight="1" x14ac:dyDescent="0.25">
      <c r="A92" s="12">
        <f>IF(B92="","",COUNTA($B$2:B92))</f>
        <v>91</v>
      </c>
      <c r="B92" s="20" t="s">
        <v>158</v>
      </c>
      <c r="C92" s="14"/>
      <c r="D92" s="14" t="s">
        <v>298</v>
      </c>
      <c r="E92" s="21" t="s">
        <v>311</v>
      </c>
      <c r="F92" s="22" t="s">
        <v>315</v>
      </c>
      <c r="G92" s="16" t="s">
        <v>315</v>
      </c>
      <c r="H92" s="13">
        <v>33002</v>
      </c>
      <c r="I92" s="20" t="s">
        <v>491</v>
      </c>
      <c r="J92" s="14" t="s">
        <v>504</v>
      </c>
      <c r="K92" s="13">
        <v>43647</v>
      </c>
      <c r="L92" s="17">
        <v>60</v>
      </c>
      <c r="M92" s="13">
        <f t="shared" si="1"/>
        <v>43707</v>
      </c>
      <c r="N92" s="14" t="s">
        <v>495</v>
      </c>
      <c r="O92" s="16" t="s">
        <v>538</v>
      </c>
      <c r="P92" s="16">
        <v>3</v>
      </c>
      <c r="Q92" s="14" t="s">
        <v>501</v>
      </c>
      <c r="R92" s="23"/>
      <c r="S92" s="23"/>
      <c r="T92" s="24"/>
    </row>
    <row r="93" spans="1:20" s="19" customFormat="1" ht="21" customHeight="1" x14ac:dyDescent="0.25">
      <c r="A93" s="12">
        <f>IF(B93="","",COUNTA($B$2:B93))</f>
        <v>92</v>
      </c>
      <c r="B93" s="20" t="s">
        <v>272</v>
      </c>
      <c r="C93" s="14"/>
      <c r="D93" s="14" t="s">
        <v>298</v>
      </c>
      <c r="E93" s="21" t="s">
        <v>314</v>
      </c>
      <c r="F93" s="22" t="s">
        <v>329</v>
      </c>
      <c r="G93" s="16" t="s">
        <v>355</v>
      </c>
      <c r="H93" s="13">
        <v>30584</v>
      </c>
      <c r="I93" s="20" t="s">
        <v>492</v>
      </c>
      <c r="J93" s="14" t="s">
        <v>506</v>
      </c>
      <c r="K93" s="13">
        <v>43647</v>
      </c>
      <c r="L93" s="17">
        <v>60</v>
      </c>
      <c r="M93" s="13">
        <f t="shared" si="1"/>
        <v>43707</v>
      </c>
      <c r="N93" s="14" t="s">
        <v>495</v>
      </c>
      <c r="O93" s="16" t="s">
        <v>538</v>
      </c>
      <c r="P93" s="16">
        <v>4</v>
      </c>
      <c r="Q93" s="14" t="s">
        <v>502</v>
      </c>
      <c r="R93" s="23"/>
      <c r="S93" s="23"/>
      <c r="T93" s="24"/>
    </row>
    <row r="94" spans="1:20" s="19" customFormat="1" ht="21" customHeight="1" x14ac:dyDescent="0.25">
      <c r="A94" s="12">
        <f>IF(B94="","",COUNTA($B$2:B94))</f>
        <v>93</v>
      </c>
      <c r="B94" s="20" t="s">
        <v>278</v>
      </c>
      <c r="C94" s="14"/>
      <c r="D94" s="14" t="s">
        <v>300</v>
      </c>
      <c r="E94" s="21" t="s">
        <v>314</v>
      </c>
      <c r="F94" s="22" t="s">
        <v>329</v>
      </c>
      <c r="G94" s="16" t="s">
        <v>355</v>
      </c>
      <c r="H94" s="13">
        <v>33906</v>
      </c>
      <c r="I94" s="20" t="s">
        <v>492</v>
      </c>
      <c r="J94" s="14" t="s">
        <v>507</v>
      </c>
      <c r="K94" s="13">
        <v>43649</v>
      </c>
      <c r="L94" s="17">
        <v>60</v>
      </c>
      <c r="M94" s="13">
        <f t="shared" si="1"/>
        <v>43709</v>
      </c>
      <c r="N94" s="14" t="s">
        <v>495</v>
      </c>
      <c r="O94" s="16" t="s">
        <v>539</v>
      </c>
      <c r="P94" s="16">
        <v>3</v>
      </c>
      <c r="Q94" s="14" t="s">
        <v>501</v>
      </c>
      <c r="R94" s="23"/>
      <c r="S94" s="23"/>
      <c r="T94" s="24"/>
    </row>
    <row r="95" spans="1:20" s="19" customFormat="1" ht="21" customHeight="1" x14ac:dyDescent="0.25">
      <c r="A95" s="12">
        <f>IF(B95="","",COUNTA($B$2:B95))</f>
        <v>94</v>
      </c>
      <c r="B95" s="13" t="s">
        <v>873</v>
      </c>
      <c r="C95" s="14"/>
      <c r="D95" s="14" t="s">
        <v>298</v>
      </c>
      <c r="E95" s="14" t="s">
        <v>302</v>
      </c>
      <c r="F95" s="22" t="s">
        <v>302</v>
      </c>
      <c r="G95" s="16" t="s">
        <v>398</v>
      </c>
      <c r="H95" s="13">
        <v>33745</v>
      </c>
      <c r="I95" s="14" t="s">
        <v>491</v>
      </c>
      <c r="J95" s="14" t="s">
        <v>504</v>
      </c>
      <c r="K95" s="13">
        <v>43649</v>
      </c>
      <c r="L95" s="17">
        <v>60</v>
      </c>
      <c r="M95" s="13">
        <f t="shared" si="1"/>
        <v>43709</v>
      </c>
      <c r="N95" s="14"/>
      <c r="O95" s="14" t="s">
        <v>538</v>
      </c>
      <c r="P95" s="14"/>
      <c r="Q95" s="14"/>
      <c r="R95" s="13">
        <v>44958</v>
      </c>
      <c r="S95" s="13" t="s">
        <v>977</v>
      </c>
      <c r="T95" s="18"/>
    </row>
    <row r="96" spans="1:20" s="19" customFormat="1" ht="21" customHeight="1" x14ac:dyDescent="0.25">
      <c r="A96" s="12">
        <f>IF(B96="","",COUNTA($B$2:B96))</f>
        <v>95</v>
      </c>
      <c r="B96" s="13" t="s">
        <v>673</v>
      </c>
      <c r="C96" s="14"/>
      <c r="D96" s="14" t="s">
        <v>298</v>
      </c>
      <c r="E96" s="14" t="s">
        <v>314</v>
      </c>
      <c r="F96" s="22" t="s">
        <v>330</v>
      </c>
      <c r="G96" s="16" t="s">
        <v>361</v>
      </c>
      <c r="H96" s="13">
        <v>34042</v>
      </c>
      <c r="I96" s="14" t="s">
        <v>491</v>
      </c>
      <c r="J96" s="14" t="s">
        <v>507</v>
      </c>
      <c r="K96" s="13">
        <v>43651</v>
      </c>
      <c r="L96" s="17">
        <v>60</v>
      </c>
      <c r="M96" s="13">
        <f t="shared" si="1"/>
        <v>43711</v>
      </c>
      <c r="N96" s="14"/>
      <c r="O96" s="14" t="s">
        <v>539</v>
      </c>
      <c r="P96" s="14"/>
      <c r="Q96" s="14"/>
      <c r="R96" s="13">
        <v>44593</v>
      </c>
      <c r="S96" s="13" t="s">
        <v>977</v>
      </c>
      <c r="T96" s="18"/>
    </row>
    <row r="97" spans="1:20" s="19" customFormat="1" ht="21" customHeight="1" x14ac:dyDescent="0.25">
      <c r="A97" s="12">
        <f>IF(B97="","",COUNTA($B$2:B97))</f>
        <v>96</v>
      </c>
      <c r="B97" s="20" t="s">
        <v>514</v>
      </c>
      <c r="C97" s="14"/>
      <c r="D97" s="14" t="s">
        <v>298</v>
      </c>
      <c r="E97" s="21" t="s">
        <v>314</v>
      </c>
      <c r="F97" s="22" t="s">
        <v>327</v>
      </c>
      <c r="G97" s="16" t="s">
        <v>339</v>
      </c>
      <c r="H97" s="13">
        <v>36273</v>
      </c>
      <c r="I97" s="20" t="s">
        <v>492</v>
      </c>
      <c r="J97" s="14" t="s">
        <v>935</v>
      </c>
      <c r="K97" s="13">
        <v>43654</v>
      </c>
      <c r="L97" s="17">
        <v>60</v>
      </c>
      <c r="M97" s="13">
        <f t="shared" si="1"/>
        <v>43714</v>
      </c>
      <c r="N97" s="14" t="s">
        <v>495</v>
      </c>
      <c r="O97" s="16" t="s">
        <v>539</v>
      </c>
      <c r="P97" s="16">
        <v>3</v>
      </c>
      <c r="Q97" s="14" t="s">
        <v>501</v>
      </c>
      <c r="R97" s="13">
        <v>45215</v>
      </c>
      <c r="S97" s="13" t="s">
        <v>975</v>
      </c>
      <c r="T97" s="24"/>
    </row>
    <row r="98" spans="1:20" s="19" customFormat="1" ht="21" customHeight="1" x14ac:dyDescent="0.25">
      <c r="A98" s="12">
        <f>IF(B98="","",COUNTA($B$2:B98))</f>
        <v>97</v>
      </c>
      <c r="B98" s="13" t="s">
        <v>698</v>
      </c>
      <c r="C98" s="14"/>
      <c r="D98" s="14" t="s">
        <v>298</v>
      </c>
      <c r="E98" s="14" t="s">
        <v>314</v>
      </c>
      <c r="F98" s="15" t="s">
        <v>327</v>
      </c>
      <c r="G98" s="16" t="s">
        <v>341</v>
      </c>
      <c r="H98" s="13">
        <v>35254</v>
      </c>
      <c r="I98" s="14" t="s">
        <v>492</v>
      </c>
      <c r="J98" s="14" t="s">
        <v>507</v>
      </c>
      <c r="K98" s="13">
        <v>43654</v>
      </c>
      <c r="L98" s="17">
        <v>60</v>
      </c>
      <c r="M98" s="13">
        <f t="shared" si="1"/>
        <v>43714</v>
      </c>
      <c r="N98" s="14"/>
      <c r="O98" s="14" t="s">
        <v>539</v>
      </c>
      <c r="P98" s="14"/>
      <c r="Q98" s="14"/>
      <c r="R98" s="13">
        <v>44621</v>
      </c>
      <c r="S98" s="13" t="s">
        <v>973</v>
      </c>
      <c r="T98" s="18"/>
    </row>
    <row r="99" spans="1:20" s="19" customFormat="1" ht="21" customHeight="1" x14ac:dyDescent="0.25">
      <c r="A99" s="12">
        <f>IF(B99="","",COUNTA($B$2:B99))</f>
        <v>98</v>
      </c>
      <c r="B99" s="20" t="s">
        <v>15</v>
      </c>
      <c r="C99" s="14"/>
      <c r="D99" s="14" t="s">
        <v>298</v>
      </c>
      <c r="E99" s="21" t="s">
        <v>302</v>
      </c>
      <c r="F99" s="22" t="s">
        <v>394</v>
      </c>
      <c r="G99" s="16" t="s">
        <v>396</v>
      </c>
      <c r="H99" s="13">
        <v>32248</v>
      </c>
      <c r="I99" s="20" t="s">
        <v>491</v>
      </c>
      <c r="J99" s="14" t="s">
        <v>504</v>
      </c>
      <c r="K99" s="27">
        <v>43656</v>
      </c>
      <c r="L99" s="28">
        <v>61</v>
      </c>
      <c r="M99" s="13">
        <f t="shared" si="1"/>
        <v>43717</v>
      </c>
      <c r="N99" s="14" t="s">
        <v>495</v>
      </c>
      <c r="O99" s="16" t="s">
        <v>538</v>
      </c>
      <c r="P99" s="16">
        <v>3</v>
      </c>
      <c r="Q99" s="14" t="s">
        <v>501</v>
      </c>
      <c r="R99" s="23"/>
      <c r="S99" s="23"/>
      <c r="T99" s="24"/>
    </row>
    <row r="100" spans="1:20" s="19" customFormat="1" ht="21" customHeight="1" x14ac:dyDescent="0.25">
      <c r="A100" s="12">
        <f>IF(B100="","",COUNTA($B$2:B100))</f>
        <v>99</v>
      </c>
      <c r="B100" s="20" t="s">
        <v>571</v>
      </c>
      <c r="C100" s="14"/>
      <c r="D100" s="14" t="s">
        <v>299</v>
      </c>
      <c r="E100" s="21" t="s">
        <v>314</v>
      </c>
      <c r="F100" s="22" t="s">
        <v>330</v>
      </c>
      <c r="G100" s="16" t="s">
        <v>361</v>
      </c>
      <c r="H100" s="13">
        <v>26458</v>
      </c>
      <c r="I100" s="20" t="s">
        <v>491</v>
      </c>
      <c r="J100" s="14" t="s">
        <v>507</v>
      </c>
      <c r="K100" s="13">
        <v>43657</v>
      </c>
      <c r="L100" s="17">
        <v>60</v>
      </c>
      <c r="M100" s="13">
        <f t="shared" si="1"/>
        <v>43717</v>
      </c>
      <c r="N100" s="14"/>
      <c r="O100" s="16" t="s">
        <v>938</v>
      </c>
      <c r="P100" s="16"/>
      <c r="Q100" s="14"/>
      <c r="R100" s="13">
        <v>44287</v>
      </c>
      <c r="S100" s="13" t="s">
        <v>973</v>
      </c>
      <c r="T100" s="18"/>
    </row>
    <row r="101" spans="1:20" s="19" customFormat="1" ht="21" customHeight="1" x14ac:dyDescent="0.25">
      <c r="A101" s="12">
        <f>IF(B101="","",COUNTA($B$2:B101))</f>
        <v>100</v>
      </c>
      <c r="B101" s="20" t="s">
        <v>284</v>
      </c>
      <c r="C101" s="14"/>
      <c r="D101" s="14" t="s">
        <v>298</v>
      </c>
      <c r="E101" s="21" t="s">
        <v>314</v>
      </c>
      <c r="F101" s="22" t="s">
        <v>330</v>
      </c>
      <c r="G101" s="16" t="s">
        <v>360</v>
      </c>
      <c r="H101" s="13">
        <v>31731</v>
      </c>
      <c r="I101" s="20" t="s">
        <v>491</v>
      </c>
      <c r="J101" s="14" t="s">
        <v>504</v>
      </c>
      <c r="K101" s="13">
        <v>43661</v>
      </c>
      <c r="L101" s="17">
        <v>60</v>
      </c>
      <c r="M101" s="13">
        <f t="shared" si="1"/>
        <v>43721</v>
      </c>
      <c r="N101" s="14" t="s">
        <v>495</v>
      </c>
      <c r="O101" s="16" t="s">
        <v>538</v>
      </c>
      <c r="P101" s="16">
        <v>4</v>
      </c>
      <c r="Q101" s="14" t="s">
        <v>502</v>
      </c>
      <c r="R101" s="23"/>
      <c r="S101" s="23"/>
      <c r="T101" s="24"/>
    </row>
    <row r="102" spans="1:20" s="19" customFormat="1" ht="21" customHeight="1" x14ac:dyDescent="0.25">
      <c r="A102" s="12">
        <f>IF(B102="","",COUNTA($B$2:B102))</f>
        <v>101</v>
      </c>
      <c r="B102" s="20" t="s">
        <v>286</v>
      </c>
      <c r="C102" s="14"/>
      <c r="D102" s="14" t="s">
        <v>298</v>
      </c>
      <c r="E102" s="21" t="s">
        <v>314</v>
      </c>
      <c r="F102" s="22" t="s">
        <v>330</v>
      </c>
      <c r="G102" s="16" t="s">
        <v>359</v>
      </c>
      <c r="H102" s="13">
        <v>33904</v>
      </c>
      <c r="I102" s="20" t="s">
        <v>491</v>
      </c>
      <c r="J102" s="14" t="s">
        <v>504</v>
      </c>
      <c r="K102" s="13">
        <v>43661</v>
      </c>
      <c r="L102" s="17">
        <v>60</v>
      </c>
      <c r="M102" s="13">
        <f t="shared" si="1"/>
        <v>43721</v>
      </c>
      <c r="N102" s="14" t="s">
        <v>495</v>
      </c>
      <c r="O102" s="16" t="s">
        <v>538</v>
      </c>
      <c r="P102" s="16">
        <v>3</v>
      </c>
      <c r="Q102" s="14" t="s">
        <v>501</v>
      </c>
      <c r="R102" s="23"/>
      <c r="S102" s="23"/>
      <c r="T102" s="24"/>
    </row>
    <row r="103" spans="1:20" s="19" customFormat="1" ht="21" customHeight="1" x14ac:dyDescent="0.25">
      <c r="A103" s="12">
        <f>IF(B103="","",COUNTA($B$2:B103))</f>
        <v>102</v>
      </c>
      <c r="B103" s="13" t="s">
        <v>609</v>
      </c>
      <c r="C103" s="14"/>
      <c r="D103" s="14" t="s">
        <v>298</v>
      </c>
      <c r="E103" s="14" t="s">
        <v>314</v>
      </c>
      <c r="F103" s="22" t="s">
        <v>330</v>
      </c>
      <c r="G103" s="16" t="s">
        <v>361</v>
      </c>
      <c r="H103" s="13">
        <v>35630</v>
      </c>
      <c r="I103" s="14" t="s">
        <v>491</v>
      </c>
      <c r="J103" s="14" t="s">
        <v>504</v>
      </c>
      <c r="K103" s="13">
        <v>43678</v>
      </c>
      <c r="L103" s="17">
        <v>60</v>
      </c>
      <c r="M103" s="13">
        <f t="shared" si="1"/>
        <v>43738</v>
      </c>
      <c r="N103" s="14"/>
      <c r="O103" s="14" t="s">
        <v>539</v>
      </c>
      <c r="P103" s="14"/>
      <c r="Q103" s="14"/>
      <c r="R103" s="13">
        <v>44364</v>
      </c>
      <c r="S103" s="13" t="s">
        <v>973</v>
      </c>
      <c r="T103" s="18"/>
    </row>
    <row r="104" spans="1:20" s="19" customFormat="1" ht="21" customHeight="1" x14ac:dyDescent="0.25">
      <c r="A104" s="12">
        <f>IF(B104="","",COUNTA($B$2:B104))</f>
        <v>103</v>
      </c>
      <c r="B104" s="20" t="s">
        <v>145</v>
      </c>
      <c r="C104" s="14"/>
      <c r="D104" s="14" t="s">
        <v>298</v>
      </c>
      <c r="E104" s="21" t="s">
        <v>304</v>
      </c>
      <c r="F104" s="22" t="s">
        <v>315</v>
      </c>
      <c r="G104" s="16" t="s">
        <v>372</v>
      </c>
      <c r="H104" s="13">
        <v>29514</v>
      </c>
      <c r="I104" s="20" t="s">
        <v>491</v>
      </c>
      <c r="J104" s="14" t="s">
        <v>506</v>
      </c>
      <c r="K104" s="13">
        <v>43679</v>
      </c>
      <c r="L104" s="17">
        <v>60</v>
      </c>
      <c r="M104" s="13">
        <f t="shared" si="1"/>
        <v>43739</v>
      </c>
      <c r="N104" s="14" t="s">
        <v>495</v>
      </c>
      <c r="O104" s="16" t="s">
        <v>538</v>
      </c>
      <c r="P104" s="16">
        <v>2</v>
      </c>
      <c r="Q104" s="14" t="s">
        <v>500</v>
      </c>
      <c r="R104" s="23"/>
      <c r="S104" s="23"/>
      <c r="T104" s="24"/>
    </row>
    <row r="105" spans="1:20" s="19" customFormat="1" ht="21" customHeight="1" x14ac:dyDescent="0.25">
      <c r="A105" s="12">
        <f>IF(B105="","",COUNTA($B$2:B105))</f>
        <v>104</v>
      </c>
      <c r="B105" s="13" t="s">
        <v>824</v>
      </c>
      <c r="C105" s="14"/>
      <c r="D105" s="14" t="s">
        <v>298</v>
      </c>
      <c r="E105" s="14" t="s">
        <v>301</v>
      </c>
      <c r="F105" s="15" t="s">
        <v>464</v>
      </c>
      <c r="G105" s="16" t="s">
        <v>483</v>
      </c>
      <c r="H105" s="13">
        <v>33139</v>
      </c>
      <c r="I105" s="14" t="s">
        <v>491</v>
      </c>
      <c r="J105" s="14" t="s">
        <v>504</v>
      </c>
      <c r="K105" s="13">
        <v>43685</v>
      </c>
      <c r="L105" s="17">
        <v>60</v>
      </c>
      <c r="M105" s="13">
        <f t="shared" si="1"/>
        <v>43745</v>
      </c>
      <c r="N105" s="14"/>
      <c r="O105" s="14" t="s">
        <v>538</v>
      </c>
      <c r="P105" s="14"/>
      <c r="Q105" s="14"/>
      <c r="R105" s="13">
        <v>44784</v>
      </c>
      <c r="S105" s="13" t="s">
        <v>972</v>
      </c>
      <c r="T105" s="18"/>
    </row>
    <row r="106" spans="1:20" s="19" customFormat="1" ht="21" customHeight="1" x14ac:dyDescent="0.25">
      <c r="A106" s="12">
        <f>IF(B106="","",COUNTA($B$2:B106))</f>
        <v>105</v>
      </c>
      <c r="B106" s="13" t="s">
        <v>716</v>
      </c>
      <c r="C106" s="14"/>
      <c r="D106" s="14" t="s">
        <v>298</v>
      </c>
      <c r="E106" s="14" t="s">
        <v>301</v>
      </c>
      <c r="F106" s="15" t="s">
        <v>464</v>
      </c>
      <c r="G106" s="16" t="s">
        <v>483</v>
      </c>
      <c r="H106" s="13">
        <v>33953</v>
      </c>
      <c r="I106" s="14" t="s">
        <v>491</v>
      </c>
      <c r="J106" s="14" t="s">
        <v>504</v>
      </c>
      <c r="K106" s="13">
        <v>43689</v>
      </c>
      <c r="L106" s="17">
        <v>60</v>
      </c>
      <c r="M106" s="13">
        <f t="shared" si="1"/>
        <v>43749</v>
      </c>
      <c r="N106" s="14"/>
      <c r="O106" s="14" t="s">
        <v>938</v>
      </c>
      <c r="P106" s="14"/>
      <c r="Q106" s="14"/>
      <c r="R106" s="13">
        <v>44652</v>
      </c>
      <c r="S106" s="13" t="s">
        <v>977</v>
      </c>
      <c r="T106" s="18"/>
    </row>
    <row r="107" spans="1:20" s="19" customFormat="1" ht="21" customHeight="1" x14ac:dyDescent="0.25">
      <c r="A107" s="12">
        <f>IF(B107="","",COUNTA($B$2:B107))</f>
        <v>106</v>
      </c>
      <c r="B107" s="20" t="s">
        <v>593</v>
      </c>
      <c r="C107" s="14"/>
      <c r="D107" s="14" t="s">
        <v>298</v>
      </c>
      <c r="E107" s="21" t="s">
        <v>304</v>
      </c>
      <c r="F107" s="15" t="s">
        <v>967</v>
      </c>
      <c r="G107" s="26" t="s">
        <v>946</v>
      </c>
      <c r="H107" s="13">
        <v>29956</v>
      </c>
      <c r="I107" s="20" t="s">
        <v>491</v>
      </c>
      <c r="J107" s="14" t="s">
        <v>504</v>
      </c>
      <c r="K107" s="13">
        <v>43711</v>
      </c>
      <c r="L107" s="17">
        <v>60</v>
      </c>
      <c r="M107" s="13">
        <f t="shared" si="1"/>
        <v>43771</v>
      </c>
      <c r="N107" s="14"/>
      <c r="O107" s="16" t="s">
        <v>938</v>
      </c>
      <c r="P107" s="16"/>
      <c r="Q107" s="14"/>
      <c r="R107" s="13">
        <v>44323</v>
      </c>
      <c r="S107" s="13" t="s">
        <v>977</v>
      </c>
      <c r="T107" s="18"/>
    </row>
    <row r="108" spans="1:20" s="19" customFormat="1" ht="21" customHeight="1" x14ac:dyDescent="0.25">
      <c r="A108" s="12">
        <f>IF(B108="","",COUNTA($B$2:B108))</f>
        <v>107</v>
      </c>
      <c r="B108" s="13" t="s">
        <v>897</v>
      </c>
      <c r="C108" s="14"/>
      <c r="D108" s="14" t="s">
        <v>299</v>
      </c>
      <c r="E108" s="14" t="s">
        <v>314</v>
      </c>
      <c r="F108" s="15" t="s">
        <v>329</v>
      </c>
      <c r="G108" s="16" t="s">
        <v>353</v>
      </c>
      <c r="H108" s="13">
        <v>34488</v>
      </c>
      <c r="I108" s="14" t="s">
        <v>492</v>
      </c>
      <c r="J108" s="14" t="s">
        <v>507</v>
      </c>
      <c r="K108" s="13">
        <v>43717</v>
      </c>
      <c r="L108" s="17">
        <v>60</v>
      </c>
      <c r="M108" s="13">
        <f t="shared" si="1"/>
        <v>43777</v>
      </c>
      <c r="N108" s="14"/>
      <c r="O108" s="14" t="s">
        <v>539</v>
      </c>
      <c r="P108" s="14"/>
      <c r="Q108" s="14"/>
      <c r="R108" s="13">
        <v>45047</v>
      </c>
      <c r="S108" s="13" t="s">
        <v>973</v>
      </c>
      <c r="T108" s="24"/>
    </row>
    <row r="109" spans="1:20" s="19" customFormat="1" ht="21" customHeight="1" x14ac:dyDescent="0.25">
      <c r="A109" s="12">
        <f>IF(B109="","",COUNTA($B$2:B109))</f>
        <v>108</v>
      </c>
      <c r="B109" s="13" t="s">
        <v>814</v>
      </c>
      <c r="C109" s="14"/>
      <c r="D109" s="14" t="s">
        <v>298</v>
      </c>
      <c r="E109" s="14" t="s">
        <v>314</v>
      </c>
      <c r="F109" s="15" t="s">
        <v>327</v>
      </c>
      <c r="G109" s="16" t="s">
        <v>340</v>
      </c>
      <c r="H109" s="13">
        <v>33574</v>
      </c>
      <c r="I109" s="14" t="s">
        <v>491</v>
      </c>
      <c r="J109" s="14" t="s">
        <v>507</v>
      </c>
      <c r="K109" s="13">
        <v>43724</v>
      </c>
      <c r="L109" s="17">
        <v>60</v>
      </c>
      <c r="M109" s="13">
        <f t="shared" si="1"/>
        <v>43784</v>
      </c>
      <c r="N109" s="14"/>
      <c r="O109" s="14" t="s">
        <v>538</v>
      </c>
      <c r="P109" s="14"/>
      <c r="Q109" s="14"/>
      <c r="R109" s="13">
        <v>44772</v>
      </c>
      <c r="S109" s="13" t="s">
        <v>975</v>
      </c>
      <c r="T109" s="18"/>
    </row>
    <row r="110" spans="1:20" s="19" customFormat="1" ht="21" customHeight="1" x14ac:dyDescent="0.25">
      <c r="A110" s="12">
        <f>IF(B110="","",COUNTA($B$2:B110))</f>
        <v>109</v>
      </c>
      <c r="B110" s="13" t="s">
        <v>730</v>
      </c>
      <c r="C110" s="14"/>
      <c r="D110" s="14" t="s">
        <v>298</v>
      </c>
      <c r="E110" s="14" t="s">
        <v>311</v>
      </c>
      <c r="F110" s="22" t="s">
        <v>316</v>
      </c>
      <c r="G110" s="16" t="s">
        <v>320</v>
      </c>
      <c r="H110" s="13">
        <v>33503</v>
      </c>
      <c r="I110" s="14" t="s">
        <v>492</v>
      </c>
      <c r="J110" s="14" t="s">
        <v>507</v>
      </c>
      <c r="K110" s="13">
        <v>43731</v>
      </c>
      <c r="L110" s="17">
        <v>60</v>
      </c>
      <c r="M110" s="13">
        <f t="shared" si="1"/>
        <v>43791</v>
      </c>
      <c r="N110" s="14"/>
      <c r="O110" s="14" t="s">
        <v>538</v>
      </c>
      <c r="P110" s="14"/>
      <c r="Q110" s="14"/>
      <c r="R110" s="13">
        <v>44681</v>
      </c>
      <c r="S110" s="13" t="s">
        <v>972</v>
      </c>
      <c r="T110" s="18"/>
    </row>
    <row r="111" spans="1:20" s="19" customFormat="1" ht="21" customHeight="1" x14ac:dyDescent="0.25">
      <c r="A111" s="12">
        <f>IF(B111="","",COUNTA($B$2:B111))</f>
        <v>110</v>
      </c>
      <c r="B111" s="20" t="s">
        <v>572</v>
      </c>
      <c r="C111" s="14"/>
      <c r="D111" s="14" t="s">
        <v>300</v>
      </c>
      <c r="E111" s="21" t="s">
        <v>314</v>
      </c>
      <c r="F111" s="22" t="s">
        <v>330</v>
      </c>
      <c r="G111" s="16" t="s">
        <v>361</v>
      </c>
      <c r="H111" s="13">
        <v>35712</v>
      </c>
      <c r="I111" s="20" t="s">
        <v>491</v>
      </c>
      <c r="J111" s="14" t="s">
        <v>504</v>
      </c>
      <c r="K111" s="13">
        <v>43739</v>
      </c>
      <c r="L111" s="17">
        <v>60</v>
      </c>
      <c r="M111" s="13">
        <f t="shared" si="1"/>
        <v>43799</v>
      </c>
      <c r="N111" s="14"/>
      <c r="O111" s="16" t="s">
        <v>539</v>
      </c>
      <c r="P111" s="16"/>
      <c r="Q111" s="14"/>
      <c r="R111" s="13">
        <v>44287</v>
      </c>
      <c r="S111" s="13" t="s">
        <v>977</v>
      </c>
      <c r="T111" s="18"/>
    </row>
    <row r="112" spans="1:20" s="19" customFormat="1" ht="21" customHeight="1" x14ac:dyDescent="0.25">
      <c r="A112" s="12">
        <f>IF(B112="","",COUNTA($B$2:B112))</f>
        <v>111</v>
      </c>
      <c r="B112" s="20" t="s">
        <v>119</v>
      </c>
      <c r="C112" s="14"/>
      <c r="D112" s="14" t="s">
        <v>299</v>
      </c>
      <c r="E112" s="21" t="s">
        <v>311</v>
      </c>
      <c r="F112" s="22" t="s">
        <v>326</v>
      </c>
      <c r="G112" s="21" t="s">
        <v>325</v>
      </c>
      <c r="H112" s="13">
        <v>25105</v>
      </c>
      <c r="I112" s="20" t="s">
        <v>492</v>
      </c>
      <c r="J112" s="14" t="s">
        <v>504</v>
      </c>
      <c r="K112" s="13">
        <v>43754</v>
      </c>
      <c r="L112" s="17">
        <v>60</v>
      </c>
      <c r="M112" s="13">
        <f t="shared" si="1"/>
        <v>43814</v>
      </c>
      <c r="N112" s="14" t="s">
        <v>495</v>
      </c>
      <c r="O112" s="16" t="s">
        <v>538</v>
      </c>
      <c r="P112" s="16">
        <v>3</v>
      </c>
      <c r="Q112" s="14" t="s">
        <v>501</v>
      </c>
      <c r="R112" s="23"/>
      <c r="S112" s="23"/>
      <c r="T112" s="24"/>
    </row>
    <row r="113" spans="1:20" s="19" customFormat="1" ht="21" customHeight="1" x14ac:dyDescent="0.25">
      <c r="A113" s="12">
        <f>IF(B113="","",COUNTA($B$2:B113))</f>
        <v>112</v>
      </c>
      <c r="B113" s="20" t="s">
        <v>185</v>
      </c>
      <c r="C113" s="14"/>
      <c r="D113" s="14" t="s">
        <v>299</v>
      </c>
      <c r="E113" s="21" t="s">
        <v>311</v>
      </c>
      <c r="F113" s="22" t="s">
        <v>316</v>
      </c>
      <c r="G113" s="16" t="s">
        <v>321</v>
      </c>
      <c r="H113" s="13">
        <v>33409</v>
      </c>
      <c r="I113" s="20" t="s">
        <v>492</v>
      </c>
      <c r="J113" s="14" t="s">
        <v>504</v>
      </c>
      <c r="K113" s="13">
        <v>43755</v>
      </c>
      <c r="L113" s="17">
        <v>60</v>
      </c>
      <c r="M113" s="13">
        <f t="shared" si="1"/>
        <v>43815</v>
      </c>
      <c r="N113" s="14" t="s">
        <v>495</v>
      </c>
      <c r="O113" s="16" t="s">
        <v>539</v>
      </c>
      <c r="P113" s="16">
        <v>3</v>
      </c>
      <c r="Q113" s="14" t="s">
        <v>501</v>
      </c>
      <c r="R113" s="23"/>
      <c r="S113" s="23"/>
      <c r="T113" s="24"/>
    </row>
    <row r="114" spans="1:20" s="19" customFormat="1" ht="21" customHeight="1" x14ac:dyDescent="0.25">
      <c r="A114" s="12">
        <f>IF(B114="","",COUNTA($B$2:B114))</f>
        <v>113</v>
      </c>
      <c r="B114" s="20" t="s">
        <v>181</v>
      </c>
      <c r="C114" s="14"/>
      <c r="D114" s="14" t="s">
        <v>300</v>
      </c>
      <c r="E114" s="21" t="s">
        <v>311</v>
      </c>
      <c r="F114" s="22" t="s">
        <v>318</v>
      </c>
      <c r="G114" s="16" t="s">
        <v>321</v>
      </c>
      <c r="H114" s="13">
        <v>31747</v>
      </c>
      <c r="I114" s="20" t="s">
        <v>492</v>
      </c>
      <c r="J114" s="14" t="s">
        <v>504</v>
      </c>
      <c r="K114" s="13">
        <v>43759</v>
      </c>
      <c r="L114" s="17">
        <v>60</v>
      </c>
      <c r="M114" s="13">
        <f t="shared" si="1"/>
        <v>43819</v>
      </c>
      <c r="N114" s="14" t="s">
        <v>495</v>
      </c>
      <c r="O114" s="16" t="s">
        <v>538</v>
      </c>
      <c r="P114" s="16">
        <v>2</v>
      </c>
      <c r="Q114" s="14" t="s">
        <v>500</v>
      </c>
      <c r="R114" s="23"/>
      <c r="S114" s="23"/>
      <c r="T114" s="24"/>
    </row>
    <row r="115" spans="1:20" s="19" customFormat="1" ht="21" customHeight="1" x14ac:dyDescent="0.25">
      <c r="A115" s="12">
        <f>IF(B115="","",COUNTA($B$2:B115))</f>
        <v>114</v>
      </c>
      <c r="B115" s="13" t="s">
        <v>875</v>
      </c>
      <c r="C115" s="14"/>
      <c r="D115" s="14" t="s">
        <v>298</v>
      </c>
      <c r="E115" s="14" t="s">
        <v>311</v>
      </c>
      <c r="F115" s="22" t="s">
        <v>318</v>
      </c>
      <c r="G115" s="16" t="s">
        <v>321</v>
      </c>
      <c r="H115" s="13">
        <v>29992</v>
      </c>
      <c r="I115" s="14" t="s">
        <v>492</v>
      </c>
      <c r="J115" s="14" t="s">
        <v>505</v>
      </c>
      <c r="K115" s="13">
        <v>43767</v>
      </c>
      <c r="L115" s="17">
        <v>60</v>
      </c>
      <c r="M115" s="13">
        <f t="shared" si="1"/>
        <v>43827</v>
      </c>
      <c r="N115" s="14"/>
      <c r="O115" s="14" t="s">
        <v>538</v>
      </c>
      <c r="P115" s="14"/>
      <c r="Q115" s="14"/>
      <c r="R115" s="13">
        <v>44972</v>
      </c>
      <c r="S115" s="13" t="s">
        <v>972</v>
      </c>
      <c r="T115" s="18"/>
    </row>
    <row r="116" spans="1:20" s="19" customFormat="1" ht="21" customHeight="1" x14ac:dyDescent="0.25">
      <c r="A116" s="12">
        <f>IF(B116="","",COUNTA($B$2:B116))</f>
        <v>115</v>
      </c>
      <c r="B116" s="13" t="s">
        <v>928</v>
      </c>
      <c r="C116" s="14"/>
      <c r="D116" s="14" t="s">
        <v>299</v>
      </c>
      <c r="E116" s="14" t="s">
        <v>314</v>
      </c>
      <c r="F116" s="15" t="s">
        <v>327</v>
      </c>
      <c r="G116" s="16" t="s">
        <v>341</v>
      </c>
      <c r="H116" s="13">
        <v>31441</v>
      </c>
      <c r="I116" s="14" t="s">
        <v>492</v>
      </c>
      <c r="J116" s="14" t="s">
        <v>507</v>
      </c>
      <c r="K116" s="13">
        <v>43773</v>
      </c>
      <c r="L116" s="17">
        <v>60</v>
      </c>
      <c r="M116" s="13">
        <f t="shared" si="1"/>
        <v>43833</v>
      </c>
      <c r="N116" s="14"/>
      <c r="O116" s="14" t="s">
        <v>538</v>
      </c>
      <c r="P116" s="14"/>
      <c r="Q116" s="14"/>
      <c r="R116" s="13">
        <v>45150</v>
      </c>
      <c r="S116" s="13" t="s">
        <v>975</v>
      </c>
      <c r="T116" s="24"/>
    </row>
    <row r="117" spans="1:20" s="19" customFormat="1" ht="21" customHeight="1" x14ac:dyDescent="0.25">
      <c r="A117" s="12">
        <f>IF(B117="","",COUNTA($B$2:B117))</f>
        <v>116</v>
      </c>
      <c r="B117" s="13" t="s">
        <v>654</v>
      </c>
      <c r="C117" s="14"/>
      <c r="D117" s="14" t="s">
        <v>298</v>
      </c>
      <c r="E117" s="14" t="s">
        <v>302</v>
      </c>
      <c r="F117" s="22" t="s">
        <v>302</v>
      </c>
      <c r="G117" s="16" t="s">
        <v>395</v>
      </c>
      <c r="H117" s="13">
        <v>28401</v>
      </c>
      <c r="I117" s="14" t="s">
        <v>492</v>
      </c>
      <c r="J117" s="14" t="s">
        <v>504</v>
      </c>
      <c r="K117" s="13">
        <v>43773</v>
      </c>
      <c r="L117" s="17">
        <v>60</v>
      </c>
      <c r="M117" s="13">
        <f t="shared" si="1"/>
        <v>43833</v>
      </c>
      <c r="N117" s="14"/>
      <c r="O117" s="14" t="s">
        <v>938</v>
      </c>
      <c r="P117" s="14"/>
      <c r="Q117" s="14"/>
      <c r="R117" s="13">
        <v>44515</v>
      </c>
      <c r="S117" s="13" t="s">
        <v>977</v>
      </c>
      <c r="T117" s="18"/>
    </row>
    <row r="118" spans="1:20" s="19" customFormat="1" ht="21" customHeight="1" x14ac:dyDescent="0.25">
      <c r="A118" s="12">
        <f>IF(B118="","",COUNTA($B$2:B118))</f>
        <v>117</v>
      </c>
      <c r="B118" s="13" t="s">
        <v>688</v>
      </c>
      <c r="C118" s="14"/>
      <c r="D118" s="14" t="s">
        <v>298</v>
      </c>
      <c r="E118" s="14" t="s">
        <v>311</v>
      </c>
      <c r="F118" s="22" t="s">
        <v>317</v>
      </c>
      <c r="G118" s="16" t="s">
        <v>320</v>
      </c>
      <c r="H118" s="13">
        <v>33242</v>
      </c>
      <c r="I118" s="14" t="s">
        <v>492</v>
      </c>
      <c r="J118" s="14" t="s">
        <v>504</v>
      </c>
      <c r="K118" s="13">
        <v>43776</v>
      </c>
      <c r="L118" s="17">
        <v>60</v>
      </c>
      <c r="M118" s="13">
        <f t="shared" si="1"/>
        <v>43836</v>
      </c>
      <c r="N118" s="14"/>
      <c r="O118" s="14" t="s">
        <v>539</v>
      </c>
      <c r="P118" s="14"/>
      <c r="Q118" s="14"/>
      <c r="R118" s="13">
        <v>44609</v>
      </c>
      <c r="S118" s="13" t="s">
        <v>975</v>
      </c>
      <c r="T118" s="18"/>
    </row>
    <row r="119" spans="1:20" s="19" customFormat="1" ht="21" customHeight="1" x14ac:dyDescent="0.25">
      <c r="A119" s="12">
        <f>IF(B119="","",COUNTA($B$2:B119))</f>
        <v>118</v>
      </c>
      <c r="B119" s="20" t="s">
        <v>103</v>
      </c>
      <c r="C119" s="14"/>
      <c r="D119" s="14" t="s">
        <v>299</v>
      </c>
      <c r="E119" s="21" t="s">
        <v>309</v>
      </c>
      <c r="F119" s="22" t="s">
        <v>329</v>
      </c>
      <c r="G119" s="16" t="s">
        <v>408</v>
      </c>
      <c r="H119" s="13">
        <v>31084</v>
      </c>
      <c r="I119" s="20" t="s">
        <v>492</v>
      </c>
      <c r="J119" s="14" t="s">
        <v>504</v>
      </c>
      <c r="K119" s="13">
        <v>43780</v>
      </c>
      <c r="L119" s="17">
        <v>60</v>
      </c>
      <c r="M119" s="13">
        <f t="shared" si="1"/>
        <v>43840</v>
      </c>
      <c r="N119" s="14" t="s">
        <v>495</v>
      </c>
      <c r="O119" s="16" t="s">
        <v>538</v>
      </c>
      <c r="P119" s="16">
        <v>3</v>
      </c>
      <c r="Q119" s="14" t="s">
        <v>501</v>
      </c>
      <c r="R119" s="23"/>
      <c r="S119" s="23"/>
      <c r="T119" s="24"/>
    </row>
    <row r="120" spans="1:20" s="19" customFormat="1" ht="21" customHeight="1" x14ac:dyDescent="0.25">
      <c r="A120" s="12">
        <f>IF(B120="","",COUNTA($B$2:B120))</f>
        <v>119</v>
      </c>
      <c r="B120" s="13" t="s">
        <v>911</v>
      </c>
      <c r="C120" s="14"/>
      <c r="D120" s="14" t="s">
        <v>299</v>
      </c>
      <c r="E120" s="14" t="s">
        <v>314</v>
      </c>
      <c r="F120" s="15" t="s">
        <v>327</v>
      </c>
      <c r="G120" s="16" t="s">
        <v>341</v>
      </c>
      <c r="H120" s="13">
        <v>29345</v>
      </c>
      <c r="I120" s="14" t="s">
        <v>492</v>
      </c>
      <c r="J120" s="14" t="s">
        <v>504</v>
      </c>
      <c r="K120" s="13">
        <v>43780</v>
      </c>
      <c r="L120" s="17">
        <v>60</v>
      </c>
      <c r="M120" s="13">
        <f t="shared" si="1"/>
        <v>43840</v>
      </c>
      <c r="N120" s="14"/>
      <c r="O120" s="14" t="s">
        <v>538</v>
      </c>
      <c r="P120" s="14"/>
      <c r="Q120" s="14"/>
      <c r="R120" s="13">
        <v>45082</v>
      </c>
      <c r="S120" s="13" t="s">
        <v>972</v>
      </c>
      <c r="T120" s="24"/>
    </row>
    <row r="121" spans="1:20" s="19" customFormat="1" ht="21" customHeight="1" x14ac:dyDescent="0.25">
      <c r="A121" s="12">
        <f>IF(B121="","",COUNTA($B$2:B121))</f>
        <v>120</v>
      </c>
      <c r="B121" s="13" t="s">
        <v>834</v>
      </c>
      <c r="C121" s="14"/>
      <c r="D121" s="14" t="s">
        <v>298</v>
      </c>
      <c r="E121" s="14" t="s">
        <v>314</v>
      </c>
      <c r="F121" s="15" t="s">
        <v>328</v>
      </c>
      <c r="G121" s="16" t="s">
        <v>349</v>
      </c>
      <c r="H121" s="13">
        <v>32563</v>
      </c>
      <c r="I121" s="14" t="s">
        <v>492</v>
      </c>
      <c r="J121" s="14" t="s">
        <v>504</v>
      </c>
      <c r="K121" s="13">
        <v>43784</v>
      </c>
      <c r="L121" s="17">
        <v>60</v>
      </c>
      <c r="M121" s="13">
        <f t="shared" si="1"/>
        <v>43844</v>
      </c>
      <c r="N121" s="14"/>
      <c r="O121" s="14" t="s">
        <v>538</v>
      </c>
      <c r="P121" s="14"/>
      <c r="Q121" s="14"/>
      <c r="R121" s="13">
        <v>44819</v>
      </c>
      <c r="S121" s="13" t="s">
        <v>972</v>
      </c>
      <c r="T121" s="18"/>
    </row>
    <row r="122" spans="1:20" s="19" customFormat="1" ht="21" customHeight="1" x14ac:dyDescent="0.25">
      <c r="A122" s="12">
        <f>IF(B122="","",COUNTA($B$2:B122))</f>
        <v>121</v>
      </c>
      <c r="B122" s="20" t="s">
        <v>588</v>
      </c>
      <c r="C122" s="14"/>
      <c r="D122" s="14" t="s">
        <v>300</v>
      </c>
      <c r="E122" s="21" t="s">
        <v>314</v>
      </c>
      <c r="F122" s="29" t="s">
        <v>327</v>
      </c>
      <c r="G122" s="16" t="s">
        <v>341</v>
      </c>
      <c r="H122" s="13">
        <v>30967</v>
      </c>
      <c r="I122" s="20" t="s">
        <v>492</v>
      </c>
      <c r="J122" s="14" t="s">
        <v>506</v>
      </c>
      <c r="K122" s="13">
        <v>43784</v>
      </c>
      <c r="L122" s="17">
        <v>60</v>
      </c>
      <c r="M122" s="13">
        <f t="shared" si="1"/>
        <v>43844</v>
      </c>
      <c r="N122" s="14"/>
      <c r="O122" s="16" t="s">
        <v>938</v>
      </c>
      <c r="P122" s="16"/>
      <c r="Q122" s="14"/>
      <c r="R122" s="13">
        <v>44316</v>
      </c>
      <c r="S122" s="13" t="s">
        <v>977</v>
      </c>
      <c r="T122" s="18"/>
    </row>
    <row r="123" spans="1:20" s="19" customFormat="1" ht="21" customHeight="1" x14ac:dyDescent="0.25">
      <c r="A123" s="12">
        <f>IF(B123="","",COUNTA($B$2:B123))</f>
        <v>122</v>
      </c>
      <c r="B123" s="20" t="s">
        <v>509</v>
      </c>
      <c r="C123" s="14"/>
      <c r="D123" s="14" t="s">
        <v>299</v>
      </c>
      <c r="E123" s="21" t="s">
        <v>313</v>
      </c>
      <c r="F123" s="22" t="s">
        <v>450</v>
      </c>
      <c r="G123" s="16" t="s">
        <v>525</v>
      </c>
      <c r="H123" s="13">
        <v>32412</v>
      </c>
      <c r="I123" s="20" t="s">
        <v>492</v>
      </c>
      <c r="J123" s="14" t="s">
        <v>504</v>
      </c>
      <c r="K123" s="13">
        <v>43787</v>
      </c>
      <c r="L123" s="17">
        <v>60</v>
      </c>
      <c r="M123" s="13">
        <f t="shared" si="1"/>
        <v>43847</v>
      </c>
      <c r="N123" s="14" t="s">
        <v>495</v>
      </c>
      <c r="O123" s="16" t="s">
        <v>539</v>
      </c>
      <c r="P123" s="16">
        <v>1</v>
      </c>
      <c r="Q123" s="14" t="s">
        <v>499</v>
      </c>
      <c r="R123" s="13">
        <v>45200</v>
      </c>
      <c r="S123" s="13" t="s">
        <v>972</v>
      </c>
      <c r="T123" s="24"/>
    </row>
    <row r="124" spans="1:20" s="19" customFormat="1" ht="21" customHeight="1" x14ac:dyDescent="0.25">
      <c r="A124" s="12">
        <f>IF(B124="","",COUNTA($B$2:B124))</f>
        <v>123</v>
      </c>
      <c r="B124" s="20" t="s">
        <v>87</v>
      </c>
      <c r="C124" s="14"/>
      <c r="D124" s="14" t="s">
        <v>298</v>
      </c>
      <c r="E124" s="21" t="s">
        <v>309</v>
      </c>
      <c r="F124" s="22" t="s">
        <v>309</v>
      </c>
      <c r="G124" s="16" t="s">
        <v>400</v>
      </c>
      <c r="H124" s="13">
        <v>29816</v>
      </c>
      <c r="I124" s="20" t="s">
        <v>492</v>
      </c>
      <c r="J124" s="14" t="s">
        <v>504</v>
      </c>
      <c r="K124" s="13">
        <v>43788</v>
      </c>
      <c r="L124" s="17">
        <v>60</v>
      </c>
      <c r="M124" s="13">
        <f t="shared" si="1"/>
        <v>43848</v>
      </c>
      <c r="N124" s="14" t="s">
        <v>495</v>
      </c>
      <c r="O124" s="16" t="s">
        <v>538</v>
      </c>
      <c r="P124" s="16">
        <v>4</v>
      </c>
      <c r="Q124" s="14" t="s">
        <v>502</v>
      </c>
      <c r="R124" s="23"/>
      <c r="S124" s="23"/>
      <c r="T124" s="24"/>
    </row>
    <row r="125" spans="1:20" s="19" customFormat="1" ht="21" customHeight="1" x14ac:dyDescent="0.25">
      <c r="A125" s="12">
        <f>IF(B125="","",COUNTA($B$2:B125))</f>
        <v>124</v>
      </c>
      <c r="B125" s="20" t="s">
        <v>199</v>
      </c>
      <c r="C125" s="14"/>
      <c r="D125" s="14" t="s">
        <v>299</v>
      </c>
      <c r="E125" s="21" t="s">
        <v>311</v>
      </c>
      <c r="F125" s="22" t="s">
        <v>318</v>
      </c>
      <c r="G125" s="21" t="s">
        <v>320</v>
      </c>
      <c r="H125" s="13">
        <v>29992</v>
      </c>
      <c r="I125" s="20" t="s">
        <v>491</v>
      </c>
      <c r="J125" s="14" t="s">
        <v>507</v>
      </c>
      <c r="K125" s="13">
        <v>43790</v>
      </c>
      <c r="L125" s="17">
        <v>60</v>
      </c>
      <c r="M125" s="13">
        <f t="shared" si="1"/>
        <v>43850</v>
      </c>
      <c r="N125" s="14" t="s">
        <v>495</v>
      </c>
      <c r="O125" s="16" t="s">
        <v>538</v>
      </c>
      <c r="P125" s="16">
        <v>3</v>
      </c>
      <c r="Q125" s="14" t="s">
        <v>501</v>
      </c>
      <c r="R125" s="23"/>
      <c r="S125" s="23"/>
      <c r="T125" s="24"/>
    </row>
    <row r="126" spans="1:20" s="19" customFormat="1" ht="21" customHeight="1" x14ac:dyDescent="0.25">
      <c r="A126" s="12">
        <f>IF(B126="","",COUNTA($B$2:B126))</f>
        <v>125</v>
      </c>
      <c r="B126" s="20" t="s">
        <v>150</v>
      </c>
      <c r="C126" s="14"/>
      <c r="D126" s="14" t="s">
        <v>298</v>
      </c>
      <c r="E126" s="21" t="s">
        <v>311</v>
      </c>
      <c r="F126" s="22" t="s">
        <v>316</v>
      </c>
      <c r="G126" s="16" t="s">
        <v>319</v>
      </c>
      <c r="H126" s="13">
        <v>31110</v>
      </c>
      <c r="I126" s="20" t="s">
        <v>492</v>
      </c>
      <c r="J126" s="14" t="s">
        <v>504</v>
      </c>
      <c r="K126" s="13">
        <v>43795</v>
      </c>
      <c r="L126" s="17">
        <v>60</v>
      </c>
      <c r="M126" s="13">
        <f t="shared" si="1"/>
        <v>43855</v>
      </c>
      <c r="N126" s="14" t="s">
        <v>495</v>
      </c>
      <c r="O126" s="16" t="s">
        <v>538</v>
      </c>
      <c r="P126" s="16">
        <v>3</v>
      </c>
      <c r="Q126" s="14" t="s">
        <v>501</v>
      </c>
      <c r="R126" s="23"/>
      <c r="S126" s="23"/>
      <c r="T126" s="24"/>
    </row>
    <row r="127" spans="1:20" s="19" customFormat="1" ht="21" customHeight="1" x14ac:dyDescent="0.25">
      <c r="A127" s="12">
        <f>IF(B127="","",COUNTA($B$2:B127))</f>
        <v>126</v>
      </c>
      <c r="B127" s="20" t="s">
        <v>105</v>
      </c>
      <c r="C127" s="14"/>
      <c r="D127" s="14" t="s">
        <v>300</v>
      </c>
      <c r="E127" s="21" t="s">
        <v>309</v>
      </c>
      <c r="F127" s="22" t="s">
        <v>329</v>
      </c>
      <c r="G127" s="16" t="s">
        <v>411</v>
      </c>
      <c r="H127" s="13">
        <v>33560</v>
      </c>
      <c r="I127" s="20" t="s">
        <v>491</v>
      </c>
      <c r="J127" s="14" t="s">
        <v>504</v>
      </c>
      <c r="K127" s="13">
        <v>43801</v>
      </c>
      <c r="L127" s="17">
        <v>60</v>
      </c>
      <c r="M127" s="13">
        <f t="shared" si="1"/>
        <v>43861</v>
      </c>
      <c r="N127" s="14" t="s">
        <v>495</v>
      </c>
      <c r="O127" s="16" t="s">
        <v>538</v>
      </c>
      <c r="P127" s="16">
        <v>3</v>
      </c>
      <c r="Q127" s="14" t="s">
        <v>501</v>
      </c>
      <c r="R127" s="23"/>
      <c r="S127" s="23"/>
      <c r="T127" s="24"/>
    </row>
    <row r="128" spans="1:20" s="19" customFormat="1" ht="21" customHeight="1" x14ac:dyDescent="0.25">
      <c r="A128" s="12">
        <f>IF(B128="","",COUNTA($B$2:B128))</f>
        <v>127</v>
      </c>
      <c r="B128" s="13" t="s">
        <v>166</v>
      </c>
      <c r="C128" s="14"/>
      <c r="D128" s="14" t="s">
        <v>298</v>
      </c>
      <c r="E128" s="14" t="s">
        <v>311</v>
      </c>
      <c r="F128" s="22" t="s">
        <v>318</v>
      </c>
      <c r="G128" s="16" t="s">
        <v>320</v>
      </c>
      <c r="H128" s="13">
        <v>33108</v>
      </c>
      <c r="I128" s="14" t="s">
        <v>492</v>
      </c>
      <c r="J128" s="14" t="s">
        <v>504</v>
      </c>
      <c r="K128" s="13">
        <v>43804</v>
      </c>
      <c r="L128" s="17">
        <v>60</v>
      </c>
      <c r="M128" s="13">
        <f t="shared" si="1"/>
        <v>43864</v>
      </c>
      <c r="N128" s="14"/>
      <c r="O128" s="14" t="s">
        <v>538</v>
      </c>
      <c r="P128" s="14"/>
      <c r="Q128" s="14"/>
      <c r="R128" s="13">
        <v>44849</v>
      </c>
      <c r="S128" s="13" t="s">
        <v>977</v>
      </c>
      <c r="T128" s="18"/>
    </row>
    <row r="129" spans="1:20" s="19" customFormat="1" ht="21" customHeight="1" x14ac:dyDescent="0.25">
      <c r="A129" s="12">
        <f>IF(B129="","",COUNTA($B$2:B129))</f>
        <v>128</v>
      </c>
      <c r="B129" s="13" t="s">
        <v>892</v>
      </c>
      <c r="C129" s="14"/>
      <c r="D129" s="14" t="s">
        <v>298</v>
      </c>
      <c r="E129" s="14" t="s">
        <v>310</v>
      </c>
      <c r="F129" s="15" t="s">
        <v>412</v>
      </c>
      <c r="G129" s="26" t="s">
        <v>954</v>
      </c>
      <c r="H129" s="13">
        <v>31606</v>
      </c>
      <c r="I129" s="14" t="s">
        <v>492</v>
      </c>
      <c r="J129" s="14" t="s">
        <v>504</v>
      </c>
      <c r="K129" s="13">
        <v>43822</v>
      </c>
      <c r="L129" s="17">
        <v>60</v>
      </c>
      <c r="M129" s="13">
        <f t="shared" si="1"/>
        <v>43882</v>
      </c>
      <c r="N129" s="14"/>
      <c r="O129" s="14" t="s">
        <v>539</v>
      </c>
      <c r="P129" s="14"/>
      <c r="Q129" s="14"/>
      <c r="R129" s="13">
        <v>45009</v>
      </c>
      <c r="S129" s="13" t="s">
        <v>977</v>
      </c>
      <c r="T129" s="24"/>
    </row>
    <row r="130" spans="1:20" s="19" customFormat="1" ht="21" customHeight="1" x14ac:dyDescent="0.25">
      <c r="A130" s="12">
        <f>IF(B130="","",COUNTA($B$2:B130))</f>
        <v>129</v>
      </c>
      <c r="B130" s="13" t="s">
        <v>807</v>
      </c>
      <c r="C130" s="14"/>
      <c r="D130" s="14" t="s">
        <v>300</v>
      </c>
      <c r="E130" s="14" t="s">
        <v>311</v>
      </c>
      <c r="F130" s="22" t="s">
        <v>317</v>
      </c>
      <c r="G130" s="16" t="s">
        <v>320</v>
      </c>
      <c r="H130" s="13">
        <v>33160</v>
      </c>
      <c r="I130" s="14" t="s">
        <v>492</v>
      </c>
      <c r="J130" s="14" t="s">
        <v>507</v>
      </c>
      <c r="K130" s="13">
        <v>43832</v>
      </c>
      <c r="L130" s="17">
        <v>60</v>
      </c>
      <c r="M130" s="13">
        <f t="shared" ref="M130:M193" si="2">K130+L130</f>
        <v>43892</v>
      </c>
      <c r="N130" s="14"/>
      <c r="O130" s="14" t="s">
        <v>538</v>
      </c>
      <c r="P130" s="14"/>
      <c r="Q130" s="14"/>
      <c r="R130" s="13">
        <v>44743</v>
      </c>
      <c r="S130" s="13" t="s">
        <v>977</v>
      </c>
      <c r="T130" s="18"/>
    </row>
    <row r="131" spans="1:20" s="19" customFormat="1" ht="21" customHeight="1" x14ac:dyDescent="0.25">
      <c r="A131" s="12">
        <f>IF(B131="","",COUNTA($B$2:B131))</f>
        <v>130</v>
      </c>
      <c r="B131" s="13" t="s">
        <v>932</v>
      </c>
      <c r="C131" s="14"/>
      <c r="D131" s="14" t="s">
        <v>298</v>
      </c>
      <c r="E131" s="14" t="s">
        <v>301</v>
      </c>
      <c r="F131" s="15" t="s">
        <v>467</v>
      </c>
      <c r="G131" s="16" t="s">
        <v>486</v>
      </c>
      <c r="H131" s="13">
        <v>34776</v>
      </c>
      <c r="I131" s="14" t="s">
        <v>491</v>
      </c>
      <c r="J131" s="14" t="s">
        <v>504</v>
      </c>
      <c r="K131" s="13">
        <v>43836</v>
      </c>
      <c r="L131" s="17">
        <v>60</v>
      </c>
      <c r="M131" s="13">
        <f t="shared" si="2"/>
        <v>43896</v>
      </c>
      <c r="N131" s="14"/>
      <c r="O131" s="14" t="s">
        <v>538</v>
      </c>
      <c r="P131" s="14"/>
      <c r="Q131" s="14"/>
      <c r="R131" s="13">
        <v>45178</v>
      </c>
      <c r="S131" s="13" t="s">
        <v>972</v>
      </c>
      <c r="T131" s="24"/>
    </row>
    <row r="132" spans="1:20" s="19" customFormat="1" ht="21" customHeight="1" x14ac:dyDescent="0.25">
      <c r="A132" s="12">
        <f>IF(B132="","",COUNTA($B$2:B132))</f>
        <v>131</v>
      </c>
      <c r="B132" s="20" t="s">
        <v>88</v>
      </c>
      <c r="C132" s="20"/>
      <c r="D132" s="20" t="s">
        <v>298</v>
      </c>
      <c r="E132" s="20" t="s">
        <v>309</v>
      </c>
      <c r="F132" s="25" t="s">
        <v>399</v>
      </c>
      <c r="G132" s="16" t="s">
        <v>401</v>
      </c>
      <c r="H132" s="13">
        <v>32548</v>
      </c>
      <c r="I132" s="20" t="s">
        <v>491</v>
      </c>
      <c r="J132" s="14" t="s">
        <v>504</v>
      </c>
      <c r="K132" s="13">
        <v>43862</v>
      </c>
      <c r="L132" s="17">
        <v>89</v>
      </c>
      <c r="M132" s="13">
        <f t="shared" si="2"/>
        <v>43951</v>
      </c>
      <c r="N132" s="14" t="s">
        <v>495</v>
      </c>
      <c r="O132" s="16" t="s">
        <v>538</v>
      </c>
      <c r="P132" s="16">
        <v>3</v>
      </c>
      <c r="Q132" s="14" t="s">
        <v>501</v>
      </c>
      <c r="R132" s="23"/>
      <c r="S132" s="23"/>
      <c r="T132" s="24"/>
    </row>
    <row r="133" spans="1:20" s="19" customFormat="1" ht="21" customHeight="1" x14ac:dyDescent="0.25">
      <c r="A133" s="12">
        <f>IF(B133="","",COUNTA($B$2:B133))</f>
        <v>132</v>
      </c>
      <c r="B133" s="20" t="s">
        <v>559</v>
      </c>
      <c r="C133" s="14"/>
      <c r="D133" s="14" t="s">
        <v>299</v>
      </c>
      <c r="E133" s="21" t="s">
        <v>311</v>
      </c>
      <c r="F133" s="22" t="s">
        <v>326</v>
      </c>
      <c r="G133" s="16" t="s">
        <v>961</v>
      </c>
      <c r="H133" s="13">
        <v>30736</v>
      </c>
      <c r="I133" s="20" t="s">
        <v>492</v>
      </c>
      <c r="J133" s="14" t="s">
        <v>504</v>
      </c>
      <c r="K133" s="13">
        <v>43865</v>
      </c>
      <c r="L133" s="17">
        <v>60</v>
      </c>
      <c r="M133" s="13">
        <f t="shared" si="2"/>
        <v>43925</v>
      </c>
      <c r="N133" s="14"/>
      <c r="O133" s="16" t="s">
        <v>541</v>
      </c>
      <c r="P133" s="16"/>
      <c r="Q133" s="14"/>
      <c r="R133" s="13">
        <v>44269</v>
      </c>
      <c r="S133" s="13" t="s">
        <v>973</v>
      </c>
      <c r="T133" s="18"/>
    </row>
    <row r="134" spans="1:20" s="19" customFormat="1" ht="21" customHeight="1" x14ac:dyDescent="0.25">
      <c r="A134" s="12">
        <f>IF(B134="","",COUNTA($B$2:B134))</f>
        <v>133</v>
      </c>
      <c r="B134" s="20" t="s">
        <v>196</v>
      </c>
      <c r="C134" s="14"/>
      <c r="D134" s="14" t="s">
        <v>299</v>
      </c>
      <c r="E134" s="21" t="s">
        <v>311</v>
      </c>
      <c r="F134" s="22" t="s">
        <v>318</v>
      </c>
      <c r="G134" s="21" t="s">
        <v>320</v>
      </c>
      <c r="H134" s="13">
        <v>33695</v>
      </c>
      <c r="I134" s="20" t="s">
        <v>492</v>
      </c>
      <c r="J134" s="14" t="s">
        <v>507</v>
      </c>
      <c r="K134" s="13">
        <v>43871</v>
      </c>
      <c r="L134" s="17">
        <v>60</v>
      </c>
      <c r="M134" s="13">
        <f t="shared" si="2"/>
        <v>43931</v>
      </c>
      <c r="N134" s="14" t="s">
        <v>495</v>
      </c>
      <c r="O134" s="16" t="s">
        <v>541</v>
      </c>
      <c r="P134" s="16">
        <v>3</v>
      </c>
      <c r="Q134" s="14" t="s">
        <v>501</v>
      </c>
      <c r="R134" s="23"/>
      <c r="S134" s="23"/>
      <c r="T134" s="24"/>
    </row>
    <row r="135" spans="1:20" s="19" customFormat="1" ht="21" customHeight="1" x14ac:dyDescent="0.25">
      <c r="A135" s="12">
        <f>IF(B135="","",COUNTA($B$2:B135))</f>
        <v>134</v>
      </c>
      <c r="B135" s="13" t="s">
        <v>733</v>
      </c>
      <c r="C135" s="14"/>
      <c r="D135" s="14" t="s">
        <v>298</v>
      </c>
      <c r="E135" s="14" t="s">
        <v>313</v>
      </c>
      <c r="F135" s="15" t="s">
        <v>942</v>
      </c>
      <c r="G135" s="14" t="s">
        <v>960</v>
      </c>
      <c r="H135" s="13">
        <v>34314</v>
      </c>
      <c r="I135" s="14" t="s">
        <v>492</v>
      </c>
      <c r="J135" s="14" t="s">
        <v>935</v>
      </c>
      <c r="K135" s="13">
        <v>43871</v>
      </c>
      <c r="L135" s="17">
        <v>60</v>
      </c>
      <c r="M135" s="13">
        <f t="shared" si="2"/>
        <v>43931</v>
      </c>
      <c r="N135" s="14"/>
      <c r="O135" s="14" t="s">
        <v>539</v>
      </c>
      <c r="P135" s="14"/>
      <c r="Q135" s="14"/>
      <c r="R135" s="13">
        <v>44682</v>
      </c>
      <c r="S135" s="13" t="s">
        <v>972</v>
      </c>
      <c r="T135" s="18"/>
    </row>
    <row r="136" spans="1:20" s="19" customFormat="1" ht="21" customHeight="1" x14ac:dyDescent="0.25">
      <c r="A136" s="12">
        <f>IF(B136="","",COUNTA($B$2:B136))</f>
        <v>135</v>
      </c>
      <c r="B136" s="13" t="s">
        <v>763</v>
      </c>
      <c r="C136" s="14"/>
      <c r="D136" s="14" t="s">
        <v>298</v>
      </c>
      <c r="E136" s="14" t="s">
        <v>313</v>
      </c>
      <c r="F136" s="15" t="s">
        <v>942</v>
      </c>
      <c r="G136" s="14" t="s">
        <v>960</v>
      </c>
      <c r="H136" s="13">
        <v>31986</v>
      </c>
      <c r="I136" s="14" t="s">
        <v>492</v>
      </c>
      <c r="J136" s="14" t="s">
        <v>507</v>
      </c>
      <c r="K136" s="13">
        <v>43871</v>
      </c>
      <c r="L136" s="17">
        <v>60</v>
      </c>
      <c r="M136" s="13">
        <f t="shared" si="2"/>
        <v>43931</v>
      </c>
      <c r="N136" s="14"/>
      <c r="O136" s="14" t="s">
        <v>538</v>
      </c>
      <c r="P136" s="14"/>
      <c r="Q136" s="14"/>
      <c r="R136" s="13">
        <v>44682</v>
      </c>
      <c r="S136" s="13" t="s">
        <v>973</v>
      </c>
      <c r="T136" s="18"/>
    </row>
    <row r="137" spans="1:20" s="19" customFormat="1" ht="21" customHeight="1" x14ac:dyDescent="0.25">
      <c r="A137" s="12">
        <f>IF(B137="","",COUNTA($B$2:B137))</f>
        <v>136</v>
      </c>
      <c r="B137" s="13" t="s">
        <v>770</v>
      </c>
      <c r="C137" s="14"/>
      <c r="D137" s="14" t="s">
        <v>299</v>
      </c>
      <c r="E137" s="14" t="s">
        <v>313</v>
      </c>
      <c r="F137" s="15" t="s">
        <v>942</v>
      </c>
      <c r="G137" s="14" t="s">
        <v>960</v>
      </c>
      <c r="H137" s="13">
        <v>33359</v>
      </c>
      <c r="I137" s="14" t="s">
        <v>492</v>
      </c>
      <c r="J137" s="14" t="s">
        <v>507</v>
      </c>
      <c r="K137" s="13">
        <v>43871</v>
      </c>
      <c r="L137" s="17">
        <v>60</v>
      </c>
      <c r="M137" s="13">
        <f t="shared" si="2"/>
        <v>43931</v>
      </c>
      <c r="N137" s="14"/>
      <c r="O137" s="14" t="s">
        <v>541</v>
      </c>
      <c r="P137" s="14"/>
      <c r="Q137" s="14"/>
      <c r="R137" s="13">
        <v>44682</v>
      </c>
      <c r="S137" s="13" t="s">
        <v>975</v>
      </c>
      <c r="T137" s="18"/>
    </row>
    <row r="138" spans="1:20" s="19" customFormat="1" ht="21" customHeight="1" x14ac:dyDescent="0.25">
      <c r="A138" s="12">
        <f>IF(B138="","",COUNTA($B$2:B138))</f>
        <v>137</v>
      </c>
      <c r="B138" s="13" t="s">
        <v>776</v>
      </c>
      <c r="C138" s="14"/>
      <c r="D138" s="14" t="s">
        <v>299</v>
      </c>
      <c r="E138" s="14" t="s">
        <v>313</v>
      </c>
      <c r="F138" s="15" t="s">
        <v>942</v>
      </c>
      <c r="G138" s="14" t="s">
        <v>960</v>
      </c>
      <c r="H138" s="13">
        <v>33943</v>
      </c>
      <c r="I138" s="14" t="s">
        <v>492</v>
      </c>
      <c r="J138" s="14" t="s">
        <v>506</v>
      </c>
      <c r="K138" s="13">
        <v>43871</v>
      </c>
      <c r="L138" s="17">
        <v>60</v>
      </c>
      <c r="M138" s="13">
        <f t="shared" si="2"/>
        <v>43931</v>
      </c>
      <c r="N138" s="14"/>
      <c r="O138" s="14" t="s">
        <v>541</v>
      </c>
      <c r="P138" s="14"/>
      <c r="Q138" s="14"/>
      <c r="R138" s="13">
        <v>44682</v>
      </c>
      <c r="S138" s="13" t="s">
        <v>977</v>
      </c>
      <c r="T138" s="18"/>
    </row>
    <row r="139" spans="1:20" s="19" customFormat="1" ht="21" customHeight="1" x14ac:dyDescent="0.25">
      <c r="A139" s="12">
        <f>IF(B139="","",COUNTA($B$2:B139))</f>
        <v>138</v>
      </c>
      <c r="B139" s="20" t="s">
        <v>544</v>
      </c>
      <c r="C139" s="14"/>
      <c r="D139" s="14" t="s">
        <v>300</v>
      </c>
      <c r="E139" s="21" t="s">
        <v>311</v>
      </c>
      <c r="F139" s="22" t="s">
        <v>939</v>
      </c>
      <c r="G139" s="16" t="s">
        <v>964</v>
      </c>
      <c r="H139" s="13">
        <v>31973</v>
      </c>
      <c r="I139" s="20" t="s">
        <v>492</v>
      </c>
      <c r="J139" s="14" t="s">
        <v>506</v>
      </c>
      <c r="K139" s="13">
        <v>43873</v>
      </c>
      <c r="L139" s="17">
        <v>60</v>
      </c>
      <c r="M139" s="13">
        <f t="shared" si="2"/>
        <v>43933</v>
      </c>
      <c r="N139" s="14"/>
      <c r="O139" s="16" t="s">
        <v>938</v>
      </c>
      <c r="P139" s="16"/>
      <c r="Q139" s="14"/>
      <c r="R139" s="13">
        <v>44197</v>
      </c>
      <c r="S139" s="13" t="s">
        <v>972</v>
      </c>
      <c r="T139" s="18"/>
    </row>
    <row r="140" spans="1:20" s="19" customFormat="1" ht="21" customHeight="1" x14ac:dyDescent="0.25">
      <c r="A140" s="12">
        <f>IF(B140="","",COUNTA($B$2:B140))</f>
        <v>139</v>
      </c>
      <c r="B140" s="13" t="s">
        <v>927</v>
      </c>
      <c r="C140" s="14"/>
      <c r="D140" s="14" t="s">
        <v>298</v>
      </c>
      <c r="E140" s="14" t="s">
        <v>314</v>
      </c>
      <c r="F140" s="15" t="s">
        <v>327</v>
      </c>
      <c r="G140" s="16" t="s">
        <v>341</v>
      </c>
      <c r="H140" s="13">
        <v>34871</v>
      </c>
      <c r="I140" s="14" t="s">
        <v>492</v>
      </c>
      <c r="J140" s="14" t="s">
        <v>507</v>
      </c>
      <c r="K140" s="13">
        <v>43875</v>
      </c>
      <c r="L140" s="17">
        <v>60</v>
      </c>
      <c r="M140" s="13">
        <f t="shared" si="2"/>
        <v>43935</v>
      </c>
      <c r="N140" s="14"/>
      <c r="O140" s="14" t="s">
        <v>539</v>
      </c>
      <c r="P140" s="14"/>
      <c r="Q140" s="14"/>
      <c r="R140" s="13">
        <v>45154</v>
      </c>
      <c r="S140" s="13" t="s">
        <v>975</v>
      </c>
      <c r="T140" s="24"/>
    </row>
    <row r="141" spans="1:20" s="19" customFormat="1" ht="21" customHeight="1" x14ac:dyDescent="0.25">
      <c r="A141" s="12">
        <f>IF(B141="","",COUNTA($B$2:B141))</f>
        <v>140</v>
      </c>
      <c r="B141" s="20" t="s">
        <v>162</v>
      </c>
      <c r="C141" s="14"/>
      <c r="D141" s="14" t="s">
        <v>298</v>
      </c>
      <c r="E141" s="21" t="s">
        <v>311</v>
      </c>
      <c r="F141" s="22" t="s">
        <v>317</v>
      </c>
      <c r="G141" s="16" t="s">
        <v>320</v>
      </c>
      <c r="H141" s="13">
        <v>33138</v>
      </c>
      <c r="I141" s="20" t="s">
        <v>491</v>
      </c>
      <c r="J141" s="14" t="s">
        <v>504</v>
      </c>
      <c r="K141" s="13">
        <v>43878</v>
      </c>
      <c r="L141" s="17">
        <v>60</v>
      </c>
      <c r="M141" s="13">
        <f t="shared" si="2"/>
        <v>43938</v>
      </c>
      <c r="N141" s="14" t="s">
        <v>495</v>
      </c>
      <c r="O141" s="16" t="s">
        <v>538</v>
      </c>
      <c r="P141" s="16">
        <v>3</v>
      </c>
      <c r="Q141" s="14" t="s">
        <v>501</v>
      </c>
      <c r="R141" s="23"/>
      <c r="S141" s="23"/>
      <c r="T141" s="24"/>
    </row>
    <row r="142" spans="1:20" s="19" customFormat="1" ht="21" customHeight="1" x14ac:dyDescent="0.25">
      <c r="A142" s="12">
        <f>IF(B142="","",COUNTA($B$2:B142))</f>
        <v>141</v>
      </c>
      <c r="B142" s="13" t="s">
        <v>787</v>
      </c>
      <c r="C142" s="14"/>
      <c r="D142" s="14" t="s">
        <v>299</v>
      </c>
      <c r="E142" s="14" t="s">
        <v>311</v>
      </c>
      <c r="F142" s="22" t="s">
        <v>317</v>
      </c>
      <c r="G142" s="21" t="s">
        <v>321</v>
      </c>
      <c r="H142" s="13">
        <v>34992</v>
      </c>
      <c r="I142" s="14" t="s">
        <v>492</v>
      </c>
      <c r="J142" s="14" t="s">
        <v>504</v>
      </c>
      <c r="K142" s="13">
        <v>43878</v>
      </c>
      <c r="L142" s="17">
        <v>60</v>
      </c>
      <c r="M142" s="13">
        <f t="shared" si="2"/>
        <v>43938</v>
      </c>
      <c r="N142" s="14"/>
      <c r="O142" s="14" t="s">
        <v>541</v>
      </c>
      <c r="P142" s="14"/>
      <c r="Q142" s="14"/>
      <c r="R142" s="13">
        <v>44700</v>
      </c>
      <c r="S142" s="13" t="s">
        <v>973</v>
      </c>
      <c r="T142" s="18"/>
    </row>
    <row r="143" spans="1:20" s="19" customFormat="1" ht="21" customHeight="1" x14ac:dyDescent="0.25">
      <c r="A143" s="12">
        <f>IF(B143="","",COUNTA($B$2:B143))</f>
        <v>142</v>
      </c>
      <c r="B143" s="13" t="s">
        <v>769</v>
      </c>
      <c r="C143" s="14"/>
      <c r="D143" s="14" t="s">
        <v>299</v>
      </c>
      <c r="E143" s="14" t="s">
        <v>313</v>
      </c>
      <c r="F143" s="15" t="s">
        <v>942</v>
      </c>
      <c r="G143" s="14" t="s">
        <v>960</v>
      </c>
      <c r="H143" s="13">
        <v>32711</v>
      </c>
      <c r="I143" s="14" t="s">
        <v>492</v>
      </c>
      <c r="J143" s="14" t="s">
        <v>507</v>
      </c>
      <c r="K143" s="13">
        <v>43878</v>
      </c>
      <c r="L143" s="17">
        <v>60</v>
      </c>
      <c r="M143" s="13">
        <f t="shared" si="2"/>
        <v>43938</v>
      </c>
      <c r="N143" s="14"/>
      <c r="O143" s="14" t="s">
        <v>541</v>
      </c>
      <c r="P143" s="14"/>
      <c r="Q143" s="14"/>
      <c r="R143" s="13">
        <v>44682</v>
      </c>
      <c r="S143" s="13" t="s">
        <v>975</v>
      </c>
      <c r="T143" s="18"/>
    </row>
    <row r="144" spans="1:20" s="19" customFormat="1" ht="21" customHeight="1" x14ac:dyDescent="0.25">
      <c r="A144" s="12">
        <f>IF(B144="","",COUNTA($B$2:B144))</f>
        <v>143</v>
      </c>
      <c r="B144" s="13" t="s">
        <v>777</v>
      </c>
      <c r="C144" s="14"/>
      <c r="D144" s="14" t="s">
        <v>299</v>
      </c>
      <c r="E144" s="14" t="s">
        <v>313</v>
      </c>
      <c r="F144" s="15" t="s">
        <v>942</v>
      </c>
      <c r="G144" s="14" t="s">
        <v>960</v>
      </c>
      <c r="H144" s="13">
        <v>33899</v>
      </c>
      <c r="I144" s="14" t="s">
        <v>492</v>
      </c>
      <c r="J144" s="14" t="s">
        <v>935</v>
      </c>
      <c r="K144" s="13">
        <v>43878</v>
      </c>
      <c r="L144" s="17">
        <v>60</v>
      </c>
      <c r="M144" s="13">
        <f t="shared" si="2"/>
        <v>43938</v>
      </c>
      <c r="N144" s="14"/>
      <c r="O144" s="14" t="s">
        <v>541</v>
      </c>
      <c r="P144" s="14"/>
      <c r="Q144" s="14"/>
      <c r="R144" s="13">
        <v>44682</v>
      </c>
      <c r="S144" s="13" t="s">
        <v>972</v>
      </c>
      <c r="T144" s="18"/>
    </row>
    <row r="145" spans="1:20" s="19" customFormat="1" ht="21" customHeight="1" x14ac:dyDescent="0.25">
      <c r="A145" s="12">
        <f>IF(B145="","",COUNTA($B$2:B145))</f>
        <v>144</v>
      </c>
      <c r="B145" s="13" t="s">
        <v>648</v>
      </c>
      <c r="C145" s="14"/>
      <c r="D145" s="14" t="s">
        <v>298</v>
      </c>
      <c r="E145" s="14" t="s">
        <v>311</v>
      </c>
      <c r="F145" s="22" t="s">
        <v>939</v>
      </c>
      <c r="G145" s="16" t="s">
        <v>964</v>
      </c>
      <c r="H145" s="13">
        <v>35309</v>
      </c>
      <c r="I145" s="14" t="s">
        <v>492</v>
      </c>
      <c r="J145" s="14" t="s">
        <v>935</v>
      </c>
      <c r="K145" s="13">
        <v>43878</v>
      </c>
      <c r="L145" s="17">
        <v>60</v>
      </c>
      <c r="M145" s="13">
        <f t="shared" si="2"/>
        <v>43938</v>
      </c>
      <c r="N145" s="14"/>
      <c r="O145" s="14" t="s">
        <v>539</v>
      </c>
      <c r="P145" s="14"/>
      <c r="Q145" s="14"/>
      <c r="R145" s="13">
        <v>44500</v>
      </c>
      <c r="S145" s="13" t="s">
        <v>977</v>
      </c>
      <c r="T145" s="18"/>
    </row>
    <row r="146" spans="1:20" s="19" customFormat="1" ht="21" customHeight="1" x14ac:dyDescent="0.25">
      <c r="A146" s="12">
        <f>IF(B146="","",COUNTA($B$2:B146))</f>
        <v>145</v>
      </c>
      <c r="B146" s="13" t="s">
        <v>611</v>
      </c>
      <c r="C146" s="14"/>
      <c r="D146" s="14" t="s">
        <v>299</v>
      </c>
      <c r="E146" s="14" t="s">
        <v>311</v>
      </c>
      <c r="F146" s="22" t="s">
        <v>939</v>
      </c>
      <c r="G146" s="16" t="s">
        <v>964</v>
      </c>
      <c r="H146" s="13">
        <v>34103</v>
      </c>
      <c r="I146" s="14" t="s">
        <v>492</v>
      </c>
      <c r="J146" s="14" t="s">
        <v>507</v>
      </c>
      <c r="K146" s="13">
        <v>43878</v>
      </c>
      <c r="L146" s="17">
        <v>60</v>
      </c>
      <c r="M146" s="13">
        <f t="shared" si="2"/>
        <v>43938</v>
      </c>
      <c r="N146" s="14"/>
      <c r="O146" s="14" t="s">
        <v>541</v>
      </c>
      <c r="P146" s="14"/>
      <c r="Q146" s="14"/>
      <c r="R146" s="13">
        <v>44377</v>
      </c>
      <c r="S146" s="13" t="s">
        <v>977</v>
      </c>
      <c r="T146" s="18"/>
    </row>
    <row r="147" spans="1:20" s="19" customFormat="1" ht="21" customHeight="1" x14ac:dyDescent="0.25">
      <c r="A147" s="12">
        <f>IF(B147="","",COUNTA($B$2:B147))</f>
        <v>146</v>
      </c>
      <c r="B147" s="20" t="s">
        <v>587</v>
      </c>
      <c r="C147" s="14"/>
      <c r="D147" s="14" t="s">
        <v>298</v>
      </c>
      <c r="E147" s="21" t="s">
        <v>301</v>
      </c>
      <c r="F147" s="15" t="s">
        <v>464</v>
      </c>
      <c r="G147" s="16" t="s">
        <v>483</v>
      </c>
      <c r="H147" s="13">
        <v>33859</v>
      </c>
      <c r="I147" s="20" t="s">
        <v>491</v>
      </c>
      <c r="J147" s="14" t="s">
        <v>504</v>
      </c>
      <c r="K147" s="13">
        <v>43878</v>
      </c>
      <c r="L147" s="17">
        <v>60</v>
      </c>
      <c r="M147" s="13">
        <f t="shared" si="2"/>
        <v>43938</v>
      </c>
      <c r="N147" s="14"/>
      <c r="O147" s="16" t="s">
        <v>541</v>
      </c>
      <c r="P147" s="16"/>
      <c r="Q147" s="14"/>
      <c r="R147" s="13">
        <v>44314</v>
      </c>
      <c r="S147" s="13" t="s">
        <v>972</v>
      </c>
      <c r="T147" s="18"/>
    </row>
    <row r="148" spans="1:20" s="19" customFormat="1" ht="21" customHeight="1" x14ac:dyDescent="0.25">
      <c r="A148" s="12">
        <f>IF(B148="","",COUNTA($B$2:B148))</f>
        <v>147</v>
      </c>
      <c r="B148" s="13" t="s">
        <v>874</v>
      </c>
      <c r="C148" s="14"/>
      <c r="D148" s="14" t="s">
        <v>298</v>
      </c>
      <c r="E148" s="14" t="s">
        <v>310</v>
      </c>
      <c r="F148" s="15" t="s">
        <v>414</v>
      </c>
      <c r="G148" s="26" t="s">
        <v>952</v>
      </c>
      <c r="H148" s="13">
        <v>33259</v>
      </c>
      <c r="I148" s="14" t="s">
        <v>491</v>
      </c>
      <c r="J148" s="14" t="s">
        <v>504</v>
      </c>
      <c r="K148" s="13">
        <v>43881</v>
      </c>
      <c r="L148" s="17">
        <v>60</v>
      </c>
      <c r="M148" s="13">
        <f t="shared" si="2"/>
        <v>43941</v>
      </c>
      <c r="N148" s="14"/>
      <c r="O148" s="14" t="s">
        <v>538</v>
      </c>
      <c r="P148" s="14"/>
      <c r="Q148" s="14"/>
      <c r="R148" s="13">
        <v>44959</v>
      </c>
      <c r="S148" s="13" t="s">
        <v>973</v>
      </c>
      <c r="T148" s="18"/>
    </row>
    <row r="149" spans="1:20" s="19" customFormat="1" ht="21" customHeight="1" x14ac:dyDescent="0.25">
      <c r="A149" s="12">
        <f>IF(B149="","",COUNTA($B$2:B149))</f>
        <v>148</v>
      </c>
      <c r="B149" s="13" t="s">
        <v>863</v>
      </c>
      <c r="C149" s="14"/>
      <c r="D149" s="14" t="s">
        <v>298</v>
      </c>
      <c r="E149" s="14" t="s">
        <v>306</v>
      </c>
      <c r="F149" s="22" t="s">
        <v>306</v>
      </c>
      <c r="G149" s="16" t="s">
        <v>432</v>
      </c>
      <c r="H149" s="13">
        <v>35496</v>
      </c>
      <c r="I149" s="14" t="s">
        <v>491</v>
      </c>
      <c r="J149" s="14" t="s">
        <v>504</v>
      </c>
      <c r="K149" s="13">
        <v>43881</v>
      </c>
      <c r="L149" s="17">
        <v>60</v>
      </c>
      <c r="M149" s="13">
        <f t="shared" si="2"/>
        <v>43941</v>
      </c>
      <c r="N149" s="14"/>
      <c r="O149" s="14" t="s">
        <v>539</v>
      </c>
      <c r="P149" s="14"/>
      <c r="Q149" s="14"/>
      <c r="R149" s="13">
        <v>44911</v>
      </c>
      <c r="S149" s="13" t="s">
        <v>975</v>
      </c>
      <c r="T149" s="18"/>
    </row>
    <row r="150" spans="1:20" s="19" customFormat="1" ht="21" customHeight="1" x14ac:dyDescent="0.25">
      <c r="A150" s="12">
        <f>IF(B150="","",COUNTA($B$2:B150))</f>
        <v>149</v>
      </c>
      <c r="B150" s="20" t="s">
        <v>224</v>
      </c>
      <c r="C150" s="14"/>
      <c r="D150" s="14" t="s">
        <v>299</v>
      </c>
      <c r="E150" s="21" t="s">
        <v>313</v>
      </c>
      <c r="F150" s="22" t="s">
        <v>450</v>
      </c>
      <c r="G150" s="16" t="s">
        <v>459</v>
      </c>
      <c r="H150" s="13">
        <v>33315</v>
      </c>
      <c r="I150" s="20" t="s">
        <v>492</v>
      </c>
      <c r="J150" s="14" t="s">
        <v>506</v>
      </c>
      <c r="K150" s="13">
        <v>43885</v>
      </c>
      <c r="L150" s="17">
        <v>60</v>
      </c>
      <c r="M150" s="13">
        <f t="shared" si="2"/>
        <v>43945</v>
      </c>
      <c r="N150" s="14" t="s">
        <v>495</v>
      </c>
      <c r="O150" s="16" t="s">
        <v>538</v>
      </c>
      <c r="P150" s="16">
        <v>3</v>
      </c>
      <c r="Q150" s="14" t="s">
        <v>501</v>
      </c>
      <c r="R150" s="23"/>
      <c r="S150" s="23"/>
      <c r="T150" s="24"/>
    </row>
    <row r="151" spans="1:20" s="19" customFormat="1" ht="21" customHeight="1" x14ac:dyDescent="0.25">
      <c r="A151" s="12">
        <f>IF(B151="","",COUNTA($B$2:B151))</f>
        <v>150</v>
      </c>
      <c r="B151" s="20" t="s">
        <v>287</v>
      </c>
      <c r="C151" s="14"/>
      <c r="D151" s="14" t="s">
        <v>298</v>
      </c>
      <c r="E151" s="21" t="s">
        <v>314</v>
      </c>
      <c r="F151" s="22" t="s">
        <v>330</v>
      </c>
      <c r="G151" s="16" t="s">
        <v>361</v>
      </c>
      <c r="H151" s="13">
        <v>35433</v>
      </c>
      <c r="I151" s="20" t="s">
        <v>491</v>
      </c>
      <c r="J151" s="14" t="s">
        <v>504</v>
      </c>
      <c r="K151" s="13">
        <v>43885</v>
      </c>
      <c r="L151" s="17">
        <v>60</v>
      </c>
      <c r="M151" s="13">
        <f t="shared" si="2"/>
        <v>43945</v>
      </c>
      <c r="N151" s="14" t="s">
        <v>495</v>
      </c>
      <c r="O151" s="16" t="s">
        <v>539</v>
      </c>
      <c r="P151" s="16">
        <v>3</v>
      </c>
      <c r="Q151" s="14" t="s">
        <v>501</v>
      </c>
      <c r="R151" s="23"/>
      <c r="S151" s="23"/>
      <c r="T151" s="24"/>
    </row>
    <row r="152" spans="1:20" s="19" customFormat="1" ht="21" customHeight="1" x14ac:dyDescent="0.25">
      <c r="A152" s="12">
        <f>IF(B152="","",COUNTA($B$2:B152))</f>
        <v>151</v>
      </c>
      <c r="B152" s="20" t="s">
        <v>515</v>
      </c>
      <c r="C152" s="14"/>
      <c r="D152" s="14" t="s">
        <v>298</v>
      </c>
      <c r="E152" s="21" t="s">
        <v>314</v>
      </c>
      <c r="F152" s="22" t="s">
        <v>327</v>
      </c>
      <c r="G152" s="16" t="s">
        <v>339</v>
      </c>
      <c r="H152" s="13">
        <v>35786</v>
      </c>
      <c r="I152" s="20" t="s">
        <v>492</v>
      </c>
      <c r="J152" s="14" t="s">
        <v>935</v>
      </c>
      <c r="K152" s="13">
        <v>43885</v>
      </c>
      <c r="L152" s="17">
        <v>60</v>
      </c>
      <c r="M152" s="13">
        <f t="shared" si="2"/>
        <v>43945</v>
      </c>
      <c r="N152" s="14" t="s">
        <v>495</v>
      </c>
      <c r="O152" s="16" t="s">
        <v>538</v>
      </c>
      <c r="P152" s="16">
        <v>3</v>
      </c>
      <c r="Q152" s="14" t="s">
        <v>501</v>
      </c>
      <c r="R152" s="13">
        <v>45215</v>
      </c>
      <c r="S152" s="13" t="s">
        <v>975</v>
      </c>
      <c r="T152" s="24"/>
    </row>
    <row r="153" spans="1:20" s="19" customFormat="1" ht="21" customHeight="1" x14ac:dyDescent="0.25">
      <c r="A153" s="12">
        <f>IF(B153="","",COUNTA($B$2:B153))</f>
        <v>152</v>
      </c>
      <c r="B153" s="20" t="s">
        <v>518</v>
      </c>
      <c r="C153" s="14"/>
      <c r="D153" s="14" t="s">
        <v>298</v>
      </c>
      <c r="E153" s="21" t="s">
        <v>314</v>
      </c>
      <c r="F153" s="22" t="s">
        <v>327</v>
      </c>
      <c r="G153" s="16" t="s">
        <v>339</v>
      </c>
      <c r="H153" s="13">
        <v>34951</v>
      </c>
      <c r="I153" s="20" t="s">
        <v>492</v>
      </c>
      <c r="J153" s="14" t="s">
        <v>935</v>
      </c>
      <c r="K153" s="13">
        <v>43885</v>
      </c>
      <c r="L153" s="17">
        <v>60</v>
      </c>
      <c r="M153" s="13">
        <f t="shared" si="2"/>
        <v>43945</v>
      </c>
      <c r="N153" s="14" t="s">
        <v>495</v>
      </c>
      <c r="O153" s="16" t="s">
        <v>539</v>
      </c>
      <c r="P153" s="16">
        <v>3</v>
      </c>
      <c r="Q153" s="14" t="s">
        <v>501</v>
      </c>
      <c r="R153" s="13">
        <v>45215</v>
      </c>
      <c r="S153" s="13" t="s">
        <v>975</v>
      </c>
      <c r="T153" s="24"/>
    </row>
    <row r="154" spans="1:20" s="19" customFormat="1" ht="21" customHeight="1" x14ac:dyDescent="0.25">
      <c r="A154" s="12">
        <f>IF(B154="","",COUNTA($B$2:B154))</f>
        <v>153</v>
      </c>
      <c r="B154" s="13" t="s">
        <v>923</v>
      </c>
      <c r="C154" s="14"/>
      <c r="D154" s="14" t="s">
        <v>298</v>
      </c>
      <c r="E154" s="14" t="s">
        <v>314</v>
      </c>
      <c r="F154" s="15" t="s">
        <v>327</v>
      </c>
      <c r="G154" s="16" t="s">
        <v>341</v>
      </c>
      <c r="H154" s="13">
        <v>34612</v>
      </c>
      <c r="I154" s="14" t="s">
        <v>492</v>
      </c>
      <c r="J154" s="14" t="s">
        <v>507</v>
      </c>
      <c r="K154" s="13">
        <v>43885</v>
      </c>
      <c r="L154" s="17">
        <v>60</v>
      </c>
      <c r="M154" s="13">
        <f t="shared" si="2"/>
        <v>43945</v>
      </c>
      <c r="N154" s="14"/>
      <c r="O154" s="14" t="s">
        <v>539</v>
      </c>
      <c r="P154" s="14"/>
      <c r="Q154" s="14"/>
      <c r="R154" s="13">
        <v>45130</v>
      </c>
      <c r="S154" s="13" t="s">
        <v>973</v>
      </c>
      <c r="T154" s="24"/>
    </row>
    <row r="155" spans="1:20" s="19" customFormat="1" ht="21" customHeight="1" x14ac:dyDescent="0.25">
      <c r="A155" s="12">
        <f>IF(B155="","",COUNTA($B$2:B155))</f>
        <v>154</v>
      </c>
      <c r="B155" s="13" t="s">
        <v>872</v>
      </c>
      <c r="C155" s="14"/>
      <c r="D155" s="14" t="s">
        <v>299</v>
      </c>
      <c r="E155" s="14" t="s">
        <v>311</v>
      </c>
      <c r="F155" s="22" t="s">
        <v>318</v>
      </c>
      <c r="G155" s="16" t="s">
        <v>320</v>
      </c>
      <c r="H155" s="13">
        <v>32143</v>
      </c>
      <c r="I155" s="14" t="s">
        <v>492</v>
      </c>
      <c r="J155" s="14" t="s">
        <v>507</v>
      </c>
      <c r="K155" s="13">
        <v>43885</v>
      </c>
      <c r="L155" s="17">
        <v>60</v>
      </c>
      <c r="M155" s="13">
        <f t="shared" si="2"/>
        <v>43945</v>
      </c>
      <c r="N155" s="14"/>
      <c r="O155" s="14" t="s">
        <v>541</v>
      </c>
      <c r="P155" s="14"/>
      <c r="Q155" s="14"/>
      <c r="R155" s="13">
        <v>44958</v>
      </c>
      <c r="S155" s="13" t="s">
        <v>972</v>
      </c>
      <c r="T155" s="18"/>
    </row>
    <row r="156" spans="1:20" s="19" customFormat="1" ht="21" customHeight="1" x14ac:dyDescent="0.25">
      <c r="A156" s="12">
        <f>IF(B156="","",COUNTA($B$2:B156))</f>
        <v>155</v>
      </c>
      <c r="B156" s="13" t="s">
        <v>156</v>
      </c>
      <c r="C156" s="14"/>
      <c r="D156" s="14" t="s">
        <v>298</v>
      </c>
      <c r="E156" s="14" t="s">
        <v>311</v>
      </c>
      <c r="F156" s="22" t="s">
        <v>317</v>
      </c>
      <c r="G156" s="16" t="s">
        <v>320</v>
      </c>
      <c r="H156" s="13">
        <v>33491</v>
      </c>
      <c r="I156" s="14" t="s">
        <v>492</v>
      </c>
      <c r="J156" s="14" t="s">
        <v>504</v>
      </c>
      <c r="K156" s="13">
        <v>43885</v>
      </c>
      <c r="L156" s="17">
        <v>60</v>
      </c>
      <c r="M156" s="13">
        <f t="shared" si="2"/>
        <v>43945</v>
      </c>
      <c r="N156" s="14"/>
      <c r="O156" s="14" t="s">
        <v>539</v>
      </c>
      <c r="P156" s="14"/>
      <c r="Q156" s="14"/>
      <c r="R156" s="13">
        <v>44652</v>
      </c>
      <c r="S156" s="13" t="s">
        <v>972</v>
      </c>
      <c r="T156" s="18"/>
    </row>
    <row r="157" spans="1:20" s="19" customFormat="1" ht="21" customHeight="1" x14ac:dyDescent="0.25">
      <c r="A157" s="12">
        <f>IF(B157="","",COUNTA($B$2:B157))</f>
        <v>156</v>
      </c>
      <c r="B157" s="13" t="s">
        <v>704</v>
      </c>
      <c r="C157" s="14"/>
      <c r="D157" s="14" t="s">
        <v>299</v>
      </c>
      <c r="E157" s="14" t="s">
        <v>301</v>
      </c>
      <c r="F157" s="15" t="s">
        <v>464</v>
      </c>
      <c r="G157" s="16" t="s">
        <v>483</v>
      </c>
      <c r="H157" s="13">
        <v>34001</v>
      </c>
      <c r="I157" s="14" t="s">
        <v>491</v>
      </c>
      <c r="J157" s="14" t="s">
        <v>507</v>
      </c>
      <c r="K157" s="13">
        <v>43885</v>
      </c>
      <c r="L157" s="17">
        <v>60</v>
      </c>
      <c r="M157" s="13">
        <f t="shared" si="2"/>
        <v>43945</v>
      </c>
      <c r="N157" s="14"/>
      <c r="O157" s="14" t="s">
        <v>541</v>
      </c>
      <c r="P157" s="14"/>
      <c r="Q157" s="14"/>
      <c r="R157" s="13">
        <v>44635</v>
      </c>
      <c r="S157" s="13" t="s">
        <v>972</v>
      </c>
      <c r="T157" s="18"/>
    </row>
    <row r="158" spans="1:20" s="19" customFormat="1" ht="21" customHeight="1" x14ac:dyDescent="0.25">
      <c r="A158" s="12">
        <f>IF(B158="","",COUNTA($B$2:B158))</f>
        <v>157</v>
      </c>
      <c r="B158" s="13" t="s">
        <v>697</v>
      </c>
      <c r="C158" s="14"/>
      <c r="D158" s="14" t="s">
        <v>298</v>
      </c>
      <c r="E158" s="14" t="s">
        <v>314</v>
      </c>
      <c r="F158" s="15" t="s">
        <v>327</v>
      </c>
      <c r="G158" s="16" t="s">
        <v>341</v>
      </c>
      <c r="H158" s="13">
        <v>35701</v>
      </c>
      <c r="I158" s="14" t="s">
        <v>492</v>
      </c>
      <c r="J158" s="14" t="s">
        <v>507</v>
      </c>
      <c r="K158" s="13">
        <v>43885</v>
      </c>
      <c r="L158" s="17">
        <v>60</v>
      </c>
      <c r="M158" s="13">
        <f t="shared" si="2"/>
        <v>43945</v>
      </c>
      <c r="N158" s="14"/>
      <c r="O158" s="14" t="s">
        <v>539</v>
      </c>
      <c r="P158" s="14"/>
      <c r="Q158" s="14"/>
      <c r="R158" s="13">
        <v>44621</v>
      </c>
      <c r="S158" s="13" t="s">
        <v>972</v>
      </c>
      <c r="T158" s="18"/>
    </row>
    <row r="159" spans="1:20" s="19" customFormat="1" ht="21" customHeight="1" x14ac:dyDescent="0.25">
      <c r="A159" s="12">
        <f>IF(B159="","",COUNTA($B$2:B159))</f>
        <v>158</v>
      </c>
      <c r="B159" s="13" t="s">
        <v>674</v>
      </c>
      <c r="C159" s="14"/>
      <c r="D159" s="14" t="s">
        <v>298</v>
      </c>
      <c r="E159" s="14" t="s">
        <v>314</v>
      </c>
      <c r="F159" s="22" t="s">
        <v>330</v>
      </c>
      <c r="G159" s="16" t="s">
        <v>361</v>
      </c>
      <c r="H159" s="13">
        <v>35187</v>
      </c>
      <c r="I159" s="14" t="s">
        <v>491</v>
      </c>
      <c r="J159" s="14" t="s">
        <v>504</v>
      </c>
      <c r="K159" s="13">
        <v>43885</v>
      </c>
      <c r="L159" s="17">
        <v>60</v>
      </c>
      <c r="M159" s="13">
        <f t="shared" si="2"/>
        <v>43945</v>
      </c>
      <c r="N159" s="14"/>
      <c r="O159" s="14" t="s">
        <v>539</v>
      </c>
      <c r="P159" s="14"/>
      <c r="Q159" s="14"/>
      <c r="R159" s="13">
        <v>44593</v>
      </c>
      <c r="S159" s="13" t="s">
        <v>972</v>
      </c>
      <c r="T159" s="18"/>
    </row>
    <row r="160" spans="1:20" s="19" customFormat="1" ht="21" customHeight="1" x14ac:dyDescent="0.25">
      <c r="A160" s="12">
        <f>IF(B160="","",COUNTA($B$2:B160))</f>
        <v>159</v>
      </c>
      <c r="B160" s="20" t="s">
        <v>573</v>
      </c>
      <c r="C160" s="14"/>
      <c r="D160" s="14" t="s">
        <v>300</v>
      </c>
      <c r="E160" s="21" t="s">
        <v>311</v>
      </c>
      <c r="F160" s="22" t="s">
        <v>939</v>
      </c>
      <c r="G160" s="16" t="s">
        <v>964</v>
      </c>
      <c r="H160" s="13">
        <v>33922</v>
      </c>
      <c r="I160" s="20" t="s">
        <v>492</v>
      </c>
      <c r="J160" s="14" t="s">
        <v>506</v>
      </c>
      <c r="K160" s="13">
        <v>43885</v>
      </c>
      <c r="L160" s="17">
        <v>60</v>
      </c>
      <c r="M160" s="13">
        <f t="shared" si="2"/>
        <v>43945</v>
      </c>
      <c r="N160" s="14"/>
      <c r="O160" s="16" t="s">
        <v>539</v>
      </c>
      <c r="P160" s="16"/>
      <c r="Q160" s="14"/>
      <c r="R160" s="13">
        <v>44287</v>
      </c>
      <c r="S160" s="13" t="s">
        <v>972</v>
      </c>
      <c r="T160" s="18"/>
    </row>
    <row r="161" spans="1:20" s="19" customFormat="1" ht="21" customHeight="1" x14ac:dyDescent="0.25">
      <c r="A161" s="12">
        <f>IF(B161="","",COUNTA($B$2:B161))</f>
        <v>160</v>
      </c>
      <c r="B161" s="20" t="s">
        <v>561</v>
      </c>
      <c r="C161" s="14"/>
      <c r="D161" s="14" t="s">
        <v>299</v>
      </c>
      <c r="E161" s="21" t="s">
        <v>311</v>
      </c>
      <c r="F161" s="22" t="s">
        <v>317</v>
      </c>
      <c r="G161" s="16" t="s">
        <v>320</v>
      </c>
      <c r="H161" s="13">
        <v>31246</v>
      </c>
      <c r="I161" s="20" t="s">
        <v>491</v>
      </c>
      <c r="J161" s="14" t="s">
        <v>507</v>
      </c>
      <c r="K161" s="13">
        <v>43887</v>
      </c>
      <c r="L161" s="17">
        <v>60</v>
      </c>
      <c r="M161" s="13">
        <f t="shared" si="2"/>
        <v>43947</v>
      </c>
      <c r="N161" s="14"/>
      <c r="O161" s="16" t="s">
        <v>541</v>
      </c>
      <c r="P161" s="16"/>
      <c r="Q161" s="14"/>
      <c r="R161" s="13">
        <v>44276</v>
      </c>
      <c r="S161" s="13" t="s">
        <v>972</v>
      </c>
      <c r="T161" s="18"/>
    </row>
    <row r="162" spans="1:20" s="19" customFormat="1" ht="21" customHeight="1" x14ac:dyDescent="0.25">
      <c r="A162" s="12">
        <f>IF(B162="","",COUNTA($B$2:B162))</f>
        <v>161</v>
      </c>
      <c r="B162" s="20" t="s">
        <v>49</v>
      </c>
      <c r="C162" s="14"/>
      <c r="D162" s="14" t="s">
        <v>300</v>
      </c>
      <c r="E162" s="21" t="s">
        <v>304</v>
      </c>
      <c r="F162" s="22" t="s">
        <v>315</v>
      </c>
      <c r="G162" s="16" t="s">
        <v>381</v>
      </c>
      <c r="H162" s="13">
        <v>33750</v>
      </c>
      <c r="I162" s="20" t="s">
        <v>491</v>
      </c>
      <c r="J162" s="14" t="s">
        <v>504</v>
      </c>
      <c r="K162" s="13">
        <v>43892</v>
      </c>
      <c r="L162" s="17">
        <v>60</v>
      </c>
      <c r="M162" s="13">
        <f t="shared" si="2"/>
        <v>43952</v>
      </c>
      <c r="N162" s="14" t="s">
        <v>495</v>
      </c>
      <c r="O162" s="16" t="s">
        <v>538</v>
      </c>
      <c r="P162" s="16">
        <v>3</v>
      </c>
      <c r="Q162" s="14" t="s">
        <v>501</v>
      </c>
      <c r="R162" s="23"/>
      <c r="S162" s="23"/>
      <c r="T162" s="24"/>
    </row>
    <row r="163" spans="1:20" s="19" customFormat="1" ht="21" customHeight="1" x14ac:dyDescent="0.25">
      <c r="A163" s="12">
        <f>IF(B163="","",COUNTA($B$2:B163))</f>
        <v>162</v>
      </c>
      <c r="B163" s="20" t="s">
        <v>90</v>
      </c>
      <c r="C163" s="14"/>
      <c r="D163" s="14" t="s">
        <v>298</v>
      </c>
      <c r="E163" s="21" t="s">
        <v>309</v>
      </c>
      <c r="F163" s="22" t="s">
        <v>399</v>
      </c>
      <c r="G163" s="16" t="s">
        <v>402</v>
      </c>
      <c r="H163" s="13">
        <v>35262</v>
      </c>
      <c r="I163" s="20" t="s">
        <v>491</v>
      </c>
      <c r="J163" s="14" t="s">
        <v>504</v>
      </c>
      <c r="K163" s="13">
        <v>43892</v>
      </c>
      <c r="L163" s="17">
        <v>60</v>
      </c>
      <c r="M163" s="13">
        <f t="shared" si="2"/>
        <v>43952</v>
      </c>
      <c r="N163" s="14" t="s">
        <v>495</v>
      </c>
      <c r="O163" s="16" t="s">
        <v>539</v>
      </c>
      <c r="P163" s="16">
        <v>3</v>
      </c>
      <c r="Q163" s="14" t="s">
        <v>501</v>
      </c>
      <c r="R163" s="23"/>
      <c r="S163" s="23"/>
      <c r="T163" s="24"/>
    </row>
    <row r="164" spans="1:20" s="19" customFormat="1" ht="21" customHeight="1" x14ac:dyDescent="0.25">
      <c r="A164" s="12">
        <f>IF(B164="","",COUNTA($B$2:B164))</f>
        <v>163</v>
      </c>
      <c r="B164" s="13" t="s">
        <v>867</v>
      </c>
      <c r="C164" s="14"/>
      <c r="D164" s="14" t="s">
        <v>298</v>
      </c>
      <c r="E164" s="14" t="s">
        <v>313</v>
      </c>
      <c r="F164" s="15" t="s">
        <v>944</v>
      </c>
      <c r="G164" s="14" t="s">
        <v>958</v>
      </c>
      <c r="H164" s="13">
        <v>33506</v>
      </c>
      <c r="I164" s="14" t="s">
        <v>492</v>
      </c>
      <c r="J164" s="14" t="s">
        <v>504</v>
      </c>
      <c r="K164" s="13">
        <v>43892</v>
      </c>
      <c r="L164" s="17">
        <v>60</v>
      </c>
      <c r="M164" s="13">
        <f t="shared" si="2"/>
        <v>43952</v>
      </c>
      <c r="N164" s="14"/>
      <c r="O164" s="14" t="s">
        <v>538</v>
      </c>
      <c r="P164" s="14"/>
      <c r="Q164" s="14"/>
      <c r="R164" s="13">
        <v>44946</v>
      </c>
      <c r="S164" s="13" t="s">
        <v>972</v>
      </c>
      <c r="T164" s="18"/>
    </row>
    <row r="165" spans="1:20" s="19" customFormat="1" ht="21" customHeight="1" x14ac:dyDescent="0.25">
      <c r="A165" s="12">
        <f>IF(B165="","",COUNTA($B$2:B165))</f>
        <v>164</v>
      </c>
      <c r="B165" s="13" t="s">
        <v>734</v>
      </c>
      <c r="C165" s="14"/>
      <c r="D165" s="14" t="s">
        <v>298</v>
      </c>
      <c r="E165" s="14" t="s">
        <v>313</v>
      </c>
      <c r="F165" s="15" t="s">
        <v>942</v>
      </c>
      <c r="G165" s="14" t="s">
        <v>960</v>
      </c>
      <c r="H165" s="13">
        <v>33174</v>
      </c>
      <c r="I165" s="14" t="s">
        <v>492</v>
      </c>
      <c r="J165" s="14" t="s">
        <v>504</v>
      </c>
      <c r="K165" s="13">
        <v>43892</v>
      </c>
      <c r="L165" s="17">
        <v>60</v>
      </c>
      <c r="M165" s="13">
        <f t="shared" si="2"/>
        <v>43952</v>
      </c>
      <c r="N165" s="14"/>
      <c r="O165" s="14" t="s">
        <v>538</v>
      </c>
      <c r="P165" s="14"/>
      <c r="Q165" s="14"/>
      <c r="R165" s="13">
        <v>44682</v>
      </c>
      <c r="S165" s="13" t="s">
        <v>973</v>
      </c>
      <c r="T165" s="18"/>
    </row>
    <row r="166" spans="1:20" s="19" customFormat="1" ht="21" customHeight="1" x14ac:dyDescent="0.25">
      <c r="A166" s="12">
        <f>IF(B166="","",COUNTA($B$2:B166))</f>
        <v>165</v>
      </c>
      <c r="B166" s="13" t="s">
        <v>736</v>
      </c>
      <c r="C166" s="14"/>
      <c r="D166" s="14" t="s">
        <v>298</v>
      </c>
      <c r="E166" s="14" t="s">
        <v>313</v>
      </c>
      <c r="F166" s="15" t="s">
        <v>942</v>
      </c>
      <c r="G166" s="14" t="s">
        <v>960</v>
      </c>
      <c r="H166" s="13">
        <v>31902</v>
      </c>
      <c r="I166" s="14" t="s">
        <v>492</v>
      </c>
      <c r="J166" s="14" t="s">
        <v>507</v>
      </c>
      <c r="K166" s="13">
        <v>43892</v>
      </c>
      <c r="L166" s="17">
        <v>60</v>
      </c>
      <c r="M166" s="13">
        <f t="shared" si="2"/>
        <v>43952</v>
      </c>
      <c r="N166" s="14"/>
      <c r="O166" s="14" t="s">
        <v>538</v>
      </c>
      <c r="P166" s="14"/>
      <c r="Q166" s="14"/>
      <c r="R166" s="13">
        <v>44682</v>
      </c>
      <c r="S166" s="13" t="s">
        <v>972</v>
      </c>
      <c r="T166" s="18"/>
    </row>
    <row r="167" spans="1:20" s="19" customFormat="1" ht="21" customHeight="1" x14ac:dyDescent="0.25">
      <c r="A167" s="12">
        <f>IF(B167="","",COUNTA($B$2:B167))</f>
        <v>166</v>
      </c>
      <c r="B167" s="13" t="s">
        <v>669</v>
      </c>
      <c r="C167" s="14"/>
      <c r="D167" s="14" t="s">
        <v>298</v>
      </c>
      <c r="E167" s="14" t="s">
        <v>313</v>
      </c>
      <c r="F167" s="15" t="s">
        <v>942</v>
      </c>
      <c r="G167" s="14" t="s">
        <v>960</v>
      </c>
      <c r="H167" s="13">
        <v>33071</v>
      </c>
      <c r="I167" s="14" t="s">
        <v>492</v>
      </c>
      <c r="J167" s="14" t="s">
        <v>504</v>
      </c>
      <c r="K167" s="13">
        <v>43892</v>
      </c>
      <c r="L167" s="17">
        <v>60</v>
      </c>
      <c r="M167" s="13">
        <f t="shared" si="2"/>
        <v>43952</v>
      </c>
      <c r="N167" s="14"/>
      <c r="O167" s="14" t="s">
        <v>938</v>
      </c>
      <c r="P167" s="14"/>
      <c r="Q167" s="14"/>
      <c r="R167" s="13">
        <v>44574</v>
      </c>
      <c r="S167" s="13" t="s">
        <v>973</v>
      </c>
      <c r="T167" s="18"/>
    </row>
    <row r="168" spans="1:20" s="19" customFormat="1" ht="21" customHeight="1" x14ac:dyDescent="0.25">
      <c r="A168" s="12">
        <f>IF(B168="","",COUNTA($B$2:B168))</f>
        <v>167</v>
      </c>
      <c r="B168" s="13" t="s">
        <v>612</v>
      </c>
      <c r="C168" s="14"/>
      <c r="D168" s="14" t="s">
        <v>298</v>
      </c>
      <c r="E168" s="14" t="s">
        <v>311</v>
      </c>
      <c r="F168" s="22" t="s">
        <v>939</v>
      </c>
      <c r="G168" s="16" t="s">
        <v>964</v>
      </c>
      <c r="H168" s="13">
        <v>34040</v>
      </c>
      <c r="I168" s="14" t="s">
        <v>492</v>
      </c>
      <c r="J168" s="14" t="s">
        <v>504</v>
      </c>
      <c r="K168" s="13">
        <v>43892</v>
      </c>
      <c r="L168" s="17">
        <v>60</v>
      </c>
      <c r="M168" s="13">
        <f t="shared" si="2"/>
        <v>43952</v>
      </c>
      <c r="N168" s="14"/>
      <c r="O168" s="14" t="s">
        <v>541</v>
      </c>
      <c r="P168" s="14"/>
      <c r="Q168" s="14"/>
      <c r="R168" s="13">
        <v>44377</v>
      </c>
      <c r="S168" s="13" t="s">
        <v>972</v>
      </c>
      <c r="T168" s="18"/>
    </row>
    <row r="169" spans="1:20" s="19" customFormat="1" ht="21" customHeight="1" x14ac:dyDescent="0.25">
      <c r="A169" s="12">
        <f>IF(B169="","",COUNTA($B$2:B169))</f>
        <v>168</v>
      </c>
      <c r="B169" s="20" t="s">
        <v>583</v>
      </c>
      <c r="C169" s="14"/>
      <c r="D169" s="14" t="s">
        <v>298</v>
      </c>
      <c r="E169" s="21" t="s">
        <v>311</v>
      </c>
      <c r="F169" s="22" t="s">
        <v>939</v>
      </c>
      <c r="G169" s="16" t="s">
        <v>964</v>
      </c>
      <c r="H169" s="13">
        <v>33562</v>
      </c>
      <c r="I169" s="20" t="s">
        <v>492</v>
      </c>
      <c r="J169" s="14" t="s">
        <v>504</v>
      </c>
      <c r="K169" s="13">
        <v>43892</v>
      </c>
      <c r="L169" s="17">
        <v>60</v>
      </c>
      <c r="M169" s="13">
        <f t="shared" si="2"/>
        <v>43952</v>
      </c>
      <c r="N169" s="14"/>
      <c r="O169" s="16" t="s">
        <v>938</v>
      </c>
      <c r="P169" s="16"/>
      <c r="Q169" s="14"/>
      <c r="R169" s="13">
        <v>44301</v>
      </c>
      <c r="S169" s="13" t="s">
        <v>972</v>
      </c>
      <c r="T169" s="18"/>
    </row>
    <row r="170" spans="1:20" s="19" customFormat="1" ht="21" customHeight="1" x14ac:dyDescent="0.25">
      <c r="A170" s="12">
        <f>IF(B170="","",COUNTA($B$2:B170))</f>
        <v>169</v>
      </c>
      <c r="B170" s="13" t="s">
        <v>731</v>
      </c>
      <c r="C170" s="14"/>
      <c r="D170" s="14" t="s">
        <v>298</v>
      </c>
      <c r="E170" s="14" t="s">
        <v>314</v>
      </c>
      <c r="F170" s="15" t="s">
        <v>314</v>
      </c>
      <c r="G170" s="16" t="s">
        <v>331</v>
      </c>
      <c r="H170" s="13">
        <v>29566</v>
      </c>
      <c r="I170" s="14" t="s">
        <v>492</v>
      </c>
      <c r="J170" s="14" t="s">
        <v>504</v>
      </c>
      <c r="K170" s="13">
        <v>43895</v>
      </c>
      <c r="L170" s="17">
        <v>60</v>
      </c>
      <c r="M170" s="13">
        <f t="shared" si="2"/>
        <v>43955</v>
      </c>
      <c r="N170" s="14"/>
      <c r="O170" s="14" t="s">
        <v>938</v>
      </c>
      <c r="P170" s="14"/>
      <c r="Q170" s="14"/>
      <c r="R170" s="13">
        <v>44682</v>
      </c>
      <c r="S170" s="13" t="s">
        <v>973</v>
      </c>
      <c r="T170" s="18"/>
    </row>
    <row r="171" spans="1:20" s="19" customFormat="1" ht="21" customHeight="1" x14ac:dyDescent="0.25">
      <c r="A171" s="12">
        <f>IF(B171="","",COUNTA($B$2:B171))</f>
        <v>170</v>
      </c>
      <c r="B171" s="20" t="s">
        <v>548</v>
      </c>
      <c r="C171" s="14"/>
      <c r="D171" s="14" t="s">
        <v>298</v>
      </c>
      <c r="E171" s="21" t="s">
        <v>304</v>
      </c>
      <c r="F171" s="22" t="s">
        <v>327</v>
      </c>
      <c r="G171" s="16" t="s">
        <v>947</v>
      </c>
      <c r="H171" s="13">
        <v>27790</v>
      </c>
      <c r="I171" s="20" t="s">
        <v>491</v>
      </c>
      <c r="J171" s="14" t="s">
        <v>504</v>
      </c>
      <c r="K171" s="13">
        <v>43899</v>
      </c>
      <c r="L171" s="17">
        <v>60</v>
      </c>
      <c r="M171" s="13">
        <f t="shared" si="2"/>
        <v>43959</v>
      </c>
      <c r="N171" s="14"/>
      <c r="O171" s="16" t="s">
        <v>938</v>
      </c>
      <c r="P171" s="16"/>
      <c r="Q171" s="14"/>
      <c r="R171" s="13">
        <v>44219</v>
      </c>
      <c r="S171" s="13" t="s">
        <v>976</v>
      </c>
      <c r="T171" s="18"/>
    </row>
    <row r="172" spans="1:20" s="19" customFormat="1" ht="21" customHeight="1" x14ac:dyDescent="0.25">
      <c r="A172" s="12">
        <f>IF(B172="","",COUNTA($B$2:B172))</f>
        <v>171</v>
      </c>
      <c r="B172" s="13" t="s">
        <v>670</v>
      </c>
      <c r="C172" s="14"/>
      <c r="D172" s="14" t="s">
        <v>298</v>
      </c>
      <c r="E172" s="14" t="s">
        <v>309</v>
      </c>
      <c r="F172" s="22" t="s">
        <v>399</v>
      </c>
      <c r="G172" s="16" t="s">
        <v>402</v>
      </c>
      <c r="H172" s="13">
        <v>33695</v>
      </c>
      <c r="I172" s="14" t="s">
        <v>491</v>
      </c>
      <c r="J172" s="14" t="s">
        <v>507</v>
      </c>
      <c r="K172" s="13">
        <v>43903</v>
      </c>
      <c r="L172" s="17">
        <v>60</v>
      </c>
      <c r="M172" s="13">
        <f t="shared" si="2"/>
        <v>43963</v>
      </c>
      <c r="N172" s="14"/>
      <c r="O172" s="14" t="s">
        <v>938</v>
      </c>
      <c r="P172" s="14"/>
      <c r="Q172" s="14"/>
      <c r="R172" s="13">
        <v>44585</v>
      </c>
      <c r="S172" s="13" t="s">
        <v>972</v>
      </c>
      <c r="T172" s="18"/>
    </row>
    <row r="173" spans="1:20" s="19" customFormat="1" ht="21" customHeight="1" x14ac:dyDescent="0.25">
      <c r="A173" s="12">
        <f>IF(B173="","",COUNTA($B$2:B173))</f>
        <v>172</v>
      </c>
      <c r="B173" s="13" t="s">
        <v>850</v>
      </c>
      <c r="C173" s="14"/>
      <c r="D173" s="14" t="s">
        <v>298</v>
      </c>
      <c r="E173" s="14" t="s">
        <v>301</v>
      </c>
      <c r="F173" s="15" t="s">
        <v>465</v>
      </c>
      <c r="G173" s="16" t="s">
        <v>484</v>
      </c>
      <c r="H173" s="13">
        <v>34172</v>
      </c>
      <c r="I173" s="14" t="s">
        <v>491</v>
      </c>
      <c r="J173" s="14" t="s">
        <v>504</v>
      </c>
      <c r="K173" s="13">
        <v>43906</v>
      </c>
      <c r="L173" s="17">
        <v>60</v>
      </c>
      <c r="M173" s="13">
        <f t="shared" si="2"/>
        <v>43966</v>
      </c>
      <c r="N173" s="14"/>
      <c r="O173" s="14" t="s">
        <v>538</v>
      </c>
      <c r="P173" s="14"/>
      <c r="Q173" s="14"/>
      <c r="R173" s="13">
        <v>44858</v>
      </c>
      <c r="S173" s="13" t="s">
        <v>977</v>
      </c>
      <c r="T173" s="18"/>
    </row>
    <row r="174" spans="1:20" s="19" customFormat="1" ht="21" customHeight="1" x14ac:dyDescent="0.25">
      <c r="A174" s="12">
        <f>IF(B174="","",COUNTA($B$2:B174))</f>
        <v>173</v>
      </c>
      <c r="B174" s="13" t="s">
        <v>696</v>
      </c>
      <c r="C174" s="14"/>
      <c r="D174" s="14" t="s">
        <v>298</v>
      </c>
      <c r="E174" s="14" t="s">
        <v>314</v>
      </c>
      <c r="F174" s="15" t="s">
        <v>327</v>
      </c>
      <c r="G174" s="16" t="s">
        <v>341</v>
      </c>
      <c r="H174" s="13">
        <v>34133</v>
      </c>
      <c r="I174" s="14" t="s">
        <v>492</v>
      </c>
      <c r="J174" s="14" t="s">
        <v>507</v>
      </c>
      <c r="K174" s="13">
        <v>43908</v>
      </c>
      <c r="L174" s="17">
        <v>60</v>
      </c>
      <c r="M174" s="13">
        <f t="shared" si="2"/>
        <v>43968</v>
      </c>
      <c r="N174" s="14"/>
      <c r="O174" s="14" t="s">
        <v>539</v>
      </c>
      <c r="P174" s="14"/>
      <c r="Q174" s="14"/>
      <c r="R174" s="13">
        <v>44621</v>
      </c>
      <c r="S174" s="13" t="s">
        <v>977</v>
      </c>
      <c r="T174" s="18"/>
    </row>
    <row r="175" spans="1:20" s="19" customFormat="1" ht="21" customHeight="1" x14ac:dyDescent="0.25">
      <c r="A175" s="12">
        <f>IF(B175="","",COUNTA($B$2:B175))</f>
        <v>174</v>
      </c>
      <c r="B175" s="20" t="s">
        <v>25</v>
      </c>
      <c r="C175" s="14"/>
      <c r="D175" s="14" t="s">
        <v>298</v>
      </c>
      <c r="E175" s="21" t="s">
        <v>301</v>
      </c>
      <c r="F175" s="22" t="s">
        <v>465</v>
      </c>
      <c r="G175" s="16" t="s">
        <v>470</v>
      </c>
      <c r="H175" s="13">
        <v>33466</v>
      </c>
      <c r="I175" s="20" t="s">
        <v>491</v>
      </c>
      <c r="J175" s="14" t="s">
        <v>504</v>
      </c>
      <c r="K175" s="13">
        <v>43913</v>
      </c>
      <c r="L175" s="17">
        <v>60</v>
      </c>
      <c r="M175" s="13">
        <f t="shared" si="2"/>
        <v>43973</v>
      </c>
      <c r="N175" s="14" t="s">
        <v>495</v>
      </c>
      <c r="O175" s="16" t="s">
        <v>538</v>
      </c>
      <c r="P175" s="16">
        <v>3</v>
      </c>
      <c r="Q175" s="14" t="s">
        <v>501</v>
      </c>
      <c r="R175" s="23"/>
      <c r="S175" s="23"/>
      <c r="T175" s="24"/>
    </row>
    <row r="176" spans="1:20" s="19" customFormat="1" ht="21" customHeight="1" x14ac:dyDescent="0.25">
      <c r="A176" s="12">
        <f>IF(B176="","",COUNTA($B$2:B176))</f>
        <v>175</v>
      </c>
      <c r="B176" s="20" t="s">
        <v>195</v>
      </c>
      <c r="C176" s="14"/>
      <c r="D176" s="14" t="s">
        <v>299</v>
      </c>
      <c r="E176" s="21" t="s">
        <v>311</v>
      </c>
      <c r="F176" s="22" t="s">
        <v>317</v>
      </c>
      <c r="G176" s="21" t="s">
        <v>321</v>
      </c>
      <c r="H176" s="13">
        <v>30248</v>
      </c>
      <c r="I176" s="20" t="s">
        <v>491</v>
      </c>
      <c r="J176" s="14" t="s">
        <v>504</v>
      </c>
      <c r="K176" s="13">
        <v>43913</v>
      </c>
      <c r="L176" s="17">
        <v>60</v>
      </c>
      <c r="M176" s="13">
        <f t="shared" si="2"/>
        <v>43973</v>
      </c>
      <c r="N176" s="14" t="s">
        <v>495</v>
      </c>
      <c r="O176" s="16" t="s">
        <v>539</v>
      </c>
      <c r="P176" s="16">
        <v>3</v>
      </c>
      <c r="Q176" s="14" t="s">
        <v>501</v>
      </c>
      <c r="R176" s="23"/>
      <c r="S176" s="23"/>
      <c r="T176" s="24"/>
    </row>
    <row r="177" spans="1:20" s="19" customFormat="1" ht="21" customHeight="1" x14ac:dyDescent="0.25">
      <c r="A177" s="12">
        <f>IF(B177="","",COUNTA($B$2:B177))</f>
        <v>176</v>
      </c>
      <c r="B177" s="20" t="s">
        <v>288</v>
      </c>
      <c r="C177" s="14"/>
      <c r="D177" s="14" t="s">
        <v>298</v>
      </c>
      <c r="E177" s="21" t="s">
        <v>314</v>
      </c>
      <c r="F177" s="22" t="s">
        <v>330</v>
      </c>
      <c r="G177" s="16" t="s">
        <v>361</v>
      </c>
      <c r="H177" s="13">
        <v>34295</v>
      </c>
      <c r="I177" s="20" t="s">
        <v>491</v>
      </c>
      <c r="J177" s="14" t="s">
        <v>507</v>
      </c>
      <c r="K177" s="13">
        <v>43913</v>
      </c>
      <c r="L177" s="17">
        <v>60</v>
      </c>
      <c r="M177" s="13">
        <f t="shared" si="2"/>
        <v>43973</v>
      </c>
      <c r="N177" s="14" t="s">
        <v>495</v>
      </c>
      <c r="O177" s="16" t="s">
        <v>538</v>
      </c>
      <c r="P177" s="16">
        <v>3</v>
      </c>
      <c r="Q177" s="14" t="s">
        <v>501</v>
      </c>
      <c r="R177" s="23"/>
      <c r="S177" s="23"/>
      <c r="T177" s="24"/>
    </row>
    <row r="178" spans="1:20" s="19" customFormat="1" ht="21" customHeight="1" x14ac:dyDescent="0.25">
      <c r="A178" s="12">
        <f>IF(B178="","",COUNTA($B$2:B178))</f>
        <v>177</v>
      </c>
      <c r="B178" s="20" t="s">
        <v>167</v>
      </c>
      <c r="C178" s="14"/>
      <c r="D178" s="14" t="s">
        <v>298</v>
      </c>
      <c r="E178" s="21" t="s">
        <v>311</v>
      </c>
      <c r="F178" s="22" t="s">
        <v>326</v>
      </c>
      <c r="G178" s="16" t="s">
        <v>321</v>
      </c>
      <c r="H178" s="13">
        <v>30759</v>
      </c>
      <c r="I178" s="20" t="s">
        <v>491</v>
      </c>
      <c r="J178" s="14" t="s">
        <v>504</v>
      </c>
      <c r="K178" s="13">
        <v>43915</v>
      </c>
      <c r="L178" s="17">
        <v>60</v>
      </c>
      <c r="M178" s="13">
        <f t="shared" si="2"/>
        <v>43975</v>
      </c>
      <c r="N178" s="14" t="s">
        <v>495</v>
      </c>
      <c r="O178" s="16" t="s">
        <v>538</v>
      </c>
      <c r="P178" s="16">
        <v>3</v>
      </c>
      <c r="Q178" s="14" t="s">
        <v>501</v>
      </c>
      <c r="R178" s="23"/>
      <c r="S178" s="23"/>
      <c r="T178" s="24"/>
    </row>
    <row r="179" spans="1:20" s="19" customFormat="1" ht="21" customHeight="1" x14ac:dyDescent="0.25">
      <c r="A179" s="12">
        <f>IF(B179="","",COUNTA($B$2:B179))</f>
        <v>178</v>
      </c>
      <c r="B179" s="20" t="s">
        <v>100</v>
      </c>
      <c r="C179" s="14"/>
      <c r="D179" s="14" t="s">
        <v>298</v>
      </c>
      <c r="E179" s="21" t="s">
        <v>309</v>
      </c>
      <c r="F179" s="22" t="s">
        <v>329</v>
      </c>
      <c r="G179" s="16" t="s">
        <v>405</v>
      </c>
      <c r="H179" s="13">
        <v>30754</v>
      </c>
      <c r="I179" s="20" t="s">
        <v>491</v>
      </c>
      <c r="J179" s="14" t="s">
        <v>507</v>
      </c>
      <c r="K179" s="13">
        <v>43922</v>
      </c>
      <c r="L179" s="17">
        <v>60</v>
      </c>
      <c r="M179" s="13">
        <f t="shared" si="2"/>
        <v>43982</v>
      </c>
      <c r="N179" s="14" t="s">
        <v>495</v>
      </c>
      <c r="O179" s="16" t="s">
        <v>538</v>
      </c>
      <c r="P179" s="16">
        <v>3</v>
      </c>
      <c r="Q179" s="14" t="s">
        <v>501</v>
      </c>
      <c r="R179" s="23"/>
      <c r="S179" s="23"/>
      <c r="T179" s="24"/>
    </row>
    <row r="180" spans="1:20" s="19" customFormat="1" ht="21" customHeight="1" x14ac:dyDescent="0.25">
      <c r="A180" s="12">
        <f>IF(B180="","",COUNTA($B$2:B180))</f>
        <v>179</v>
      </c>
      <c r="B180" s="13" t="s">
        <v>657</v>
      </c>
      <c r="C180" s="14"/>
      <c r="D180" s="14" t="s">
        <v>298</v>
      </c>
      <c r="E180" s="14" t="s">
        <v>313</v>
      </c>
      <c r="F180" s="15" t="s">
        <v>942</v>
      </c>
      <c r="G180" s="14" t="s">
        <v>315</v>
      </c>
      <c r="H180" s="13">
        <v>34780</v>
      </c>
      <c r="I180" s="14" t="s">
        <v>491</v>
      </c>
      <c r="J180" s="14" t="s">
        <v>504</v>
      </c>
      <c r="K180" s="13">
        <v>43922</v>
      </c>
      <c r="L180" s="17">
        <v>60</v>
      </c>
      <c r="M180" s="13">
        <f t="shared" si="2"/>
        <v>43982</v>
      </c>
      <c r="N180" s="14"/>
      <c r="O180" s="14" t="s">
        <v>539</v>
      </c>
      <c r="P180" s="14"/>
      <c r="Q180" s="14"/>
      <c r="R180" s="13">
        <v>44531</v>
      </c>
      <c r="S180" s="13" t="s">
        <v>975</v>
      </c>
      <c r="T180" s="18"/>
    </row>
    <row r="181" spans="1:20" s="19" customFormat="1" ht="21" customHeight="1" x14ac:dyDescent="0.25">
      <c r="A181" s="12">
        <f>IF(B181="","",COUNTA($B$2:B181))</f>
        <v>180</v>
      </c>
      <c r="B181" s="13" t="s">
        <v>916</v>
      </c>
      <c r="C181" s="14"/>
      <c r="D181" s="14" t="s">
        <v>298</v>
      </c>
      <c r="E181" s="14" t="s">
        <v>314</v>
      </c>
      <c r="F181" s="15" t="s">
        <v>327</v>
      </c>
      <c r="G181" s="16" t="s">
        <v>341</v>
      </c>
      <c r="H181" s="13">
        <v>34404</v>
      </c>
      <c r="I181" s="14" t="s">
        <v>492</v>
      </c>
      <c r="J181" s="14" t="s">
        <v>507</v>
      </c>
      <c r="K181" s="13">
        <v>43927</v>
      </c>
      <c r="L181" s="17">
        <v>60</v>
      </c>
      <c r="M181" s="13">
        <f t="shared" si="2"/>
        <v>43987</v>
      </c>
      <c r="N181" s="14"/>
      <c r="O181" s="14" t="s">
        <v>539</v>
      </c>
      <c r="P181" s="14"/>
      <c r="Q181" s="14"/>
      <c r="R181" s="13">
        <v>45106</v>
      </c>
      <c r="S181" s="13" t="s">
        <v>976</v>
      </c>
      <c r="T181" s="24"/>
    </row>
    <row r="182" spans="1:20" s="19" customFormat="1" ht="21" customHeight="1" x14ac:dyDescent="0.25">
      <c r="A182" s="12">
        <f>IF(B182="","",COUNTA($B$2:B182))</f>
        <v>181</v>
      </c>
      <c r="B182" s="20" t="s">
        <v>558</v>
      </c>
      <c r="C182" s="14"/>
      <c r="D182" s="14" t="s">
        <v>298</v>
      </c>
      <c r="E182" s="21" t="s">
        <v>310</v>
      </c>
      <c r="F182" s="22" t="s">
        <v>415</v>
      </c>
      <c r="G182" s="16" t="s">
        <v>418</v>
      </c>
      <c r="H182" s="13">
        <v>34905</v>
      </c>
      <c r="I182" s="20" t="s">
        <v>491</v>
      </c>
      <c r="J182" s="14" t="s">
        <v>504</v>
      </c>
      <c r="K182" s="13">
        <v>43927</v>
      </c>
      <c r="L182" s="17">
        <v>60</v>
      </c>
      <c r="M182" s="13">
        <f t="shared" si="2"/>
        <v>43987</v>
      </c>
      <c r="N182" s="14"/>
      <c r="O182" s="16" t="s">
        <v>938</v>
      </c>
      <c r="P182" s="16"/>
      <c r="Q182" s="14"/>
      <c r="R182" s="13">
        <v>44266</v>
      </c>
      <c r="S182" s="13" t="s">
        <v>977</v>
      </c>
      <c r="T182" s="18"/>
    </row>
    <row r="183" spans="1:20" s="19" customFormat="1" ht="21" customHeight="1" x14ac:dyDescent="0.25">
      <c r="A183" s="12">
        <f>IF(B183="","",COUNTA($B$2:B183))</f>
        <v>182</v>
      </c>
      <c r="B183" s="20" t="s">
        <v>261</v>
      </c>
      <c r="C183" s="14"/>
      <c r="D183" s="14" t="s">
        <v>298</v>
      </c>
      <c r="E183" s="21" t="s">
        <v>314</v>
      </c>
      <c r="F183" s="22" t="s">
        <v>328</v>
      </c>
      <c r="G183" s="16" t="s">
        <v>348</v>
      </c>
      <c r="H183" s="13">
        <v>34915</v>
      </c>
      <c r="I183" s="20" t="s">
        <v>492</v>
      </c>
      <c r="J183" s="14" t="s">
        <v>504</v>
      </c>
      <c r="K183" s="13">
        <v>43934</v>
      </c>
      <c r="L183" s="17">
        <v>60</v>
      </c>
      <c r="M183" s="13">
        <f t="shared" si="2"/>
        <v>43994</v>
      </c>
      <c r="N183" s="14" t="s">
        <v>495</v>
      </c>
      <c r="O183" s="16" t="s">
        <v>539</v>
      </c>
      <c r="P183" s="16">
        <v>3</v>
      </c>
      <c r="Q183" s="14" t="s">
        <v>501</v>
      </c>
      <c r="R183" s="23"/>
      <c r="S183" s="23"/>
      <c r="T183" s="24"/>
    </row>
    <row r="184" spans="1:20" s="19" customFormat="1" ht="21" customHeight="1" x14ac:dyDescent="0.25">
      <c r="A184" s="12">
        <f>IF(B184="","",COUNTA($B$2:B184))</f>
        <v>183</v>
      </c>
      <c r="B184" s="20" t="s">
        <v>283</v>
      </c>
      <c r="C184" s="14"/>
      <c r="D184" s="14" t="s">
        <v>298</v>
      </c>
      <c r="E184" s="21" t="s">
        <v>314</v>
      </c>
      <c r="F184" s="22" t="s">
        <v>330</v>
      </c>
      <c r="G184" s="16" t="s">
        <v>359</v>
      </c>
      <c r="H184" s="13">
        <v>34218</v>
      </c>
      <c r="I184" s="20" t="s">
        <v>491</v>
      </c>
      <c r="J184" s="14" t="s">
        <v>507</v>
      </c>
      <c r="K184" s="13">
        <v>43934</v>
      </c>
      <c r="L184" s="17">
        <v>60</v>
      </c>
      <c r="M184" s="13">
        <f t="shared" si="2"/>
        <v>43994</v>
      </c>
      <c r="N184" s="14" t="s">
        <v>495</v>
      </c>
      <c r="O184" s="16" t="s">
        <v>539</v>
      </c>
      <c r="P184" s="16">
        <v>3</v>
      </c>
      <c r="Q184" s="14" t="s">
        <v>501</v>
      </c>
      <c r="R184" s="23"/>
      <c r="S184" s="23"/>
      <c r="T184" s="24"/>
    </row>
    <row r="185" spans="1:20" s="19" customFormat="1" ht="21" customHeight="1" x14ac:dyDescent="0.25">
      <c r="A185" s="12">
        <f>IF(B185="","",COUNTA($B$2:B185))</f>
        <v>184</v>
      </c>
      <c r="B185" s="13" t="s">
        <v>667</v>
      </c>
      <c r="C185" s="14"/>
      <c r="D185" s="14" t="s">
        <v>298</v>
      </c>
      <c r="E185" s="14" t="s">
        <v>314</v>
      </c>
      <c r="F185" s="22" t="s">
        <v>330</v>
      </c>
      <c r="G185" s="16" t="s">
        <v>361</v>
      </c>
      <c r="H185" s="13">
        <v>35416</v>
      </c>
      <c r="I185" s="14" t="s">
        <v>491</v>
      </c>
      <c r="J185" s="14" t="s">
        <v>507</v>
      </c>
      <c r="K185" s="13">
        <v>43934</v>
      </c>
      <c r="L185" s="17">
        <v>60</v>
      </c>
      <c r="M185" s="13">
        <f t="shared" si="2"/>
        <v>43994</v>
      </c>
      <c r="N185" s="14"/>
      <c r="O185" s="14" t="s">
        <v>539</v>
      </c>
      <c r="P185" s="14"/>
      <c r="Q185" s="14"/>
      <c r="R185" s="13">
        <v>44562</v>
      </c>
      <c r="S185" s="13" t="s">
        <v>972</v>
      </c>
      <c r="T185" s="18"/>
    </row>
    <row r="186" spans="1:20" s="19" customFormat="1" ht="21" customHeight="1" x14ac:dyDescent="0.25">
      <c r="A186" s="12">
        <f>IF(B186="","",COUNTA($B$2:B186))</f>
        <v>185</v>
      </c>
      <c r="B186" s="20" t="s">
        <v>552</v>
      </c>
      <c r="C186" s="14"/>
      <c r="D186" s="14" t="s">
        <v>298</v>
      </c>
      <c r="E186" s="21" t="s">
        <v>314</v>
      </c>
      <c r="F186" s="22" t="s">
        <v>327</v>
      </c>
      <c r="G186" s="16" t="s">
        <v>341</v>
      </c>
      <c r="H186" s="13">
        <v>27639</v>
      </c>
      <c r="I186" s="20" t="s">
        <v>492</v>
      </c>
      <c r="J186" s="14" t="s">
        <v>504</v>
      </c>
      <c r="K186" s="13">
        <v>43937</v>
      </c>
      <c r="L186" s="17">
        <v>60</v>
      </c>
      <c r="M186" s="13">
        <f t="shared" si="2"/>
        <v>43997</v>
      </c>
      <c r="N186" s="14"/>
      <c r="O186" s="16" t="s">
        <v>938</v>
      </c>
      <c r="P186" s="16"/>
      <c r="Q186" s="14"/>
      <c r="R186" s="13">
        <v>44256</v>
      </c>
      <c r="S186" s="13" t="s">
        <v>973</v>
      </c>
      <c r="T186" s="18"/>
    </row>
    <row r="187" spans="1:20" s="19" customFormat="1" ht="21" customHeight="1" x14ac:dyDescent="0.25">
      <c r="A187" s="12">
        <f>IF(B187="","",COUNTA($B$2:B187))</f>
        <v>186</v>
      </c>
      <c r="B187" s="13" t="s">
        <v>675</v>
      </c>
      <c r="C187" s="14"/>
      <c r="D187" s="14" t="s">
        <v>298</v>
      </c>
      <c r="E187" s="14" t="s">
        <v>314</v>
      </c>
      <c r="F187" s="22" t="s">
        <v>330</v>
      </c>
      <c r="G187" s="16" t="s">
        <v>361</v>
      </c>
      <c r="H187" s="13">
        <v>35252</v>
      </c>
      <c r="I187" s="14" t="s">
        <v>491</v>
      </c>
      <c r="J187" s="14" t="s">
        <v>504</v>
      </c>
      <c r="K187" s="13">
        <v>43955</v>
      </c>
      <c r="L187" s="17">
        <v>60</v>
      </c>
      <c r="M187" s="13">
        <f t="shared" si="2"/>
        <v>44015</v>
      </c>
      <c r="N187" s="14"/>
      <c r="O187" s="14" t="s">
        <v>539</v>
      </c>
      <c r="P187" s="14"/>
      <c r="Q187" s="14"/>
      <c r="R187" s="13">
        <v>44593</v>
      </c>
      <c r="S187" s="13" t="s">
        <v>973</v>
      </c>
      <c r="T187" s="18"/>
    </row>
    <row r="188" spans="1:20" s="19" customFormat="1" ht="21" customHeight="1" x14ac:dyDescent="0.25">
      <c r="A188" s="12">
        <f>IF(B188="","",COUNTA($B$2:B188))</f>
        <v>187</v>
      </c>
      <c r="B188" s="20" t="s">
        <v>553</v>
      </c>
      <c r="C188" s="14"/>
      <c r="D188" s="14" t="s">
        <v>298</v>
      </c>
      <c r="E188" s="21" t="s">
        <v>314</v>
      </c>
      <c r="F188" s="22" t="s">
        <v>327</v>
      </c>
      <c r="G188" s="16" t="s">
        <v>341</v>
      </c>
      <c r="H188" s="13">
        <v>36030</v>
      </c>
      <c r="I188" s="20" t="s">
        <v>492</v>
      </c>
      <c r="J188" s="14" t="s">
        <v>935</v>
      </c>
      <c r="K188" s="13">
        <v>43955</v>
      </c>
      <c r="L188" s="17">
        <v>60</v>
      </c>
      <c r="M188" s="13">
        <f t="shared" si="2"/>
        <v>44015</v>
      </c>
      <c r="N188" s="14"/>
      <c r="O188" s="16" t="s">
        <v>539</v>
      </c>
      <c r="P188" s="16"/>
      <c r="Q188" s="14"/>
      <c r="R188" s="13">
        <v>44256</v>
      </c>
      <c r="S188" s="13" t="s">
        <v>977</v>
      </c>
      <c r="T188" s="18"/>
    </row>
    <row r="189" spans="1:20" s="19" customFormat="1" ht="21" customHeight="1" x14ac:dyDescent="0.25">
      <c r="A189" s="12">
        <f>IF(B189="","",COUNTA($B$2:B189))</f>
        <v>188</v>
      </c>
      <c r="B189" s="20" t="s">
        <v>551</v>
      </c>
      <c r="C189" s="14"/>
      <c r="D189" s="14" t="s">
        <v>298</v>
      </c>
      <c r="E189" s="21" t="s">
        <v>314</v>
      </c>
      <c r="F189" s="22" t="s">
        <v>327</v>
      </c>
      <c r="G189" s="16" t="s">
        <v>341</v>
      </c>
      <c r="H189" s="13">
        <v>36286</v>
      </c>
      <c r="I189" s="20" t="s">
        <v>492</v>
      </c>
      <c r="J189" s="14" t="s">
        <v>935</v>
      </c>
      <c r="K189" s="13">
        <v>43955</v>
      </c>
      <c r="L189" s="17">
        <v>60</v>
      </c>
      <c r="M189" s="13">
        <f t="shared" si="2"/>
        <v>44015</v>
      </c>
      <c r="N189" s="14"/>
      <c r="O189" s="16" t="s">
        <v>539</v>
      </c>
      <c r="P189" s="16"/>
      <c r="Q189" s="14"/>
      <c r="R189" s="13">
        <v>44249</v>
      </c>
      <c r="S189" s="13" t="s">
        <v>977</v>
      </c>
      <c r="T189" s="18"/>
    </row>
    <row r="190" spans="1:20" s="19" customFormat="1" ht="21" customHeight="1" x14ac:dyDescent="0.25">
      <c r="A190" s="12">
        <f>IF(B190="","",COUNTA($B$2:B190))</f>
        <v>189</v>
      </c>
      <c r="B190" s="13" t="s">
        <v>888</v>
      </c>
      <c r="C190" s="14"/>
      <c r="D190" s="14" t="s">
        <v>298</v>
      </c>
      <c r="E190" s="14" t="s">
        <v>311</v>
      </c>
      <c r="F190" s="22" t="s">
        <v>324</v>
      </c>
      <c r="G190" s="16" t="s">
        <v>526</v>
      </c>
      <c r="H190" s="13">
        <v>33282</v>
      </c>
      <c r="I190" s="14" t="s">
        <v>492</v>
      </c>
      <c r="J190" s="14" t="s">
        <v>504</v>
      </c>
      <c r="K190" s="13">
        <v>43962</v>
      </c>
      <c r="L190" s="17">
        <v>60</v>
      </c>
      <c r="M190" s="13">
        <f t="shared" si="2"/>
        <v>44022</v>
      </c>
      <c r="N190" s="14"/>
      <c r="O190" s="14" t="s">
        <v>538</v>
      </c>
      <c r="P190" s="14"/>
      <c r="Q190" s="14"/>
      <c r="R190" s="13">
        <v>45000</v>
      </c>
      <c r="S190" s="13" t="s">
        <v>975</v>
      </c>
      <c r="T190" s="24"/>
    </row>
    <row r="191" spans="1:20" s="19" customFormat="1" ht="21" customHeight="1" x14ac:dyDescent="0.25">
      <c r="A191" s="12">
        <f>IF(B191="","",COUNTA($B$2:B191))</f>
        <v>190</v>
      </c>
      <c r="B191" s="13" t="s">
        <v>676</v>
      </c>
      <c r="C191" s="14"/>
      <c r="D191" s="14" t="s">
        <v>298</v>
      </c>
      <c r="E191" s="14" t="s">
        <v>314</v>
      </c>
      <c r="F191" s="22" t="s">
        <v>330</v>
      </c>
      <c r="G191" s="16" t="s">
        <v>361</v>
      </c>
      <c r="H191" s="13">
        <v>35946</v>
      </c>
      <c r="I191" s="14" t="s">
        <v>491</v>
      </c>
      <c r="J191" s="14" t="s">
        <v>504</v>
      </c>
      <c r="K191" s="13">
        <v>43962</v>
      </c>
      <c r="L191" s="17">
        <v>60</v>
      </c>
      <c r="M191" s="13">
        <f t="shared" si="2"/>
        <v>44022</v>
      </c>
      <c r="N191" s="14"/>
      <c r="O191" s="14" t="s">
        <v>539</v>
      </c>
      <c r="P191" s="14"/>
      <c r="Q191" s="14"/>
      <c r="R191" s="13">
        <v>44593</v>
      </c>
      <c r="S191" s="13" t="s">
        <v>977</v>
      </c>
      <c r="T191" s="18"/>
    </row>
    <row r="192" spans="1:20" s="19" customFormat="1" ht="21" customHeight="1" x14ac:dyDescent="0.25">
      <c r="A192" s="12">
        <f>IF(B192="","",COUNTA($B$2:B192))</f>
        <v>191</v>
      </c>
      <c r="B192" s="13" t="s">
        <v>613</v>
      </c>
      <c r="C192" s="14"/>
      <c r="D192" s="14" t="s">
        <v>298</v>
      </c>
      <c r="E192" s="14" t="s">
        <v>314</v>
      </c>
      <c r="F192" s="22" t="s">
        <v>330</v>
      </c>
      <c r="G192" s="16" t="s">
        <v>361</v>
      </c>
      <c r="H192" s="13">
        <v>33848</v>
      </c>
      <c r="I192" s="14" t="s">
        <v>491</v>
      </c>
      <c r="J192" s="14" t="s">
        <v>504</v>
      </c>
      <c r="K192" s="13">
        <v>43966</v>
      </c>
      <c r="L192" s="17">
        <v>60</v>
      </c>
      <c r="M192" s="13">
        <f t="shared" si="2"/>
        <v>44026</v>
      </c>
      <c r="N192" s="14"/>
      <c r="O192" s="14" t="s">
        <v>938</v>
      </c>
      <c r="P192" s="14"/>
      <c r="Q192" s="14"/>
      <c r="R192" s="13">
        <v>44377</v>
      </c>
      <c r="S192" s="13" t="s">
        <v>973</v>
      </c>
      <c r="T192" s="18"/>
    </row>
    <row r="193" spans="1:20" s="19" customFormat="1" ht="21" customHeight="1" x14ac:dyDescent="0.25">
      <c r="A193" s="12">
        <f>IF(B193="","",COUNTA($B$2:B193))</f>
        <v>192</v>
      </c>
      <c r="B193" s="13" t="s">
        <v>694</v>
      </c>
      <c r="C193" s="14"/>
      <c r="D193" s="14" t="s">
        <v>299</v>
      </c>
      <c r="E193" s="14" t="s">
        <v>314</v>
      </c>
      <c r="F193" s="15" t="s">
        <v>327</v>
      </c>
      <c r="G193" s="16" t="s">
        <v>340</v>
      </c>
      <c r="H193" s="13">
        <v>34495</v>
      </c>
      <c r="I193" s="14" t="s">
        <v>491</v>
      </c>
      <c r="J193" s="14" t="s">
        <v>507</v>
      </c>
      <c r="K193" s="13">
        <v>43977</v>
      </c>
      <c r="L193" s="17">
        <v>60</v>
      </c>
      <c r="M193" s="13">
        <f t="shared" si="2"/>
        <v>44037</v>
      </c>
      <c r="N193" s="14"/>
      <c r="O193" s="14" t="s">
        <v>539</v>
      </c>
      <c r="P193" s="14"/>
      <c r="Q193" s="14"/>
      <c r="R193" s="13">
        <v>44620</v>
      </c>
      <c r="S193" s="13" t="s">
        <v>972</v>
      </c>
      <c r="T193" s="18"/>
    </row>
    <row r="194" spans="1:20" s="19" customFormat="1" ht="21" customHeight="1" x14ac:dyDescent="0.25">
      <c r="A194" s="12">
        <f>IF(B194="","",COUNTA($B$2:B194))</f>
        <v>193</v>
      </c>
      <c r="B194" s="20" t="s">
        <v>22</v>
      </c>
      <c r="C194" s="14"/>
      <c r="D194" s="14" t="s">
        <v>298</v>
      </c>
      <c r="E194" s="21" t="s">
        <v>303</v>
      </c>
      <c r="F194" s="22" t="s">
        <v>303</v>
      </c>
      <c r="G194" s="16" t="s">
        <v>366</v>
      </c>
      <c r="H194" s="13">
        <v>27260</v>
      </c>
      <c r="I194" s="20" t="s">
        <v>491</v>
      </c>
      <c r="J194" s="14" t="s">
        <v>504</v>
      </c>
      <c r="K194" s="13">
        <v>43983</v>
      </c>
      <c r="L194" s="17">
        <v>60</v>
      </c>
      <c r="M194" s="13">
        <f t="shared" ref="M194:M257" si="3">K194+L194</f>
        <v>44043</v>
      </c>
      <c r="N194" s="14" t="s">
        <v>495</v>
      </c>
      <c r="O194" s="16" t="s">
        <v>538</v>
      </c>
      <c r="P194" s="16">
        <v>3</v>
      </c>
      <c r="Q194" s="14" t="s">
        <v>501</v>
      </c>
      <c r="R194" s="23"/>
      <c r="S194" s="23"/>
      <c r="T194" s="24"/>
    </row>
    <row r="195" spans="1:20" s="19" customFormat="1" ht="21" customHeight="1" x14ac:dyDescent="0.25">
      <c r="A195" s="12">
        <f>IF(B195="","",COUNTA($B$2:B195))</f>
        <v>194</v>
      </c>
      <c r="B195" s="13" t="s">
        <v>645</v>
      </c>
      <c r="C195" s="14"/>
      <c r="D195" s="14" t="s">
        <v>298</v>
      </c>
      <c r="E195" s="14" t="s">
        <v>314</v>
      </c>
      <c r="F195" s="15" t="s">
        <v>328</v>
      </c>
      <c r="G195" s="16" t="s">
        <v>349</v>
      </c>
      <c r="H195" s="13">
        <v>32955</v>
      </c>
      <c r="I195" s="14" t="s">
        <v>492</v>
      </c>
      <c r="J195" s="14" t="s">
        <v>504</v>
      </c>
      <c r="K195" s="13">
        <v>43983</v>
      </c>
      <c r="L195" s="17">
        <v>60</v>
      </c>
      <c r="M195" s="13">
        <f t="shared" si="3"/>
        <v>44043</v>
      </c>
      <c r="N195" s="14"/>
      <c r="O195" s="14" t="s">
        <v>938</v>
      </c>
      <c r="P195" s="14"/>
      <c r="Q195" s="14"/>
      <c r="R195" s="13">
        <v>44501</v>
      </c>
      <c r="S195" s="13" t="s">
        <v>972</v>
      </c>
      <c r="T195" s="18"/>
    </row>
    <row r="196" spans="1:20" s="19" customFormat="1" ht="21" customHeight="1" x14ac:dyDescent="0.25">
      <c r="A196" s="12">
        <f>IF(B196="","",COUNTA($B$2:B196))</f>
        <v>195</v>
      </c>
      <c r="B196" s="20" t="s">
        <v>65</v>
      </c>
      <c r="C196" s="14"/>
      <c r="D196" s="14" t="s">
        <v>298</v>
      </c>
      <c r="E196" s="21" t="s">
        <v>307</v>
      </c>
      <c r="F196" s="22" t="s">
        <v>433</v>
      </c>
      <c r="G196" s="16" t="s">
        <v>436</v>
      </c>
      <c r="H196" s="13">
        <v>32550</v>
      </c>
      <c r="I196" s="20" t="s">
        <v>491</v>
      </c>
      <c r="J196" s="14" t="s">
        <v>504</v>
      </c>
      <c r="K196" s="13">
        <v>43990</v>
      </c>
      <c r="L196" s="17">
        <v>60</v>
      </c>
      <c r="M196" s="13">
        <f t="shared" si="3"/>
        <v>44050</v>
      </c>
      <c r="N196" s="14" t="s">
        <v>495</v>
      </c>
      <c r="O196" s="16" t="s">
        <v>538</v>
      </c>
      <c r="P196" s="16">
        <v>3</v>
      </c>
      <c r="Q196" s="14" t="s">
        <v>501</v>
      </c>
      <c r="R196" s="23"/>
      <c r="S196" s="23"/>
      <c r="T196" s="24"/>
    </row>
    <row r="197" spans="1:20" s="19" customFormat="1" ht="21" customHeight="1" x14ac:dyDescent="0.25">
      <c r="A197" s="12">
        <f>IF(B197="","",COUNTA($B$2:B197))</f>
        <v>196</v>
      </c>
      <c r="B197" s="13" t="s">
        <v>677</v>
      </c>
      <c r="C197" s="14"/>
      <c r="D197" s="14" t="s">
        <v>298</v>
      </c>
      <c r="E197" s="14" t="s">
        <v>314</v>
      </c>
      <c r="F197" s="22" t="s">
        <v>330</v>
      </c>
      <c r="G197" s="16" t="s">
        <v>361</v>
      </c>
      <c r="H197" s="13">
        <v>34824</v>
      </c>
      <c r="I197" s="14" t="s">
        <v>491</v>
      </c>
      <c r="J197" s="14" t="s">
        <v>504</v>
      </c>
      <c r="K197" s="13">
        <v>43997</v>
      </c>
      <c r="L197" s="17">
        <v>60</v>
      </c>
      <c r="M197" s="13">
        <f t="shared" si="3"/>
        <v>44057</v>
      </c>
      <c r="N197" s="14"/>
      <c r="O197" s="14" t="s">
        <v>539</v>
      </c>
      <c r="P197" s="14"/>
      <c r="Q197" s="14"/>
      <c r="R197" s="13">
        <v>44593</v>
      </c>
      <c r="S197" s="13" t="s">
        <v>972</v>
      </c>
      <c r="T197" s="18"/>
    </row>
    <row r="198" spans="1:20" s="19" customFormat="1" ht="21" customHeight="1" x14ac:dyDescent="0.25">
      <c r="A198" s="12">
        <f>IF(B198="","",COUNTA($B$2:B198))</f>
        <v>197</v>
      </c>
      <c r="B198" s="13" t="s">
        <v>871</v>
      </c>
      <c r="C198" s="14"/>
      <c r="D198" s="14" t="s">
        <v>298</v>
      </c>
      <c r="E198" s="14" t="s">
        <v>310</v>
      </c>
      <c r="F198" s="15" t="s">
        <v>414</v>
      </c>
      <c r="G198" s="26" t="s">
        <v>953</v>
      </c>
      <c r="H198" s="13">
        <v>34508</v>
      </c>
      <c r="I198" s="14" t="s">
        <v>491</v>
      </c>
      <c r="J198" s="14" t="s">
        <v>504</v>
      </c>
      <c r="K198" s="13">
        <v>43998</v>
      </c>
      <c r="L198" s="17">
        <v>60</v>
      </c>
      <c r="M198" s="13">
        <f t="shared" si="3"/>
        <v>44058</v>
      </c>
      <c r="N198" s="14"/>
      <c r="O198" s="14" t="s">
        <v>538</v>
      </c>
      <c r="P198" s="14"/>
      <c r="Q198" s="14"/>
      <c r="R198" s="13">
        <v>44958</v>
      </c>
      <c r="S198" s="13" t="s">
        <v>977</v>
      </c>
      <c r="T198" s="18"/>
    </row>
    <row r="199" spans="1:20" s="19" customFormat="1" ht="21" customHeight="1" x14ac:dyDescent="0.25">
      <c r="A199" s="12">
        <f>IF(B199="","",COUNTA($B$2:B199))</f>
        <v>198</v>
      </c>
      <c r="B199" s="20" t="s">
        <v>138</v>
      </c>
      <c r="C199" s="14"/>
      <c r="D199" s="14" t="s">
        <v>298</v>
      </c>
      <c r="E199" s="21" t="s">
        <v>301</v>
      </c>
      <c r="F199" s="22" t="s">
        <v>467</v>
      </c>
      <c r="G199" s="16" t="s">
        <v>485</v>
      </c>
      <c r="H199" s="13">
        <v>33012</v>
      </c>
      <c r="I199" s="20" t="s">
        <v>492</v>
      </c>
      <c r="J199" s="14" t="s">
        <v>505</v>
      </c>
      <c r="K199" s="27">
        <v>44011</v>
      </c>
      <c r="L199" s="28">
        <v>60</v>
      </c>
      <c r="M199" s="13">
        <f t="shared" si="3"/>
        <v>44071</v>
      </c>
      <c r="N199" s="14" t="s">
        <v>495</v>
      </c>
      <c r="O199" s="16" t="s">
        <v>538</v>
      </c>
      <c r="P199" s="16">
        <v>3</v>
      </c>
      <c r="Q199" s="14" t="s">
        <v>501</v>
      </c>
      <c r="R199" s="23"/>
      <c r="S199" s="23"/>
      <c r="T199" s="24"/>
    </row>
    <row r="200" spans="1:20" s="19" customFormat="1" ht="21" customHeight="1" x14ac:dyDescent="0.25">
      <c r="A200" s="12">
        <f>IF(B200="","",COUNTA($B$2:B200))</f>
        <v>199</v>
      </c>
      <c r="B200" s="20" t="s">
        <v>240</v>
      </c>
      <c r="C200" s="14"/>
      <c r="D200" s="14" t="s">
        <v>298</v>
      </c>
      <c r="E200" s="21" t="s">
        <v>314</v>
      </c>
      <c r="F200" s="22" t="s">
        <v>327</v>
      </c>
      <c r="G200" s="16" t="s">
        <v>339</v>
      </c>
      <c r="H200" s="13">
        <v>33830</v>
      </c>
      <c r="I200" s="20" t="s">
        <v>492</v>
      </c>
      <c r="J200" s="14" t="s">
        <v>507</v>
      </c>
      <c r="K200" s="13">
        <v>44013</v>
      </c>
      <c r="L200" s="17">
        <v>60</v>
      </c>
      <c r="M200" s="13">
        <f t="shared" si="3"/>
        <v>44073</v>
      </c>
      <c r="N200" s="14" t="s">
        <v>495</v>
      </c>
      <c r="O200" s="16" t="s">
        <v>538</v>
      </c>
      <c r="P200" s="16">
        <v>3</v>
      </c>
      <c r="Q200" s="14" t="s">
        <v>501</v>
      </c>
      <c r="R200" s="23"/>
      <c r="S200" s="23"/>
      <c r="T200" s="24"/>
    </row>
    <row r="201" spans="1:20" s="19" customFormat="1" ht="21" customHeight="1" x14ac:dyDescent="0.25">
      <c r="A201" s="12">
        <f>IF(B201="","",COUNTA($B$2:B201))</f>
        <v>200</v>
      </c>
      <c r="B201" s="20" t="s">
        <v>243</v>
      </c>
      <c r="C201" s="14"/>
      <c r="D201" s="14" t="s">
        <v>300</v>
      </c>
      <c r="E201" s="21" t="s">
        <v>314</v>
      </c>
      <c r="F201" s="22" t="s">
        <v>327</v>
      </c>
      <c r="G201" s="16" t="s">
        <v>338</v>
      </c>
      <c r="H201" s="13">
        <v>35454</v>
      </c>
      <c r="I201" s="20" t="s">
        <v>492</v>
      </c>
      <c r="J201" s="14" t="s">
        <v>506</v>
      </c>
      <c r="K201" s="13">
        <v>44026</v>
      </c>
      <c r="L201" s="17">
        <v>60</v>
      </c>
      <c r="M201" s="13">
        <f t="shared" si="3"/>
        <v>44086</v>
      </c>
      <c r="N201" s="14" t="s">
        <v>495</v>
      </c>
      <c r="O201" s="16" t="s">
        <v>539</v>
      </c>
      <c r="P201" s="16">
        <v>3</v>
      </c>
      <c r="Q201" s="14" t="s">
        <v>501</v>
      </c>
      <c r="R201" s="23"/>
      <c r="S201" s="23"/>
      <c r="T201" s="24"/>
    </row>
    <row r="202" spans="1:20" s="19" customFormat="1" ht="21" customHeight="1" x14ac:dyDescent="0.25">
      <c r="A202" s="12">
        <f>IF(B202="","",COUNTA($B$2:B202))</f>
        <v>201</v>
      </c>
      <c r="B202" s="20" t="s">
        <v>574</v>
      </c>
      <c r="C202" s="14"/>
      <c r="D202" s="14" t="s">
        <v>300</v>
      </c>
      <c r="E202" s="21" t="s">
        <v>314</v>
      </c>
      <c r="F202" s="29" t="s">
        <v>327</v>
      </c>
      <c r="G202" s="16" t="s">
        <v>341</v>
      </c>
      <c r="H202" s="13">
        <v>36498</v>
      </c>
      <c r="I202" s="20" t="s">
        <v>492</v>
      </c>
      <c r="J202" s="14" t="s">
        <v>507</v>
      </c>
      <c r="K202" s="13">
        <v>44026</v>
      </c>
      <c r="L202" s="17">
        <v>60</v>
      </c>
      <c r="M202" s="13">
        <f t="shared" si="3"/>
        <v>44086</v>
      </c>
      <c r="N202" s="14"/>
      <c r="O202" s="16" t="s">
        <v>539</v>
      </c>
      <c r="P202" s="16"/>
      <c r="Q202" s="14"/>
      <c r="R202" s="13">
        <v>44287</v>
      </c>
      <c r="S202" s="13" t="s">
        <v>975</v>
      </c>
      <c r="T202" s="18"/>
    </row>
    <row r="203" spans="1:20" s="19" customFormat="1" ht="21" customHeight="1" x14ac:dyDescent="0.25">
      <c r="A203" s="12">
        <f>IF(B203="","",COUNTA($B$2:B203))</f>
        <v>202</v>
      </c>
      <c r="B203" s="20" t="s">
        <v>124</v>
      </c>
      <c r="C203" s="14"/>
      <c r="D203" s="14" t="s">
        <v>298</v>
      </c>
      <c r="E203" s="21" t="s">
        <v>301</v>
      </c>
      <c r="F203" s="22" t="s">
        <v>464</v>
      </c>
      <c r="G203" s="16" t="s">
        <v>477</v>
      </c>
      <c r="H203" s="13">
        <v>30817</v>
      </c>
      <c r="I203" s="20" t="s">
        <v>491</v>
      </c>
      <c r="J203" s="14" t="s">
        <v>504</v>
      </c>
      <c r="K203" s="13">
        <v>44032</v>
      </c>
      <c r="L203" s="17">
        <v>60</v>
      </c>
      <c r="M203" s="13">
        <f t="shared" si="3"/>
        <v>44092</v>
      </c>
      <c r="N203" s="14" t="s">
        <v>495</v>
      </c>
      <c r="O203" s="16" t="s">
        <v>538</v>
      </c>
      <c r="P203" s="16">
        <v>3</v>
      </c>
      <c r="Q203" s="14" t="s">
        <v>501</v>
      </c>
      <c r="R203" s="23"/>
      <c r="S203" s="23"/>
      <c r="T203" s="24"/>
    </row>
    <row r="204" spans="1:20" s="19" customFormat="1" ht="21" customHeight="1" x14ac:dyDescent="0.25">
      <c r="A204" s="12">
        <f>IF(B204="","",COUNTA($B$2:B204))</f>
        <v>203</v>
      </c>
      <c r="B204" s="20" t="s">
        <v>268</v>
      </c>
      <c r="C204" s="14"/>
      <c r="D204" s="14" t="s">
        <v>298</v>
      </c>
      <c r="E204" s="21" t="s">
        <v>314</v>
      </c>
      <c r="F204" s="22" t="s">
        <v>329</v>
      </c>
      <c r="G204" s="16" t="s">
        <v>353</v>
      </c>
      <c r="H204" s="13">
        <v>26573</v>
      </c>
      <c r="I204" s="20" t="s">
        <v>492</v>
      </c>
      <c r="J204" s="14" t="s">
        <v>504</v>
      </c>
      <c r="K204" s="13">
        <v>44032</v>
      </c>
      <c r="L204" s="17">
        <v>60</v>
      </c>
      <c r="M204" s="13">
        <f t="shared" si="3"/>
        <v>44092</v>
      </c>
      <c r="N204" s="14" t="s">
        <v>495</v>
      </c>
      <c r="O204" s="16" t="s">
        <v>538</v>
      </c>
      <c r="P204" s="16">
        <v>3</v>
      </c>
      <c r="Q204" s="14" t="s">
        <v>501</v>
      </c>
      <c r="R204" s="23"/>
      <c r="S204" s="23"/>
      <c r="T204" s="24"/>
    </row>
    <row r="205" spans="1:20" s="19" customFormat="1" ht="21" customHeight="1" x14ac:dyDescent="0.25">
      <c r="A205" s="12">
        <f>IF(B205="","",COUNTA($B$2:B205))</f>
        <v>204</v>
      </c>
      <c r="B205" s="20" t="s">
        <v>129</v>
      </c>
      <c r="C205" s="14"/>
      <c r="D205" s="14" t="s">
        <v>298</v>
      </c>
      <c r="E205" s="21" t="s">
        <v>301</v>
      </c>
      <c r="F205" s="22" t="s">
        <v>464</v>
      </c>
      <c r="G205" s="16" t="s">
        <v>472</v>
      </c>
      <c r="H205" s="13">
        <v>33077</v>
      </c>
      <c r="I205" s="20" t="s">
        <v>491</v>
      </c>
      <c r="J205" s="14" t="s">
        <v>504</v>
      </c>
      <c r="K205" s="13">
        <v>44046</v>
      </c>
      <c r="L205" s="17">
        <v>60</v>
      </c>
      <c r="M205" s="13">
        <f t="shared" si="3"/>
        <v>44106</v>
      </c>
      <c r="N205" s="14" t="s">
        <v>495</v>
      </c>
      <c r="O205" s="16" t="s">
        <v>538</v>
      </c>
      <c r="P205" s="16">
        <v>3</v>
      </c>
      <c r="Q205" s="14" t="s">
        <v>501</v>
      </c>
      <c r="R205" s="23"/>
      <c r="S205" s="23"/>
      <c r="T205" s="24"/>
    </row>
    <row r="206" spans="1:20" s="19" customFormat="1" ht="21" customHeight="1" x14ac:dyDescent="0.25">
      <c r="A206" s="12">
        <f>IF(B206="","",COUNTA($B$2:B206))</f>
        <v>205</v>
      </c>
      <c r="B206" s="13" t="s">
        <v>637</v>
      </c>
      <c r="C206" s="14"/>
      <c r="D206" s="14" t="s">
        <v>298</v>
      </c>
      <c r="E206" s="14" t="s">
        <v>314</v>
      </c>
      <c r="F206" s="15" t="s">
        <v>328</v>
      </c>
      <c r="G206" s="16" t="s">
        <v>342</v>
      </c>
      <c r="H206" s="13">
        <v>34434</v>
      </c>
      <c r="I206" s="14" t="s">
        <v>491</v>
      </c>
      <c r="J206" s="14" t="s">
        <v>504</v>
      </c>
      <c r="K206" s="13">
        <v>44051</v>
      </c>
      <c r="L206" s="17">
        <v>60</v>
      </c>
      <c r="M206" s="13">
        <f t="shared" si="3"/>
        <v>44111</v>
      </c>
      <c r="N206" s="14"/>
      <c r="O206" s="14" t="s">
        <v>539</v>
      </c>
      <c r="P206" s="14"/>
      <c r="Q206" s="14"/>
      <c r="R206" s="13">
        <v>44501</v>
      </c>
      <c r="S206" s="13" t="s">
        <v>977</v>
      </c>
      <c r="T206" s="18"/>
    </row>
    <row r="207" spans="1:20" s="19" customFormat="1" ht="21" customHeight="1" x14ac:dyDescent="0.25">
      <c r="A207" s="12">
        <f>IF(B207="","",COUNTA($B$2:B207))</f>
        <v>206</v>
      </c>
      <c r="B207" s="13" t="s">
        <v>604</v>
      </c>
      <c r="C207" s="14"/>
      <c r="D207" s="14" t="s">
        <v>298</v>
      </c>
      <c r="E207" s="14" t="s">
        <v>311</v>
      </c>
      <c r="F207" s="22" t="s">
        <v>317</v>
      </c>
      <c r="G207" s="16" t="s">
        <v>320</v>
      </c>
      <c r="H207" s="13">
        <v>32525</v>
      </c>
      <c r="I207" s="14" t="s">
        <v>492</v>
      </c>
      <c r="J207" s="14" t="s">
        <v>504</v>
      </c>
      <c r="K207" s="13">
        <v>44055</v>
      </c>
      <c r="L207" s="17">
        <v>60</v>
      </c>
      <c r="M207" s="13">
        <f t="shared" si="3"/>
        <v>44115</v>
      </c>
      <c r="N207" s="14"/>
      <c r="O207" s="14" t="s">
        <v>938</v>
      </c>
      <c r="P207" s="14"/>
      <c r="Q207" s="14"/>
      <c r="R207" s="13">
        <v>44362</v>
      </c>
      <c r="S207" s="13" t="s">
        <v>977</v>
      </c>
      <c r="T207" s="18"/>
    </row>
    <row r="208" spans="1:20" s="19" customFormat="1" ht="21" customHeight="1" x14ac:dyDescent="0.25">
      <c r="A208" s="12">
        <f>IF(B208="","",COUNTA($B$2:B208))</f>
        <v>207</v>
      </c>
      <c r="B208" s="20" t="s">
        <v>189</v>
      </c>
      <c r="C208" s="14"/>
      <c r="D208" s="14" t="s">
        <v>299</v>
      </c>
      <c r="E208" s="21" t="s">
        <v>311</v>
      </c>
      <c r="F208" s="22" t="s">
        <v>317</v>
      </c>
      <c r="G208" s="16" t="s">
        <v>321</v>
      </c>
      <c r="H208" s="13">
        <v>29289</v>
      </c>
      <c r="I208" s="20" t="s">
        <v>492</v>
      </c>
      <c r="J208" s="14" t="s">
        <v>504</v>
      </c>
      <c r="K208" s="13">
        <v>44068</v>
      </c>
      <c r="L208" s="17">
        <v>60</v>
      </c>
      <c r="M208" s="13">
        <f t="shared" si="3"/>
        <v>44128</v>
      </c>
      <c r="N208" s="14" t="s">
        <v>495</v>
      </c>
      <c r="O208" s="16" t="s">
        <v>538</v>
      </c>
      <c r="P208" s="16">
        <v>3</v>
      </c>
      <c r="Q208" s="14" t="s">
        <v>501</v>
      </c>
      <c r="R208" s="23"/>
      <c r="S208" s="23"/>
      <c r="T208" s="24"/>
    </row>
    <row r="209" spans="1:20" s="19" customFormat="1" ht="21" customHeight="1" x14ac:dyDescent="0.25">
      <c r="A209" s="12">
        <f>IF(B209="","",COUNTA($B$2:B209))</f>
        <v>208</v>
      </c>
      <c r="B209" s="20" t="s">
        <v>161</v>
      </c>
      <c r="C209" s="14"/>
      <c r="D209" s="14" t="s">
        <v>298</v>
      </c>
      <c r="E209" s="21" t="s">
        <v>311</v>
      </c>
      <c r="F209" s="22" t="s">
        <v>317</v>
      </c>
      <c r="G209" s="16" t="s">
        <v>320</v>
      </c>
      <c r="H209" s="13">
        <v>34678</v>
      </c>
      <c r="I209" s="20" t="s">
        <v>492</v>
      </c>
      <c r="J209" s="14" t="s">
        <v>506</v>
      </c>
      <c r="K209" s="13">
        <v>44077</v>
      </c>
      <c r="L209" s="17">
        <v>60</v>
      </c>
      <c r="M209" s="13">
        <f t="shared" si="3"/>
        <v>44137</v>
      </c>
      <c r="N209" s="14" t="s">
        <v>495</v>
      </c>
      <c r="O209" s="16" t="s">
        <v>538</v>
      </c>
      <c r="P209" s="16">
        <v>3</v>
      </c>
      <c r="Q209" s="14" t="s">
        <v>501</v>
      </c>
      <c r="R209" s="23"/>
      <c r="S209" s="23"/>
      <c r="T209" s="24"/>
    </row>
    <row r="210" spans="1:20" s="19" customFormat="1" ht="21" customHeight="1" x14ac:dyDescent="0.25">
      <c r="A210" s="12">
        <f>IF(B210="","",COUNTA($B$2:B210))</f>
        <v>209</v>
      </c>
      <c r="B210" s="20" t="s">
        <v>209</v>
      </c>
      <c r="C210" s="14"/>
      <c r="D210" s="14" t="s">
        <v>299</v>
      </c>
      <c r="E210" s="21" t="s">
        <v>313</v>
      </c>
      <c r="F210" s="22" t="s">
        <v>448</v>
      </c>
      <c r="G210" s="16" t="s">
        <v>452</v>
      </c>
      <c r="H210" s="13">
        <v>34193</v>
      </c>
      <c r="I210" s="20" t="s">
        <v>491</v>
      </c>
      <c r="J210" s="14" t="s">
        <v>507</v>
      </c>
      <c r="K210" s="13">
        <v>44077</v>
      </c>
      <c r="L210" s="17">
        <v>60</v>
      </c>
      <c r="M210" s="13">
        <f t="shared" si="3"/>
        <v>44137</v>
      </c>
      <c r="N210" s="14" t="s">
        <v>495</v>
      </c>
      <c r="O210" s="16" t="s">
        <v>539</v>
      </c>
      <c r="P210" s="16">
        <v>3</v>
      </c>
      <c r="Q210" s="14" t="s">
        <v>501</v>
      </c>
      <c r="R210" s="23"/>
      <c r="S210" s="23"/>
      <c r="T210" s="24"/>
    </row>
    <row r="211" spans="1:20" s="19" customFormat="1" ht="21" customHeight="1" x14ac:dyDescent="0.25">
      <c r="A211" s="12">
        <f>IF(B211="","",COUNTA($B$2:B211))</f>
        <v>210</v>
      </c>
      <c r="B211" s="20" t="s">
        <v>215</v>
      </c>
      <c r="C211" s="14"/>
      <c r="D211" s="14" t="s">
        <v>298</v>
      </c>
      <c r="E211" s="21" t="s">
        <v>313</v>
      </c>
      <c r="F211" s="22" t="s">
        <v>450</v>
      </c>
      <c r="G211" s="16" t="s">
        <v>456</v>
      </c>
      <c r="H211" s="13">
        <v>32889</v>
      </c>
      <c r="I211" s="20" t="s">
        <v>492</v>
      </c>
      <c r="J211" s="14" t="s">
        <v>504</v>
      </c>
      <c r="K211" s="13">
        <v>44077</v>
      </c>
      <c r="L211" s="17">
        <v>60</v>
      </c>
      <c r="M211" s="13">
        <f t="shared" si="3"/>
        <v>44137</v>
      </c>
      <c r="N211" s="14" t="s">
        <v>495</v>
      </c>
      <c r="O211" s="16" t="s">
        <v>539</v>
      </c>
      <c r="P211" s="16">
        <v>3</v>
      </c>
      <c r="Q211" s="14" t="s">
        <v>501</v>
      </c>
      <c r="R211" s="23"/>
      <c r="S211" s="23"/>
      <c r="T211" s="24"/>
    </row>
    <row r="212" spans="1:20" s="19" customFormat="1" ht="21" customHeight="1" x14ac:dyDescent="0.25">
      <c r="A212" s="12">
        <f>IF(B212="","",COUNTA($B$2:B212))</f>
        <v>211</v>
      </c>
      <c r="B212" s="20" t="s">
        <v>222</v>
      </c>
      <c r="C212" s="14"/>
      <c r="D212" s="14" t="s">
        <v>299</v>
      </c>
      <c r="E212" s="21" t="s">
        <v>313</v>
      </c>
      <c r="F212" s="22" t="s">
        <v>450</v>
      </c>
      <c r="G212" s="16" t="s">
        <v>456</v>
      </c>
      <c r="H212" s="13">
        <v>33912</v>
      </c>
      <c r="I212" s="20" t="s">
        <v>492</v>
      </c>
      <c r="J212" s="14" t="s">
        <v>504</v>
      </c>
      <c r="K212" s="13">
        <v>44077</v>
      </c>
      <c r="L212" s="17">
        <v>60</v>
      </c>
      <c r="M212" s="13">
        <f t="shared" si="3"/>
        <v>44137</v>
      </c>
      <c r="N212" s="14" t="s">
        <v>495</v>
      </c>
      <c r="O212" s="16" t="s">
        <v>539</v>
      </c>
      <c r="P212" s="16">
        <v>3</v>
      </c>
      <c r="Q212" s="14" t="s">
        <v>501</v>
      </c>
      <c r="R212" s="23"/>
      <c r="S212" s="23"/>
      <c r="T212" s="24"/>
    </row>
    <row r="213" spans="1:20" s="19" customFormat="1" ht="21" customHeight="1" x14ac:dyDescent="0.25">
      <c r="A213" s="12">
        <f>IF(B213="","",COUNTA($B$2:B213))</f>
        <v>212</v>
      </c>
      <c r="B213" s="20" t="s">
        <v>223</v>
      </c>
      <c r="C213" s="14"/>
      <c r="D213" s="14" t="s">
        <v>299</v>
      </c>
      <c r="E213" s="21" t="s">
        <v>313</v>
      </c>
      <c r="F213" s="22" t="s">
        <v>450</v>
      </c>
      <c r="G213" s="16" t="s">
        <v>456</v>
      </c>
      <c r="H213" s="13">
        <v>34589</v>
      </c>
      <c r="I213" s="20" t="s">
        <v>492</v>
      </c>
      <c r="J213" s="14" t="s">
        <v>507</v>
      </c>
      <c r="K213" s="13">
        <v>44077</v>
      </c>
      <c r="L213" s="17">
        <v>60</v>
      </c>
      <c r="M213" s="13">
        <f t="shared" si="3"/>
        <v>44137</v>
      </c>
      <c r="N213" s="14" t="s">
        <v>495</v>
      </c>
      <c r="O213" s="16" t="s">
        <v>539</v>
      </c>
      <c r="P213" s="16">
        <v>3</v>
      </c>
      <c r="Q213" s="14" t="s">
        <v>501</v>
      </c>
      <c r="R213" s="23"/>
      <c r="S213" s="23"/>
      <c r="T213" s="24"/>
    </row>
    <row r="214" spans="1:20" s="19" customFormat="1" ht="21" customHeight="1" x14ac:dyDescent="0.25">
      <c r="A214" s="12">
        <f>IF(B214="","",COUNTA($B$2:B214))</f>
        <v>213</v>
      </c>
      <c r="B214" s="13" t="s">
        <v>757</v>
      </c>
      <c r="C214" s="14"/>
      <c r="D214" s="14" t="s">
        <v>299</v>
      </c>
      <c r="E214" s="14" t="s">
        <v>311</v>
      </c>
      <c r="F214" s="22" t="s">
        <v>316</v>
      </c>
      <c r="G214" s="16" t="s">
        <v>320</v>
      </c>
      <c r="H214" s="13">
        <v>34240</v>
      </c>
      <c r="I214" s="14" t="s">
        <v>492</v>
      </c>
      <c r="J214" s="14" t="s">
        <v>507</v>
      </c>
      <c r="K214" s="13">
        <v>44077</v>
      </c>
      <c r="L214" s="17">
        <v>60</v>
      </c>
      <c r="M214" s="13">
        <f t="shared" si="3"/>
        <v>44137</v>
      </c>
      <c r="N214" s="14"/>
      <c r="O214" s="14" t="s">
        <v>539</v>
      </c>
      <c r="P214" s="14"/>
      <c r="Q214" s="14"/>
      <c r="R214" s="13">
        <v>44682</v>
      </c>
      <c r="S214" s="13" t="s">
        <v>973</v>
      </c>
      <c r="T214" s="18"/>
    </row>
    <row r="215" spans="1:20" s="19" customFormat="1" ht="21" customHeight="1" x14ac:dyDescent="0.25">
      <c r="A215" s="12">
        <f>IF(B215="","",COUNTA($B$2:B215))</f>
        <v>214</v>
      </c>
      <c r="B215" s="13" t="s">
        <v>773</v>
      </c>
      <c r="C215" s="14"/>
      <c r="D215" s="14" t="s">
        <v>299</v>
      </c>
      <c r="E215" s="14" t="s">
        <v>313</v>
      </c>
      <c r="F215" s="15" t="s">
        <v>942</v>
      </c>
      <c r="G215" s="14" t="s">
        <v>960</v>
      </c>
      <c r="H215" s="13">
        <v>33144</v>
      </c>
      <c r="I215" s="14" t="s">
        <v>492</v>
      </c>
      <c r="J215" s="14" t="s">
        <v>935</v>
      </c>
      <c r="K215" s="13">
        <v>44077</v>
      </c>
      <c r="L215" s="17">
        <v>60</v>
      </c>
      <c r="M215" s="13">
        <f t="shared" si="3"/>
        <v>44137</v>
      </c>
      <c r="N215" s="14"/>
      <c r="O215" s="14" t="s">
        <v>538</v>
      </c>
      <c r="P215" s="14"/>
      <c r="Q215" s="14"/>
      <c r="R215" s="13">
        <v>44682</v>
      </c>
      <c r="S215" s="13" t="s">
        <v>975</v>
      </c>
      <c r="T215" s="18"/>
    </row>
    <row r="216" spans="1:20" s="19" customFormat="1" ht="21" customHeight="1" x14ac:dyDescent="0.25">
      <c r="A216" s="12">
        <f>IF(B216="","",COUNTA($B$2:B216))</f>
        <v>215</v>
      </c>
      <c r="B216" s="13" t="s">
        <v>775</v>
      </c>
      <c r="C216" s="14"/>
      <c r="D216" s="14" t="s">
        <v>299</v>
      </c>
      <c r="E216" s="14" t="s">
        <v>313</v>
      </c>
      <c r="F216" s="15" t="s">
        <v>942</v>
      </c>
      <c r="G216" s="14" t="s">
        <v>960</v>
      </c>
      <c r="H216" s="13">
        <v>33579</v>
      </c>
      <c r="I216" s="14" t="s">
        <v>492</v>
      </c>
      <c r="J216" s="14" t="s">
        <v>504</v>
      </c>
      <c r="K216" s="13">
        <v>44077</v>
      </c>
      <c r="L216" s="17">
        <v>60</v>
      </c>
      <c r="M216" s="13">
        <f t="shared" si="3"/>
        <v>44137</v>
      </c>
      <c r="N216" s="14"/>
      <c r="O216" s="14" t="s">
        <v>539</v>
      </c>
      <c r="P216" s="14"/>
      <c r="Q216" s="14"/>
      <c r="R216" s="13">
        <v>44682</v>
      </c>
      <c r="S216" s="13" t="s">
        <v>973</v>
      </c>
      <c r="T216" s="18"/>
    </row>
    <row r="217" spans="1:20" s="19" customFormat="1" ht="21" customHeight="1" x14ac:dyDescent="0.25">
      <c r="A217" s="12">
        <f>IF(B217="","",COUNTA($B$2:B217))</f>
        <v>216</v>
      </c>
      <c r="B217" s="13" t="s">
        <v>726</v>
      </c>
      <c r="C217" s="14"/>
      <c r="D217" s="14" t="s">
        <v>298</v>
      </c>
      <c r="E217" s="14" t="s">
        <v>311</v>
      </c>
      <c r="F217" s="22" t="s">
        <v>317</v>
      </c>
      <c r="G217" s="16" t="s">
        <v>320</v>
      </c>
      <c r="H217" s="13">
        <v>34564</v>
      </c>
      <c r="I217" s="14" t="s">
        <v>492</v>
      </c>
      <c r="J217" s="14" t="s">
        <v>504</v>
      </c>
      <c r="K217" s="13">
        <v>44077</v>
      </c>
      <c r="L217" s="17">
        <v>60</v>
      </c>
      <c r="M217" s="13">
        <f t="shared" si="3"/>
        <v>44137</v>
      </c>
      <c r="N217" s="14"/>
      <c r="O217" s="14" t="s">
        <v>538</v>
      </c>
      <c r="P217" s="14"/>
      <c r="Q217" s="14"/>
      <c r="R217" s="13">
        <v>44668</v>
      </c>
      <c r="S217" s="13" t="s">
        <v>973</v>
      </c>
      <c r="T217" s="18"/>
    </row>
    <row r="218" spans="1:20" s="19" customFormat="1" ht="21" customHeight="1" x14ac:dyDescent="0.25">
      <c r="A218" s="12">
        <f>IF(B218="","",COUNTA($B$2:B218))</f>
        <v>217</v>
      </c>
      <c r="B218" s="13" t="s">
        <v>651</v>
      </c>
      <c r="C218" s="14"/>
      <c r="D218" s="14" t="s">
        <v>299</v>
      </c>
      <c r="E218" s="14" t="s">
        <v>313</v>
      </c>
      <c r="F218" s="15" t="s">
        <v>449</v>
      </c>
      <c r="G218" s="14" t="s">
        <v>960</v>
      </c>
      <c r="H218" s="13">
        <v>33818</v>
      </c>
      <c r="I218" s="14" t="s">
        <v>492</v>
      </c>
      <c r="J218" s="14" t="s">
        <v>935</v>
      </c>
      <c r="K218" s="13">
        <v>44077</v>
      </c>
      <c r="L218" s="17">
        <v>60</v>
      </c>
      <c r="M218" s="13">
        <f t="shared" si="3"/>
        <v>44137</v>
      </c>
      <c r="N218" s="14"/>
      <c r="O218" s="14" t="s">
        <v>539</v>
      </c>
      <c r="P218" s="14"/>
      <c r="Q218" s="14"/>
      <c r="R218" s="13">
        <v>44504</v>
      </c>
      <c r="S218" s="13" t="s">
        <v>976</v>
      </c>
      <c r="T218" s="18"/>
    </row>
    <row r="219" spans="1:20" s="19" customFormat="1" ht="21" customHeight="1" x14ac:dyDescent="0.25">
      <c r="A219" s="12">
        <f>IF(B219="","",COUNTA($B$2:B219))</f>
        <v>218</v>
      </c>
      <c r="B219" s="13" t="s">
        <v>723</v>
      </c>
      <c r="C219" s="14"/>
      <c r="D219" s="14" t="s">
        <v>298</v>
      </c>
      <c r="E219" s="14" t="s">
        <v>309</v>
      </c>
      <c r="F219" s="22" t="s">
        <v>399</v>
      </c>
      <c r="G219" s="16" t="s">
        <v>402</v>
      </c>
      <c r="H219" s="13">
        <v>35269</v>
      </c>
      <c r="I219" s="14" t="s">
        <v>491</v>
      </c>
      <c r="J219" s="14" t="s">
        <v>504</v>
      </c>
      <c r="K219" s="13">
        <v>44081</v>
      </c>
      <c r="L219" s="17">
        <v>60</v>
      </c>
      <c r="M219" s="13">
        <f t="shared" si="3"/>
        <v>44141</v>
      </c>
      <c r="N219" s="14"/>
      <c r="O219" s="14" t="s">
        <v>539</v>
      </c>
      <c r="P219" s="14"/>
      <c r="Q219" s="14"/>
      <c r="R219" s="13">
        <v>44667</v>
      </c>
      <c r="S219" s="13" t="s">
        <v>977</v>
      </c>
      <c r="T219" s="18"/>
    </row>
    <row r="220" spans="1:20" s="19" customFormat="1" ht="21" customHeight="1" x14ac:dyDescent="0.25">
      <c r="A220" s="12">
        <f>IF(B220="","",COUNTA($B$2:B220))</f>
        <v>219</v>
      </c>
      <c r="B220" s="13" t="s">
        <v>738</v>
      </c>
      <c r="C220" s="14"/>
      <c r="D220" s="14" t="s">
        <v>299</v>
      </c>
      <c r="E220" s="14" t="s">
        <v>313</v>
      </c>
      <c r="F220" s="15" t="s">
        <v>942</v>
      </c>
      <c r="G220" s="14" t="s">
        <v>960</v>
      </c>
      <c r="H220" s="13">
        <v>35707</v>
      </c>
      <c r="I220" s="14" t="s">
        <v>492</v>
      </c>
      <c r="J220" s="14" t="s">
        <v>507</v>
      </c>
      <c r="K220" s="13">
        <v>44083</v>
      </c>
      <c r="L220" s="17">
        <v>60</v>
      </c>
      <c r="M220" s="13">
        <f t="shared" si="3"/>
        <v>44143</v>
      </c>
      <c r="N220" s="14"/>
      <c r="O220" s="14" t="s">
        <v>539</v>
      </c>
      <c r="P220" s="14"/>
      <c r="Q220" s="14"/>
      <c r="R220" s="13">
        <v>44682</v>
      </c>
      <c r="S220" s="13" t="s">
        <v>977</v>
      </c>
      <c r="T220" s="18"/>
    </row>
    <row r="221" spans="1:20" s="19" customFormat="1" ht="21" customHeight="1" x14ac:dyDescent="0.25">
      <c r="A221" s="12">
        <f>IF(B221="","",COUNTA($B$2:B221))</f>
        <v>220</v>
      </c>
      <c r="B221" s="13" t="s">
        <v>664</v>
      </c>
      <c r="C221" s="14"/>
      <c r="D221" s="14" t="s">
        <v>299</v>
      </c>
      <c r="E221" s="14" t="s">
        <v>314</v>
      </c>
      <c r="F221" s="22" t="s">
        <v>330</v>
      </c>
      <c r="G221" s="16" t="s">
        <v>361</v>
      </c>
      <c r="H221" s="13">
        <v>35237</v>
      </c>
      <c r="I221" s="14" t="s">
        <v>491</v>
      </c>
      <c r="J221" s="14" t="s">
        <v>504</v>
      </c>
      <c r="K221" s="13">
        <v>44083</v>
      </c>
      <c r="L221" s="17">
        <v>60</v>
      </c>
      <c r="M221" s="13">
        <f t="shared" si="3"/>
        <v>44143</v>
      </c>
      <c r="N221" s="14"/>
      <c r="O221" s="14" t="s">
        <v>539</v>
      </c>
      <c r="P221" s="14"/>
      <c r="Q221" s="14"/>
      <c r="R221" s="13">
        <v>44552</v>
      </c>
      <c r="S221" s="13" t="s">
        <v>972</v>
      </c>
      <c r="T221" s="18"/>
    </row>
    <row r="222" spans="1:20" s="19" customFormat="1" ht="21" customHeight="1" x14ac:dyDescent="0.25">
      <c r="A222" s="12">
        <f>IF(B222="","",COUNTA($B$2:B222))</f>
        <v>221</v>
      </c>
      <c r="B222" s="13" t="s">
        <v>702</v>
      </c>
      <c r="C222" s="14"/>
      <c r="D222" s="14" t="s">
        <v>299</v>
      </c>
      <c r="E222" s="14" t="s">
        <v>304</v>
      </c>
      <c r="F222" s="15" t="s">
        <v>941</v>
      </c>
      <c r="G222" s="16" t="s">
        <v>371</v>
      </c>
      <c r="H222" s="13">
        <v>28672</v>
      </c>
      <c r="I222" s="14" t="s">
        <v>492</v>
      </c>
      <c r="J222" s="14" t="s">
        <v>504</v>
      </c>
      <c r="K222" s="13">
        <v>44089</v>
      </c>
      <c r="L222" s="17">
        <v>60</v>
      </c>
      <c r="M222" s="13">
        <f t="shared" si="3"/>
        <v>44149</v>
      </c>
      <c r="N222" s="14"/>
      <c r="O222" s="14" t="s">
        <v>938</v>
      </c>
      <c r="P222" s="14"/>
      <c r="Q222" s="14"/>
      <c r="R222" s="13">
        <v>44631</v>
      </c>
      <c r="S222" s="13" t="s">
        <v>975</v>
      </c>
      <c r="T222" s="18"/>
    </row>
    <row r="223" spans="1:20" s="19" customFormat="1" ht="21" customHeight="1" x14ac:dyDescent="0.25">
      <c r="A223" s="12">
        <f>IF(B223="","",COUNTA($B$2:B223))</f>
        <v>222</v>
      </c>
      <c r="B223" s="13" t="s">
        <v>665</v>
      </c>
      <c r="C223" s="14"/>
      <c r="D223" s="14" t="s">
        <v>299</v>
      </c>
      <c r="E223" s="14" t="s">
        <v>313</v>
      </c>
      <c r="F223" s="15" t="s">
        <v>942</v>
      </c>
      <c r="G223" s="14" t="s">
        <v>960</v>
      </c>
      <c r="H223" s="13">
        <v>34017</v>
      </c>
      <c r="I223" s="14" t="s">
        <v>492</v>
      </c>
      <c r="J223" s="14" t="s">
        <v>504</v>
      </c>
      <c r="K223" s="13">
        <v>44090</v>
      </c>
      <c r="L223" s="17">
        <v>60</v>
      </c>
      <c r="M223" s="13">
        <f t="shared" si="3"/>
        <v>44150</v>
      </c>
      <c r="N223" s="14"/>
      <c r="O223" s="14" t="s">
        <v>539</v>
      </c>
      <c r="P223" s="14"/>
      <c r="Q223" s="14"/>
      <c r="R223" s="13">
        <v>44553</v>
      </c>
      <c r="S223" s="13" t="s">
        <v>973</v>
      </c>
      <c r="T223" s="18"/>
    </row>
    <row r="224" spans="1:20" s="19" customFormat="1" ht="21" customHeight="1" x14ac:dyDescent="0.25">
      <c r="A224" s="12">
        <f>IF(B224="","",COUNTA($B$2:B224))</f>
        <v>223</v>
      </c>
      <c r="B224" s="13" t="s">
        <v>647</v>
      </c>
      <c r="C224" s="14"/>
      <c r="D224" s="14" t="s">
        <v>298</v>
      </c>
      <c r="E224" s="14" t="s">
        <v>307</v>
      </c>
      <c r="F224" s="22" t="s">
        <v>433</v>
      </c>
      <c r="G224" s="16" t="s">
        <v>437</v>
      </c>
      <c r="H224" s="13">
        <v>35412</v>
      </c>
      <c r="I224" s="14" t="s">
        <v>492</v>
      </c>
      <c r="J224" s="14" t="s">
        <v>504</v>
      </c>
      <c r="K224" s="13">
        <v>44090</v>
      </c>
      <c r="L224" s="17">
        <v>60</v>
      </c>
      <c r="M224" s="13">
        <f t="shared" si="3"/>
        <v>44150</v>
      </c>
      <c r="N224" s="14"/>
      <c r="O224" s="14" t="s">
        <v>541</v>
      </c>
      <c r="P224" s="14"/>
      <c r="Q224" s="14"/>
      <c r="R224" s="13">
        <v>44501</v>
      </c>
      <c r="S224" s="13" t="s">
        <v>977</v>
      </c>
      <c r="T224" s="18"/>
    </row>
    <row r="225" spans="1:20" s="19" customFormat="1" ht="21" customHeight="1" x14ac:dyDescent="0.25">
      <c r="A225" s="12">
        <f>IF(B225="","",COUNTA($B$2:B225))</f>
        <v>224</v>
      </c>
      <c r="B225" s="13" t="s">
        <v>739</v>
      </c>
      <c r="C225" s="14"/>
      <c r="D225" s="14" t="s">
        <v>299</v>
      </c>
      <c r="E225" s="14" t="s">
        <v>313</v>
      </c>
      <c r="F225" s="15" t="s">
        <v>942</v>
      </c>
      <c r="G225" s="14" t="s">
        <v>960</v>
      </c>
      <c r="H225" s="13">
        <v>32976</v>
      </c>
      <c r="I225" s="14" t="s">
        <v>492</v>
      </c>
      <c r="J225" s="14" t="s">
        <v>935</v>
      </c>
      <c r="K225" s="13">
        <v>44097</v>
      </c>
      <c r="L225" s="17">
        <v>60</v>
      </c>
      <c r="M225" s="13">
        <f t="shared" si="3"/>
        <v>44157</v>
      </c>
      <c r="N225" s="14"/>
      <c r="O225" s="14" t="s">
        <v>539</v>
      </c>
      <c r="P225" s="14"/>
      <c r="Q225" s="14"/>
      <c r="R225" s="13">
        <v>44682</v>
      </c>
      <c r="S225" s="13" t="s">
        <v>972</v>
      </c>
      <c r="T225" s="18"/>
    </row>
    <row r="226" spans="1:20" s="19" customFormat="1" ht="21" customHeight="1" x14ac:dyDescent="0.25">
      <c r="A226" s="12">
        <f>IF(B226="","",COUNTA($B$2:B226))</f>
        <v>225</v>
      </c>
      <c r="B226" s="13" t="s">
        <v>737</v>
      </c>
      <c r="C226" s="14"/>
      <c r="D226" s="14" t="s">
        <v>298</v>
      </c>
      <c r="E226" s="14" t="s">
        <v>313</v>
      </c>
      <c r="F226" s="15" t="s">
        <v>942</v>
      </c>
      <c r="G226" s="14" t="s">
        <v>960</v>
      </c>
      <c r="H226" s="13">
        <v>32795</v>
      </c>
      <c r="I226" s="14" t="s">
        <v>492</v>
      </c>
      <c r="J226" s="14" t="s">
        <v>504</v>
      </c>
      <c r="K226" s="13">
        <v>44105</v>
      </c>
      <c r="L226" s="17">
        <v>60</v>
      </c>
      <c r="M226" s="13">
        <f t="shared" si="3"/>
        <v>44165</v>
      </c>
      <c r="N226" s="14"/>
      <c r="O226" s="14" t="s">
        <v>538</v>
      </c>
      <c r="P226" s="14"/>
      <c r="Q226" s="14"/>
      <c r="R226" s="13">
        <v>44682</v>
      </c>
      <c r="S226" s="13" t="s">
        <v>973</v>
      </c>
      <c r="T226" s="18"/>
    </row>
    <row r="227" spans="1:20" s="19" customFormat="1" ht="21" customHeight="1" x14ac:dyDescent="0.25">
      <c r="A227" s="12">
        <f>IF(B227="","",COUNTA($B$2:B227))</f>
        <v>226</v>
      </c>
      <c r="B227" s="13" t="s">
        <v>740</v>
      </c>
      <c r="C227" s="14"/>
      <c r="D227" s="14" t="s">
        <v>299</v>
      </c>
      <c r="E227" s="14" t="s">
        <v>313</v>
      </c>
      <c r="F227" s="15" t="s">
        <v>942</v>
      </c>
      <c r="G227" s="14" t="s">
        <v>960</v>
      </c>
      <c r="H227" s="13">
        <v>32254</v>
      </c>
      <c r="I227" s="14" t="s">
        <v>491</v>
      </c>
      <c r="J227" s="14" t="s">
        <v>935</v>
      </c>
      <c r="K227" s="13">
        <v>44105</v>
      </c>
      <c r="L227" s="17">
        <v>60</v>
      </c>
      <c r="M227" s="13">
        <f t="shared" si="3"/>
        <v>44165</v>
      </c>
      <c r="N227" s="14"/>
      <c r="O227" s="14" t="s">
        <v>541</v>
      </c>
      <c r="P227" s="14"/>
      <c r="Q227" s="14"/>
      <c r="R227" s="13">
        <v>44682</v>
      </c>
      <c r="S227" s="13" t="s">
        <v>973</v>
      </c>
      <c r="T227" s="18"/>
    </row>
    <row r="228" spans="1:20" s="19" customFormat="1" ht="21" customHeight="1" x14ac:dyDescent="0.25">
      <c r="A228" s="12">
        <f>IF(B228="","",COUNTA($B$2:B228))</f>
        <v>227</v>
      </c>
      <c r="B228" s="13" t="s">
        <v>741</v>
      </c>
      <c r="C228" s="14"/>
      <c r="D228" s="14" t="s">
        <v>299</v>
      </c>
      <c r="E228" s="14" t="s">
        <v>313</v>
      </c>
      <c r="F228" s="15" t="s">
        <v>942</v>
      </c>
      <c r="G228" s="14" t="s">
        <v>960</v>
      </c>
      <c r="H228" s="13">
        <v>32874</v>
      </c>
      <c r="I228" s="14" t="s">
        <v>492</v>
      </c>
      <c r="J228" s="14" t="s">
        <v>504</v>
      </c>
      <c r="K228" s="13">
        <v>44105</v>
      </c>
      <c r="L228" s="17">
        <v>60</v>
      </c>
      <c r="M228" s="13">
        <f t="shared" si="3"/>
        <v>44165</v>
      </c>
      <c r="N228" s="14"/>
      <c r="O228" s="14" t="s">
        <v>538</v>
      </c>
      <c r="P228" s="14"/>
      <c r="Q228" s="14"/>
      <c r="R228" s="13">
        <v>44682</v>
      </c>
      <c r="S228" s="13" t="s">
        <v>977</v>
      </c>
      <c r="T228" s="18"/>
    </row>
    <row r="229" spans="1:20" s="19" customFormat="1" ht="21" customHeight="1" x14ac:dyDescent="0.25">
      <c r="A229" s="12">
        <f>IF(B229="","",COUNTA($B$2:B229))</f>
        <v>228</v>
      </c>
      <c r="B229" s="13" t="s">
        <v>742</v>
      </c>
      <c r="C229" s="14"/>
      <c r="D229" s="14" t="s">
        <v>299</v>
      </c>
      <c r="E229" s="14" t="s">
        <v>313</v>
      </c>
      <c r="F229" s="15" t="s">
        <v>942</v>
      </c>
      <c r="G229" s="14" t="s">
        <v>960</v>
      </c>
      <c r="H229" s="13">
        <v>31816</v>
      </c>
      <c r="I229" s="14" t="s">
        <v>492</v>
      </c>
      <c r="J229" s="14" t="s">
        <v>507</v>
      </c>
      <c r="K229" s="13">
        <v>44105</v>
      </c>
      <c r="L229" s="17">
        <v>60</v>
      </c>
      <c r="M229" s="13">
        <f t="shared" si="3"/>
        <v>44165</v>
      </c>
      <c r="N229" s="14"/>
      <c r="O229" s="14" t="s">
        <v>538</v>
      </c>
      <c r="P229" s="14"/>
      <c r="Q229" s="14"/>
      <c r="R229" s="13">
        <v>44682</v>
      </c>
      <c r="S229" s="13" t="s">
        <v>972</v>
      </c>
      <c r="T229" s="18"/>
    </row>
    <row r="230" spans="1:20" s="19" customFormat="1" ht="21" customHeight="1" x14ac:dyDescent="0.25">
      <c r="A230" s="12">
        <f>IF(B230="","",COUNTA($B$2:B230))</f>
        <v>229</v>
      </c>
      <c r="B230" s="13" t="s">
        <v>762</v>
      </c>
      <c r="C230" s="14"/>
      <c r="D230" s="14" t="s">
        <v>298</v>
      </c>
      <c r="E230" s="14" t="s">
        <v>313</v>
      </c>
      <c r="F230" s="15" t="s">
        <v>942</v>
      </c>
      <c r="G230" s="14" t="s">
        <v>960</v>
      </c>
      <c r="H230" s="13">
        <v>34621</v>
      </c>
      <c r="I230" s="14" t="s">
        <v>492</v>
      </c>
      <c r="J230" s="14" t="s">
        <v>504</v>
      </c>
      <c r="K230" s="13">
        <v>44105</v>
      </c>
      <c r="L230" s="17">
        <v>60</v>
      </c>
      <c r="M230" s="13">
        <f t="shared" si="3"/>
        <v>44165</v>
      </c>
      <c r="N230" s="14"/>
      <c r="O230" s="14" t="s">
        <v>538</v>
      </c>
      <c r="P230" s="14"/>
      <c r="Q230" s="14"/>
      <c r="R230" s="13">
        <v>44682</v>
      </c>
      <c r="S230" s="13" t="s">
        <v>972</v>
      </c>
      <c r="T230" s="18"/>
    </row>
    <row r="231" spans="1:20" s="19" customFormat="1" ht="21" customHeight="1" x14ac:dyDescent="0.25">
      <c r="A231" s="12">
        <f>IF(B231="","",COUNTA($B$2:B231))</f>
        <v>230</v>
      </c>
      <c r="B231" s="13" t="s">
        <v>772</v>
      </c>
      <c r="C231" s="14"/>
      <c r="D231" s="14" t="s">
        <v>299</v>
      </c>
      <c r="E231" s="14" t="s">
        <v>313</v>
      </c>
      <c r="F231" s="15" t="s">
        <v>942</v>
      </c>
      <c r="G231" s="14" t="s">
        <v>960</v>
      </c>
      <c r="H231" s="13">
        <v>32263</v>
      </c>
      <c r="I231" s="14" t="s">
        <v>492</v>
      </c>
      <c r="J231" s="14" t="s">
        <v>504</v>
      </c>
      <c r="K231" s="13">
        <v>44105</v>
      </c>
      <c r="L231" s="17">
        <v>60</v>
      </c>
      <c r="M231" s="13">
        <f t="shared" si="3"/>
        <v>44165</v>
      </c>
      <c r="N231" s="14"/>
      <c r="O231" s="14" t="s">
        <v>538</v>
      </c>
      <c r="P231" s="14"/>
      <c r="Q231" s="14"/>
      <c r="R231" s="13">
        <v>44682</v>
      </c>
      <c r="S231" s="13" t="s">
        <v>975</v>
      </c>
      <c r="T231" s="18"/>
    </row>
    <row r="232" spans="1:20" s="19" customFormat="1" ht="21" customHeight="1" x14ac:dyDescent="0.25">
      <c r="A232" s="12">
        <f>IF(B232="","",COUNTA($B$2:B232))</f>
        <v>231</v>
      </c>
      <c r="B232" s="13" t="s">
        <v>715</v>
      </c>
      <c r="C232" s="14"/>
      <c r="D232" s="14" t="s">
        <v>298</v>
      </c>
      <c r="E232" s="14" t="s">
        <v>311</v>
      </c>
      <c r="F232" s="22" t="s">
        <v>317</v>
      </c>
      <c r="G232" s="16" t="s">
        <v>320</v>
      </c>
      <c r="H232" s="13">
        <v>33566</v>
      </c>
      <c r="I232" s="14" t="s">
        <v>492</v>
      </c>
      <c r="J232" s="14" t="s">
        <v>504</v>
      </c>
      <c r="K232" s="13">
        <v>44105</v>
      </c>
      <c r="L232" s="17">
        <v>60</v>
      </c>
      <c r="M232" s="13">
        <f t="shared" si="3"/>
        <v>44165</v>
      </c>
      <c r="N232" s="14"/>
      <c r="O232" s="14" t="s">
        <v>938</v>
      </c>
      <c r="P232" s="14"/>
      <c r="Q232" s="14"/>
      <c r="R232" s="13">
        <v>44651</v>
      </c>
      <c r="S232" s="13" t="s">
        <v>975</v>
      </c>
      <c r="T232" s="18"/>
    </row>
    <row r="233" spans="1:20" s="19" customFormat="1" ht="21" customHeight="1" x14ac:dyDescent="0.25">
      <c r="A233" s="12">
        <f>IF(B233="","",COUNTA($B$2:B233))</f>
        <v>232</v>
      </c>
      <c r="B233" s="20" t="s">
        <v>575</v>
      </c>
      <c r="C233" s="14"/>
      <c r="D233" s="14" t="s">
        <v>299</v>
      </c>
      <c r="E233" s="21" t="s">
        <v>311</v>
      </c>
      <c r="F233" s="22" t="s">
        <v>939</v>
      </c>
      <c r="G233" s="16" t="s">
        <v>964</v>
      </c>
      <c r="H233" s="13">
        <v>33281</v>
      </c>
      <c r="I233" s="20" t="s">
        <v>492</v>
      </c>
      <c r="J233" s="14" t="s">
        <v>506</v>
      </c>
      <c r="K233" s="13">
        <v>44105</v>
      </c>
      <c r="L233" s="17">
        <v>60</v>
      </c>
      <c r="M233" s="13">
        <f t="shared" si="3"/>
        <v>44165</v>
      </c>
      <c r="N233" s="14"/>
      <c r="O233" s="16" t="s">
        <v>938</v>
      </c>
      <c r="P233" s="16"/>
      <c r="Q233" s="14"/>
      <c r="R233" s="13">
        <v>44287</v>
      </c>
      <c r="S233" s="13" t="s">
        <v>976</v>
      </c>
      <c r="T233" s="18"/>
    </row>
    <row r="234" spans="1:20" s="19" customFormat="1" ht="21" customHeight="1" x14ac:dyDescent="0.25">
      <c r="A234" s="12">
        <f>IF(B234="","",COUNTA($B$2:B234))</f>
        <v>233</v>
      </c>
      <c r="B234" s="20" t="s">
        <v>83</v>
      </c>
      <c r="C234" s="14"/>
      <c r="D234" s="14" t="s">
        <v>298</v>
      </c>
      <c r="E234" s="21" t="s">
        <v>308</v>
      </c>
      <c r="F234" s="22" t="s">
        <v>442</v>
      </c>
      <c r="G234" s="16" t="s">
        <v>446</v>
      </c>
      <c r="H234" s="13">
        <v>33188</v>
      </c>
      <c r="I234" s="20" t="s">
        <v>492</v>
      </c>
      <c r="J234" s="14" t="s">
        <v>504</v>
      </c>
      <c r="K234" s="13">
        <v>44111</v>
      </c>
      <c r="L234" s="17">
        <v>60</v>
      </c>
      <c r="M234" s="13">
        <f t="shared" si="3"/>
        <v>44171</v>
      </c>
      <c r="N234" s="14" t="s">
        <v>495</v>
      </c>
      <c r="O234" s="16" t="s">
        <v>539</v>
      </c>
      <c r="P234" s="16">
        <v>1</v>
      </c>
      <c r="Q234" s="14" t="s">
        <v>499</v>
      </c>
      <c r="R234" s="23"/>
      <c r="S234" s="23"/>
      <c r="T234" s="24"/>
    </row>
    <row r="235" spans="1:20" s="19" customFormat="1" ht="21" customHeight="1" x14ac:dyDescent="0.25">
      <c r="A235" s="12">
        <f>IF(B235="","",COUNTA($B$2:B235))</f>
        <v>234</v>
      </c>
      <c r="B235" s="13" t="s">
        <v>856</v>
      </c>
      <c r="C235" s="14"/>
      <c r="D235" s="14" t="s">
        <v>299</v>
      </c>
      <c r="E235" s="14" t="s">
        <v>311</v>
      </c>
      <c r="F235" s="22" t="s">
        <v>318</v>
      </c>
      <c r="G235" s="16" t="s">
        <v>321</v>
      </c>
      <c r="H235" s="13">
        <v>29820</v>
      </c>
      <c r="I235" s="14" t="s">
        <v>492</v>
      </c>
      <c r="J235" s="14" t="s">
        <v>504</v>
      </c>
      <c r="K235" s="13">
        <v>44116</v>
      </c>
      <c r="L235" s="17">
        <v>60</v>
      </c>
      <c r="M235" s="13">
        <f t="shared" si="3"/>
        <v>44176</v>
      </c>
      <c r="N235" s="14"/>
      <c r="O235" s="14" t="s">
        <v>538</v>
      </c>
      <c r="P235" s="14"/>
      <c r="Q235" s="14"/>
      <c r="R235" s="13">
        <v>44885</v>
      </c>
      <c r="S235" s="13" t="s">
        <v>972</v>
      </c>
      <c r="T235" s="18"/>
    </row>
    <row r="236" spans="1:20" s="19" customFormat="1" ht="21" customHeight="1" x14ac:dyDescent="0.25">
      <c r="A236" s="12">
        <f>IF(B236="","",COUNTA($B$2:B236))</f>
        <v>235</v>
      </c>
      <c r="B236" s="20" t="s">
        <v>127</v>
      </c>
      <c r="C236" s="14"/>
      <c r="D236" s="14" t="s">
        <v>298</v>
      </c>
      <c r="E236" s="21" t="s">
        <v>301</v>
      </c>
      <c r="F236" s="22" t="s">
        <v>464</v>
      </c>
      <c r="G236" s="16" t="s">
        <v>479</v>
      </c>
      <c r="H236" s="13">
        <v>32513</v>
      </c>
      <c r="I236" s="20" t="s">
        <v>491</v>
      </c>
      <c r="J236" s="14" t="s">
        <v>504</v>
      </c>
      <c r="K236" s="13">
        <v>44117</v>
      </c>
      <c r="L236" s="17">
        <v>60</v>
      </c>
      <c r="M236" s="13">
        <f t="shared" si="3"/>
        <v>44177</v>
      </c>
      <c r="N236" s="14" t="s">
        <v>495</v>
      </c>
      <c r="O236" s="16" t="s">
        <v>538</v>
      </c>
      <c r="P236" s="16">
        <v>1</v>
      </c>
      <c r="Q236" s="14" t="s">
        <v>499</v>
      </c>
      <c r="R236" s="23"/>
      <c r="S236" s="23"/>
      <c r="T236" s="24"/>
    </row>
    <row r="237" spans="1:20" s="19" customFormat="1" ht="21" customHeight="1" x14ac:dyDescent="0.25">
      <c r="A237" s="12">
        <f>IF(B237="","",COUNTA($B$2:B237))</f>
        <v>236</v>
      </c>
      <c r="B237" s="13" t="s">
        <v>895</v>
      </c>
      <c r="C237" s="14"/>
      <c r="D237" s="14" t="s">
        <v>299</v>
      </c>
      <c r="E237" s="14" t="s">
        <v>311</v>
      </c>
      <c r="F237" s="22" t="s">
        <v>316</v>
      </c>
      <c r="G237" s="16" t="s">
        <v>320</v>
      </c>
      <c r="H237" s="13">
        <v>28926</v>
      </c>
      <c r="I237" s="14" t="s">
        <v>492</v>
      </c>
      <c r="J237" s="14" t="s">
        <v>504</v>
      </c>
      <c r="K237" s="13">
        <v>44119</v>
      </c>
      <c r="L237" s="17">
        <v>60</v>
      </c>
      <c r="M237" s="13">
        <f t="shared" si="3"/>
        <v>44179</v>
      </c>
      <c r="N237" s="14"/>
      <c r="O237" s="14" t="s">
        <v>538</v>
      </c>
      <c r="P237" s="14"/>
      <c r="Q237" s="14"/>
      <c r="R237" s="13">
        <v>45017</v>
      </c>
      <c r="S237" s="13" t="s">
        <v>973</v>
      </c>
      <c r="T237" s="24"/>
    </row>
    <row r="238" spans="1:20" s="19" customFormat="1" ht="21" customHeight="1" x14ac:dyDescent="0.25">
      <c r="A238" s="12">
        <f>IF(B238="","",COUNTA($B$2:B238))</f>
        <v>237</v>
      </c>
      <c r="B238" s="20" t="s">
        <v>26</v>
      </c>
      <c r="C238" s="14"/>
      <c r="D238" s="14" t="s">
        <v>298</v>
      </c>
      <c r="E238" s="21" t="s">
        <v>301</v>
      </c>
      <c r="F238" s="22" t="s">
        <v>465</v>
      </c>
      <c r="G238" s="16" t="s">
        <v>470</v>
      </c>
      <c r="H238" s="13">
        <v>32452</v>
      </c>
      <c r="I238" s="20" t="s">
        <v>491</v>
      </c>
      <c r="J238" s="14" t="s">
        <v>504</v>
      </c>
      <c r="K238" s="13">
        <v>44123</v>
      </c>
      <c r="L238" s="17">
        <v>60</v>
      </c>
      <c r="M238" s="13">
        <f t="shared" si="3"/>
        <v>44183</v>
      </c>
      <c r="N238" s="14" t="s">
        <v>495</v>
      </c>
      <c r="O238" s="16" t="s">
        <v>539</v>
      </c>
      <c r="P238" s="16">
        <v>3</v>
      </c>
      <c r="Q238" s="14" t="s">
        <v>501</v>
      </c>
      <c r="R238" s="23"/>
      <c r="S238" s="23"/>
      <c r="T238" s="24"/>
    </row>
    <row r="239" spans="1:20" s="19" customFormat="1" ht="21" customHeight="1" x14ac:dyDescent="0.25">
      <c r="A239" s="12">
        <f>IF(B239="","",COUNTA($B$2:B239))</f>
        <v>238</v>
      </c>
      <c r="B239" s="20" t="s">
        <v>568</v>
      </c>
      <c r="C239" s="14"/>
      <c r="D239" s="14" t="s">
        <v>299</v>
      </c>
      <c r="E239" s="21" t="s">
        <v>311</v>
      </c>
      <c r="F239" s="22" t="s">
        <v>316</v>
      </c>
      <c r="G239" s="16" t="s">
        <v>320</v>
      </c>
      <c r="H239" s="13">
        <v>31133</v>
      </c>
      <c r="I239" s="20" t="s">
        <v>492</v>
      </c>
      <c r="J239" s="14" t="s">
        <v>504</v>
      </c>
      <c r="K239" s="13">
        <v>44130</v>
      </c>
      <c r="L239" s="17">
        <v>60</v>
      </c>
      <c r="M239" s="13">
        <f t="shared" si="3"/>
        <v>44190</v>
      </c>
      <c r="N239" s="14"/>
      <c r="O239" s="16" t="s">
        <v>938</v>
      </c>
      <c r="P239" s="16"/>
      <c r="Q239" s="14"/>
      <c r="R239" s="13">
        <v>44286</v>
      </c>
      <c r="S239" s="13" t="s">
        <v>977</v>
      </c>
      <c r="T239" s="18"/>
    </row>
    <row r="240" spans="1:20" s="19" customFormat="1" ht="21" customHeight="1" x14ac:dyDescent="0.25">
      <c r="A240" s="12">
        <f>IF(B240="","",COUNTA($B$2:B240))</f>
        <v>239</v>
      </c>
      <c r="B240" s="13" t="s">
        <v>743</v>
      </c>
      <c r="C240" s="14"/>
      <c r="D240" s="14" t="s">
        <v>299</v>
      </c>
      <c r="E240" s="14" t="s">
        <v>313</v>
      </c>
      <c r="F240" s="15" t="s">
        <v>942</v>
      </c>
      <c r="G240" s="14" t="s">
        <v>960</v>
      </c>
      <c r="H240" s="13">
        <v>32949</v>
      </c>
      <c r="I240" s="14" t="s">
        <v>492</v>
      </c>
      <c r="J240" s="14" t="s">
        <v>504</v>
      </c>
      <c r="K240" s="13">
        <v>44131</v>
      </c>
      <c r="L240" s="17">
        <v>60</v>
      </c>
      <c r="M240" s="13">
        <f t="shared" si="3"/>
        <v>44191</v>
      </c>
      <c r="N240" s="14"/>
      <c r="O240" s="14" t="s">
        <v>538</v>
      </c>
      <c r="P240" s="14"/>
      <c r="Q240" s="14"/>
      <c r="R240" s="13">
        <v>44682</v>
      </c>
      <c r="S240" s="13" t="s">
        <v>975</v>
      </c>
      <c r="T240" s="18"/>
    </row>
    <row r="241" spans="1:20" s="19" customFormat="1" ht="21" customHeight="1" x14ac:dyDescent="0.25">
      <c r="A241" s="12">
        <f>IF(B241="","",COUNTA($B$2:B241))</f>
        <v>240</v>
      </c>
      <c r="B241" s="13" t="s">
        <v>666</v>
      </c>
      <c r="C241" s="14"/>
      <c r="D241" s="14" t="s">
        <v>300</v>
      </c>
      <c r="E241" s="14" t="s">
        <v>313</v>
      </c>
      <c r="F241" s="15" t="s">
        <v>449</v>
      </c>
      <c r="G241" s="14" t="s">
        <v>960</v>
      </c>
      <c r="H241" s="13">
        <v>34081</v>
      </c>
      <c r="I241" s="14" t="s">
        <v>492</v>
      </c>
      <c r="J241" s="14" t="s">
        <v>504</v>
      </c>
      <c r="K241" s="13">
        <v>44131</v>
      </c>
      <c r="L241" s="17">
        <v>60</v>
      </c>
      <c r="M241" s="13">
        <f t="shared" si="3"/>
        <v>44191</v>
      </c>
      <c r="N241" s="14"/>
      <c r="O241" s="14" t="s">
        <v>539</v>
      </c>
      <c r="P241" s="14"/>
      <c r="Q241" s="14"/>
      <c r="R241" s="13">
        <v>44553</v>
      </c>
      <c r="S241" s="13" t="s">
        <v>977</v>
      </c>
      <c r="T241" s="18"/>
    </row>
    <row r="242" spans="1:20" s="19" customFormat="1" ht="21" customHeight="1" x14ac:dyDescent="0.25">
      <c r="A242" s="12">
        <f>IF(B242="","",COUNTA($B$2:B242))</f>
        <v>241</v>
      </c>
      <c r="B242" s="13" t="s">
        <v>614</v>
      </c>
      <c r="C242" s="14"/>
      <c r="D242" s="14" t="s">
        <v>300</v>
      </c>
      <c r="E242" s="14" t="s">
        <v>313</v>
      </c>
      <c r="F242" s="15" t="s">
        <v>942</v>
      </c>
      <c r="G242" s="14" t="s">
        <v>958</v>
      </c>
      <c r="H242" s="13">
        <v>33207</v>
      </c>
      <c r="I242" s="14" t="s">
        <v>492</v>
      </c>
      <c r="J242" s="14" t="s">
        <v>504</v>
      </c>
      <c r="K242" s="13">
        <v>44131</v>
      </c>
      <c r="L242" s="17">
        <v>60</v>
      </c>
      <c r="M242" s="13">
        <f t="shared" si="3"/>
        <v>44191</v>
      </c>
      <c r="N242" s="14"/>
      <c r="O242" s="14" t="s">
        <v>541</v>
      </c>
      <c r="P242" s="14"/>
      <c r="Q242" s="14"/>
      <c r="R242" s="13">
        <v>44383</v>
      </c>
      <c r="S242" s="13" t="s">
        <v>972</v>
      </c>
      <c r="T242" s="18"/>
    </row>
    <row r="243" spans="1:20" s="19" customFormat="1" ht="21" customHeight="1" x14ac:dyDescent="0.25">
      <c r="A243" s="12">
        <f>IF(B243="","",COUNTA($B$2:B243))</f>
        <v>242</v>
      </c>
      <c r="B243" s="20" t="s">
        <v>50</v>
      </c>
      <c r="C243" s="14"/>
      <c r="D243" s="14" t="s">
        <v>299</v>
      </c>
      <c r="E243" s="21" t="s">
        <v>304</v>
      </c>
      <c r="F243" s="22" t="s">
        <v>315</v>
      </c>
      <c r="G243" s="16" t="s">
        <v>381</v>
      </c>
      <c r="H243" s="13">
        <v>33171</v>
      </c>
      <c r="I243" s="20" t="s">
        <v>491</v>
      </c>
      <c r="J243" s="14" t="s">
        <v>507</v>
      </c>
      <c r="K243" s="13">
        <v>44132</v>
      </c>
      <c r="L243" s="17">
        <v>60</v>
      </c>
      <c r="M243" s="13">
        <f t="shared" si="3"/>
        <v>44192</v>
      </c>
      <c r="N243" s="14" t="s">
        <v>495</v>
      </c>
      <c r="O243" s="16" t="s">
        <v>539</v>
      </c>
      <c r="P243" s="16">
        <v>4</v>
      </c>
      <c r="Q243" s="14" t="s">
        <v>502</v>
      </c>
      <c r="R243" s="23"/>
      <c r="S243" s="23"/>
      <c r="T243" s="24"/>
    </row>
    <row r="244" spans="1:20" s="19" customFormat="1" ht="21" customHeight="1" x14ac:dyDescent="0.25">
      <c r="A244" s="12">
        <f>IF(B244="","",COUNTA($B$2:B244))</f>
        <v>243</v>
      </c>
      <c r="B244" s="20" t="s">
        <v>140</v>
      </c>
      <c r="C244" s="14"/>
      <c r="D244" s="14" t="s">
        <v>298</v>
      </c>
      <c r="E244" s="21" t="s">
        <v>306</v>
      </c>
      <c r="F244" s="22" t="s">
        <v>306</v>
      </c>
      <c r="G244" s="16" t="s">
        <v>431</v>
      </c>
      <c r="H244" s="13">
        <v>28314</v>
      </c>
      <c r="I244" s="20" t="s">
        <v>492</v>
      </c>
      <c r="J244" s="14" t="s">
        <v>504</v>
      </c>
      <c r="K244" s="13">
        <v>44137</v>
      </c>
      <c r="L244" s="17">
        <v>60</v>
      </c>
      <c r="M244" s="13">
        <f t="shared" si="3"/>
        <v>44197</v>
      </c>
      <c r="N244" s="14" t="s">
        <v>495</v>
      </c>
      <c r="O244" s="16" t="s">
        <v>538</v>
      </c>
      <c r="P244" s="16">
        <v>3</v>
      </c>
      <c r="Q244" s="14" t="s">
        <v>501</v>
      </c>
      <c r="R244" s="23"/>
      <c r="S244" s="23"/>
      <c r="T244" s="24"/>
    </row>
    <row r="245" spans="1:20" s="19" customFormat="1" ht="21" customHeight="1" x14ac:dyDescent="0.25">
      <c r="A245" s="12">
        <f>IF(B245="","",COUNTA($B$2:B245))</f>
        <v>244</v>
      </c>
      <c r="B245" s="20" t="s">
        <v>217</v>
      </c>
      <c r="C245" s="14"/>
      <c r="D245" s="14" t="s">
        <v>298</v>
      </c>
      <c r="E245" s="21" t="s">
        <v>313</v>
      </c>
      <c r="F245" s="22" t="s">
        <v>450</v>
      </c>
      <c r="G245" s="16" t="s">
        <v>457</v>
      </c>
      <c r="H245" s="13">
        <v>35329</v>
      </c>
      <c r="I245" s="20" t="s">
        <v>492</v>
      </c>
      <c r="J245" s="14" t="s">
        <v>504</v>
      </c>
      <c r="K245" s="13">
        <v>44137</v>
      </c>
      <c r="L245" s="17">
        <v>59</v>
      </c>
      <c r="M245" s="13">
        <f t="shared" si="3"/>
        <v>44196</v>
      </c>
      <c r="N245" s="14" t="s">
        <v>495</v>
      </c>
      <c r="O245" s="16" t="s">
        <v>539</v>
      </c>
      <c r="P245" s="16">
        <v>3</v>
      </c>
      <c r="Q245" s="14" t="s">
        <v>501</v>
      </c>
      <c r="R245" s="23"/>
      <c r="S245" s="23"/>
      <c r="T245" s="24"/>
    </row>
    <row r="246" spans="1:20" s="19" customFormat="1" ht="21" customHeight="1" x14ac:dyDescent="0.25">
      <c r="A246" s="12">
        <f>IF(B246="","",COUNTA($B$2:B246))</f>
        <v>245</v>
      </c>
      <c r="B246" s="13" t="s">
        <v>889</v>
      </c>
      <c r="C246" s="14"/>
      <c r="D246" s="14" t="s">
        <v>298</v>
      </c>
      <c r="E246" s="14" t="s">
        <v>310</v>
      </c>
      <c r="F246" s="15" t="s">
        <v>414</v>
      </c>
      <c r="G246" s="26" t="s">
        <v>425</v>
      </c>
      <c r="H246" s="13">
        <v>34572</v>
      </c>
      <c r="I246" s="14" t="s">
        <v>492</v>
      </c>
      <c r="J246" s="14" t="s">
        <v>504</v>
      </c>
      <c r="K246" s="13">
        <v>44137</v>
      </c>
      <c r="L246" s="17">
        <v>60</v>
      </c>
      <c r="M246" s="13">
        <f t="shared" si="3"/>
        <v>44197</v>
      </c>
      <c r="N246" s="14"/>
      <c r="O246" s="14" t="s">
        <v>539</v>
      </c>
      <c r="P246" s="14"/>
      <c r="Q246" s="14"/>
      <c r="R246" s="13">
        <v>45001</v>
      </c>
      <c r="S246" s="13" t="s">
        <v>975</v>
      </c>
      <c r="T246" s="24"/>
    </row>
    <row r="247" spans="1:20" s="19" customFormat="1" ht="21" customHeight="1" x14ac:dyDescent="0.25">
      <c r="A247" s="12">
        <f>IF(B247="","",COUNTA($B$2:B247))</f>
        <v>246</v>
      </c>
      <c r="B247" s="13" t="s">
        <v>744</v>
      </c>
      <c r="C247" s="14"/>
      <c r="D247" s="14" t="s">
        <v>299</v>
      </c>
      <c r="E247" s="14" t="s">
        <v>313</v>
      </c>
      <c r="F247" s="15" t="s">
        <v>942</v>
      </c>
      <c r="G247" s="14" t="s">
        <v>960</v>
      </c>
      <c r="H247" s="13">
        <v>36354</v>
      </c>
      <c r="I247" s="14" t="s">
        <v>492</v>
      </c>
      <c r="J247" s="14" t="s">
        <v>507</v>
      </c>
      <c r="K247" s="13">
        <v>44137</v>
      </c>
      <c r="L247" s="17">
        <v>60</v>
      </c>
      <c r="M247" s="13">
        <f t="shared" si="3"/>
        <v>44197</v>
      </c>
      <c r="N247" s="14"/>
      <c r="O247" s="14" t="s">
        <v>539</v>
      </c>
      <c r="P247" s="14"/>
      <c r="Q247" s="14"/>
      <c r="R247" s="13">
        <v>44682</v>
      </c>
      <c r="S247" s="13" t="s">
        <v>975</v>
      </c>
      <c r="T247" s="18"/>
    </row>
    <row r="248" spans="1:20" s="19" customFormat="1" ht="21" customHeight="1" x14ac:dyDescent="0.25">
      <c r="A248" s="12">
        <f>IF(B248="","",COUNTA($B$2:B248))</f>
        <v>247</v>
      </c>
      <c r="B248" s="13" t="s">
        <v>764</v>
      </c>
      <c r="C248" s="14"/>
      <c r="D248" s="14" t="s">
        <v>298</v>
      </c>
      <c r="E248" s="14" t="s">
        <v>313</v>
      </c>
      <c r="F248" s="15" t="s">
        <v>942</v>
      </c>
      <c r="G248" s="14" t="s">
        <v>960</v>
      </c>
      <c r="H248" s="13">
        <v>34814</v>
      </c>
      <c r="I248" s="14" t="s">
        <v>492</v>
      </c>
      <c r="J248" s="14" t="s">
        <v>504</v>
      </c>
      <c r="K248" s="13">
        <v>44137</v>
      </c>
      <c r="L248" s="17">
        <v>60</v>
      </c>
      <c r="M248" s="13">
        <f t="shared" si="3"/>
        <v>44197</v>
      </c>
      <c r="N248" s="14"/>
      <c r="O248" s="14" t="s">
        <v>539</v>
      </c>
      <c r="P248" s="14"/>
      <c r="Q248" s="14"/>
      <c r="R248" s="13">
        <v>44682</v>
      </c>
      <c r="S248" s="13" t="s">
        <v>977</v>
      </c>
      <c r="T248" s="18"/>
    </row>
    <row r="249" spans="1:20" s="19" customFormat="1" ht="21" customHeight="1" x14ac:dyDescent="0.25">
      <c r="A249" s="12">
        <f>IF(B249="","",COUNTA($B$2:B249))</f>
        <v>248</v>
      </c>
      <c r="B249" s="13" t="s">
        <v>683</v>
      </c>
      <c r="C249" s="14"/>
      <c r="D249" s="14" t="s">
        <v>298</v>
      </c>
      <c r="E249" s="14" t="s">
        <v>313</v>
      </c>
      <c r="F249" s="15" t="s">
        <v>449</v>
      </c>
      <c r="G249" s="14" t="s">
        <v>960</v>
      </c>
      <c r="H249" s="13">
        <v>33603</v>
      </c>
      <c r="I249" s="14" t="s">
        <v>492</v>
      </c>
      <c r="J249" s="14" t="s">
        <v>507</v>
      </c>
      <c r="K249" s="13">
        <v>44137</v>
      </c>
      <c r="L249" s="17">
        <v>60</v>
      </c>
      <c r="M249" s="13">
        <f t="shared" si="3"/>
        <v>44197</v>
      </c>
      <c r="N249" s="14"/>
      <c r="O249" s="14" t="s">
        <v>938</v>
      </c>
      <c r="P249" s="14"/>
      <c r="Q249" s="14"/>
      <c r="R249" s="13">
        <v>44593</v>
      </c>
      <c r="S249" s="13" t="s">
        <v>973</v>
      </c>
      <c r="T249" s="18"/>
    </row>
    <row r="250" spans="1:20" s="19" customFormat="1" ht="21" customHeight="1" x14ac:dyDescent="0.25">
      <c r="A250" s="12">
        <f>IF(B250="","",COUNTA($B$2:B250))</f>
        <v>249</v>
      </c>
      <c r="B250" s="13" t="s">
        <v>641</v>
      </c>
      <c r="C250" s="14"/>
      <c r="D250" s="14" t="s">
        <v>298</v>
      </c>
      <c r="E250" s="14" t="s">
        <v>313</v>
      </c>
      <c r="F250" s="15" t="s">
        <v>942</v>
      </c>
      <c r="G250" s="14" t="s">
        <v>960</v>
      </c>
      <c r="H250" s="13">
        <v>33081</v>
      </c>
      <c r="I250" s="14" t="s">
        <v>492</v>
      </c>
      <c r="J250" s="14" t="s">
        <v>507</v>
      </c>
      <c r="K250" s="13">
        <v>44137</v>
      </c>
      <c r="L250" s="17">
        <v>60</v>
      </c>
      <c r="M250" s="13">
        <f t="shared" si="3"/>
        <v>44197</v>
      </c>
      <c r="N250" s="14"/>
      <c r="O250" s="14" t="s">
        <v>541</v>
      </c>
      <c r="P250" s="14"/>
      <c r="Q250" s="14"/>
      <c r="R250" s="13">
        <v>44476</v>
      </c>
      <c r="S250" s="13" t="s">
        <v>977</v>
      </c>
      <c r="T250" s="18"/>
    </row>
    <row r="251" spans="1:20" s="19" customFormat="1" ht="21" customHeight="1" x14ac:dyDescent="0.25">
      <c r="A251" s="12">
        <f>IF(B251="","",COUNTA($B$2:B251))</f>
        <v>250</v>
      </c>
      <c r="B251" s="20" t="s">
        <v>584</v>
      </c>
      <c r="C251" s="14"/>
      <c r="D251" s="14" t="s">
        <v>298</v>
      </c>
      <c r="E251" s="21" t="s">
        <v>311</v>
      </c>
      <c r="F251" s="22" t="s">
        <v>939</v>
      </c>
      <c r="G251" s="16" t="s">
        <v>964</v>
      </c>
      <c r="H251" s="13">
        <v>32842</v>
      </c>
      <c r="I251" s="20" t="s">
        <v>492</v>
      </c>
      <c r="J251" s="14" t="s">
        <v>507</v>
      </c>
      <c r="K251" s="13">
        <v>44137</v>
      </c>
      <c r="L251" s="17">
        <v>60</v>
      </c>
      <c r="M251" s="13">
        <f t="shared" si="3"/>
        <v>44197</v>
      </c>
      <c r="N251" s="14"/>
      <c r="O251" s="16" t="s">
        <v>938</v>
      </c>
      <c r="P251" s="16"/>
      <c r="Q251" s="14"/>
      <c r="R251" s="13">
        <v>44301</v>
      </c>
      <c r="S251" s="13" t="s">
        <v>973</v>
      </c>
      <c r="T251" s="18"/>
    </row>
    <row r="252" spans="1:20" s="19" customFormat="1" ht="21" customHeight="1" x14ac:dyDescent="0.25">
      <c r="A252" s="12">
        <f>IF(B252="","",COUNTA($B$2:B252))</f>
        <v>251</v>
      </c>
      <c r="B252" s="20" t="s">
        <v>576</v>
      </c>
      <c r="C252" s="14"/>
      <c r="D252" s="14" t="s">
        <v>299</v>
      </c>
      <c r="E252" s="21" t="s">
        <v>311</v>
      </c>
      <c r="F252" s="22" t="s">
        <v>939</v>
      </c>
      <c r="G252" s="16" t="s">
        <v>964</v>
      </c>
      <c r="H252" s="13">
        <v>32167</v>
      </c>
      <c r="I252" s="20" t="s">
        <v>492</v>
      </c>
      <c r="J252" s="14" t="s">
        <v>507</v>
      </c>
      <c r="K252" s="13">
        <v>44137</v>
      </c>
      <c r="L252" s="17">
        <v>60</v>
      </c>
      <c r="M252" s="13">
        <f t="shared" si="3"/>
        <v>44197</v>
      </c>
      <c r="N252" s="14"/>
      <c r="O252" s="16" t="s">
        <v>938</v>
      </c>
      <c r="P252" s="16"/>
      <c r="Q252" s="14"/>
      <c r="R252" s="13">
        <v>44287</v>
      </c>
      <c r="S252" s="13" t="s">
        <v>973</v>
      </c>
      <c r="T252" s="18"/>
    </row>
    <row r="253" spans="1:20" s="19" customFormat="1" ht="21" customHeight="1" x14ac:dyDescent="0.25">
      <c r="A253" s="12">
        <f>IF(B253="","",COUNTA($B$2:B253))</f>
        <v>252</v>
      </c>
      <c r="B253" s="20" t="s">
        <v>545</v>
      </c>
      <c r="C253" s="14"/>
      <c r="D253" s="14" t="s">
        <v>299</v>
      </c>
      <c r="E253" s="21" t="s">
        <v>311</v>
      </c>
      <c r="F253" s="22" t="s">
        <v>939</v>
      </c>
      <c r="G253" s="16" t="s">
        <v>964</v>
      </c>
      <c r="H253" s="13">
        <v>32412</v>
      </c>
      <c r="I253" s="20" t="s">
        <v>492</v>
      </c>
      <c r="J253" s="14" t="s">
        <v>504</v>
      </c>
      <c r="K253" s="13">
        <v>44137</v>
      </c>
      <c r="L253" s="17">
        <v>60</v>
      </c>
      <c r="M253" s="13">
        <f t="shared" si="3"/>
        <v>44197</v>
      </c>
      <c r="N253" s="14"/>
      <c r="O253" s="16" t="s">
        <v>938</v>
      </c>
      <c r="P253" s="16"/>
      <c r="Q253" s="14"/>
      <c r="R253" s="13">
        <v>44197</v>
      </c>
      <c r="S253" s="14" t="s">
        <v>973</v>
      </c>
      <c r="T253" s="18"/>
    </row>
    <row r="254" spans="1:20" s="19" customFormat="1" ht="21" customHeight="1" x14ac:dyDescent="0.25">
      <c r="A254" s="12">
        <f>IF(B254="","",COUNTA($B$2:B254))</f>
        <v>253</v>
      </c>
      <c r="B254" s="20" t="s">
        <v>84</v>
      </c>
      <c r="C254" s="14"/>
      <c r="D254" s="14" t="s">
        <v>298</v>
      </c>
      <c r="E254" s="21" t="s">
        <v>308</v>
      </c>
      <c r="F254" s="22" t="s">
        <v>442</v>
      </c>
      <c r="G254" s="16" t="s">
        <v>447</v>
      </c>
      <c r="H254" s="13">
        <v>34268</v>
      </c>
      <c r="I254" s="20" t="s">
        <v>493</v>
      </c>
      <c r="J254" s="14" t="s">
        <v>504</v>
      </c>
      <c r="K254" s="13">
        <v>44138</v>
      </c>
      <c r="L254" s="17">
        <v>60</v>
      </c>
      <c r="M254" s="13">
        <f t="shared" si="3"/>
        <v>44198</v>
      </c>
      <c r="N254" s="14" t="s">
        <v>495</v>
      </c>
      <c r="O254" s="16" t="s">
        <v>538</v>
      </c>
      <c r="P254" s="16">
        <v>3</v>
      </c>
      <c r="Q254" s="14" t="s">
        <v>501</v>
      </c>
      <c r="R254" s="23"/>
      <c r="S254" s="23"/>
      <c r="T254" s="24"/>
    </row>
    <row r="255" spans="1:20" s="19" customFormat="1" ht="21" customHeight="1" x14ac:dyDescent="0.25">
      <c r="A255" s="12">
        <f>IF(B255="","",COUNTA($B$2:B255))</f>
        <v>254</v>
      </c>
      <c r="B255" s="13" t="s">
        <v>635</v>
      </c>
      <c r="C255" s="14"/>
      <c r="D255" s="14" t="s">
        <v>298</v>
      </c>
      <c r="E255" s="14" t="s">
        <v>305</v>
      </c>
      <c r="F255" s="15" t="s">
        <v>305</v>
      </c>
      <c r="G255" s="26" t="s">
        <v>950</v>
      </c>
      <c r="H255" s="13">
        <v>32805</v>
      </c>
      <c r="I255" s="14" t="s">
        <v>492</v>
      </c>
      <c r="J255" s="14" t="s">
        <v>504</v>
      </c>
      <c r="K255" s="13">
        <v>44138</v>
      </c>
      <c r="L255" s="17">
        <v>60</v>
      </c>
      <c r="M255" s="13">
        <f t="shared" si="3"/>
        <v>44198</v>
      </c>
      <c r="N255" s="14"/>
      <c r="O255" s="14" t="s">
        <v>938</v>
      </c>
      <c r="P255" s="14"/>
      <c r="Q255" s="14"/>
      <c r="R255" s="13">
        <v>44457</v>
      </c>
      <c r="S255" s="13" t="s">
        <v>972</v>
      </c>
      <c r="T255" s="18"/>
    </row>
    <row r="256" spans="1:20" s="19" customFormat="1" ht="21" customHeight="1" x14ac:dyDescent="0.25">
      <c r="A256" s="12">
        <f>IF(B256="","",COUNTA($B$2:B256))</f>
        <v>255</v>
      </c>
      <c r="B256" s="20" t="s">
        <v>546</v>
      </c>
      <c r="C256" s="14"/>
      <c r="D256" s="14" t="s">
        <v>298</v>
      </c>
      <c r="E256" s="21" t="s">
        <v>303</v>
      </c>
      <c r="F256" s="22" t="s">
        <v>303</v>
      </c>
      <c r="G256" s="16" t="s">
        <v>366</v>
      </c>
      <c r="H256" s="13">
        <v>26324</v>
      </c>
      <c r="I256" s="20" t="s">
        <v>492</v>
      </c>
      <c r="J256" s="14" t="s">
        <v>504</v>
      </c>
      <c r="K256" s="13">
        <v>44140</v>
      </c>
      <c r="L256" s="17">
        <v>60</v>
      </c>
      <c r="M256" s="13">
        <f t="shared" si="3"/>
        <v>44200</v>
      </c>
      <c r="N256" s="14"/>
      <c r="O256" s="16" t="s">
        <v>938</v>
      </c>
      <c r="P256" s="16"/>
      <c r="Q256" s="14"/>
      <c r="R256" s="13">
        <v>44202</v>
      </c>
      <c r="S256" s="13" t="s">
        <v>977</v>
      </c>
      <c r="T256" s="18"/>
    </row>
    <row r="257" spans="1:20" s="19" customFormat="1" ht="21" customHeight="1" x14ac:dyDescent="0.25">
      <c r="A257" s="12">
        <f>IF(B257="","",COUNTA($B$2:B257))</f>
        <v>256</v>
      </c>
      <c r="B257" s="13" t="s">
        <v>602</v>
      </c>
      <c r="C257" s="14"/>
      <c r="D257" s="14" t="s">
        <v>298</v>
      </c>
      <c r="E257" s="14" t="s">
        <v>304</v>
      </c>
      <c r="F257" s="15" t="s">
        <v>941</v>
      </c>
      <c r="G257" s="16" t="s">
        <v>371</v>
      </c>
      <c r="H257" s="13">
        <v>32677</v>
      </c>
      <c r="I257" s="14" t="s">
        <v>492</v>
      </c>
      <c r="J257" s="14" t="s">
        <v>506</v>
      </c>
      <c r="K257" s="13">
        <v>44148</v>
      </c>
      <c r="L257" s="17">
        <v>60</v>
      </c>
      <c r="M257" s="13">
        <f t="shared" si="3"/>
        <v>44208</v>
      </c>
      <c r="N257" s="14"/>
      <c r="O257" s="14" t="s">
        <v>539</v>
      </c>
      <c r="P257" s="14"/>
      <c r="Q257" s="14"/>
      <c r="R257" s="13">
        <v>44348</v>
      </c>
      <c r="S257" s="13" t="s">
        <v>972</v>
      </c>
      <c r="T257" s="18"/>
    </row>
    <row r="258" spans="1:20" s="19" customFormat="1" ht="21" customHeight="1" x14ac:dyDescent="0.25">
      <c r="A258" s="12">
        <f>IF(B258="","",COUNTA($B$2:B258))</f>
        <v>257</v>
      </c>
      <c r="B258" s="20" t="s">
        <v>61</v>
      </c>
      <c r="C258" s="14"/>
      <c r="D258" s="14" t="s">
        <v>298</v>
      </c>
      <c r="E258" s="21" t="s">
        <v>306</v>
      </c>
      <c r="F258" s="22" t="s">
        <v>306</v>
      </c>
      <c r="G258" s="16" t="s">
        <v>428</v>
      </c>
      <c r="H258" s="13">
        <v>28887</v>
      </c>
      <c r="I258" s="20" t="s">
        <v>492</v>
      </c>
      <c r="J258" s="14" t="s">
        <v>504</v>
      </c>
      <c r="K258" s="13">
        <v>44151</v>
      </c>
      <c r="L258" s="17">
        <v>60</v>
      </c>
      <c r="M258" s="13">
        <f t="shared" ref="M258:M321" si="4">K258+L258</f>
        <v>44211</v>
      </c>
      <c r="N258" s="14" t="s">
        <v>495</v>
      </c>
      <c r="O258" s="16" t="s">
        <v>538</v>
      </c>
      <c r="P258" s="16">
        <v>3</v>
      </c>
      <c r="Q258" s="14" t="s">
        <v>501</v>
      </c>
      <c r="R258" s="23"/>
      <c r="S258" s="23"/>
      <c r="T258" s="24"/>
    </row>
    <row r="259" spans="1:20" s="19" customFormat="1" ht="21" customHeight="1" x14ac:dyDescent="0.25">
      <c r="A259" s="12">
        <f>IF(B259="","",COUNTA($B$2:B259))</f>
        <v>258</v>
      </c>
      <c r="B259" s="20" t="s">
        <v>69</v>
      </c>
      <c r="C259" s="14"/>
      <c r="D259" s="14" t="s">
        <v>298</v>
      </c>
      <c r="E259" s="21" t="s">
        <v>307</v>
      </c>
      <c r="F259" s="22" t="s">
        <v>434</v>
      </c>
      <c r="G259" s="16" t="s">
        <v>440</v>
      </c>
      <c r="H259" s="13">
        <v>35146</v>
      </c>
      <c r="I259" s="20" t="s">
        <v>491</v>
      </c>
      <c r="J259" s="14" t="s">
        <v>504</v>
      </c>
      <c r="K259" s="13">
        <v>44151</v>
      </c>
      <c r="L259" s="17">
        <v>60</v>
      </c>
      <c r="M259" s="13">
        <f t="shared" si="4"/>
        <v>44211</v>
      </c>
      <c r="N259" s="14" t="s">
        <v>495</v>
      </c>
      <c r="O259" s="16" t="s">
        <v>539</v>
      </c>
      <c r="P259" s="16">
        <v>3</v>
      </c>
      <c r="Q259" s="14" t="s">
        <v>501</v>
      </c>
      <c r="R259" s="23"/>
      <c r="S259" s="23"/>
      <c r="T259" s="24"/>
    </row>
    <row r="260" spans="1:20" s="19" customFormat="1" ht="21" customHeight="1" x14ac:dyDescent="0.25">
      <c r="A260" s="12">
        <f>IF(B260="","",COUNTA($B$2:B260))</f>
        <v>259</v>
      </c>
      <c r="B260" s="20" t="s">
        <v>72</v>
      </c>
      <c r="C260" s="14"/>
      <c r="D260" s="14" t="s">
        <v>298</v>
      </c>
      <c r="E260" s="21" t="s">
        <v>307</v>
      </c>
      <c r="F260" s="22" t="s">
        <v>434</v>
      </c>
      <c r="G260" s="16" t="s">
        <v>440</v>
      </c>
      <c r="H260" s="13">
        <v>34642</v>
      </c>
      <c r="I260" s="20" t="s">
        <v>491</v>
      </c>
      <c r="J260" s="14" t="s">
        <v>504</v>
      </c>
      <c r="K260" s="13">
        <v>44151</v>
      </c>
      <c r="L260" s="17">
        <v>60</v>
      </c>
      <c r="M260" s="13">
        <f t="shared" si="4"/>
        <v>44211</v>
      </c>
      <c r="N260" s="14" t="s">
        <v>495</v>
      </c>
      <c r="O260" s="16" t="s">
        <v>539</v>
      </c>
      <c r="P260" s="16">
        <v>3</v>
      </c>
      <c r="Q260" s="14" t="s">
        <v>501</v>
      </c>
      <c r="R260" s="23"/>
      <c r="S260" s="23"/>
      <c r="T260" s="24"/>
    </row>
    <row r="261" spans="1:20" s="19" customFormat="1" ht="21" customHeight="1" x14ac:dyDescent="0.25">
      <c r="A261" s="12">
        <f>IF(B261="","",COUNTA($B$2:B261))</f>
        <v>260</v>
      </c>
      <c r="B261" s="20" t="s">
        <v>85</v>
      </c>
      <c r="C261" s="14"/>
      <c r="D261" s="14" t="s">
        <v>298</v>
      </c>
      <c r="E261" s="21" t="s">
        <v>308</v>
      </c>
      <c r="F261" s="22" t="s">
        <v>442</v>
      </c>
      <c r="G261" s="16" t="s">
        <v>447</v>
      </c>
      <c r="H261" s="13">
        <v>34140</v>
      </c>
      <c r="I261" s="20" t="s">
        <v>492</v>
      </c>
      <c r="J261" s="14" t="s">
        <v>504</v>
      </c>
      <c r="K261" s="13">
        <v>44151</v>
      </c>
      <c r="L261" s="17">
        <v>60</v>
      </c>
      <c r="M261" s="13">
        <f t="shared" si="4"/>
        <v>44211</v>
      </c>
      <c r="N261" s="14" t="s">
        <v>495</v>
      </c>
      <c r="O261" s="16" t="s">
        <v>539</v>
      </c>
      <c r="P261" s="16">
        <v>3</v>
      </c>
      <c r="Q261" s="14" t="s">
        <v>501</v>
      </c>
      <c r="R261" s="23"/>
      <c r="S261" s="23"/>
      <c r="T261" s="24"/>
    </row>
    <row r="262" spans="1:20" s="19" customFormat="1" ht="21" customHeight="1" x14ac:dyDescent="0.25">
      <c r="A262" s="12">
        <f>IF(B262="","",COUNTA($B$2:B262))</f>
        <v>261</v>
      </c>
      <c r="B262" s="20" t="s">
        <v>255</v>
      </c>
      <c r="C262" s="14"/>
      <c r="D262" s="14" t="s">
        <v>298</v>
      </c>
      <c r="E262" s="21" t="s">
        <v>314</v>
      </c>
      <c r="F262" s="22" t="s">
        <v>328</v>
      </c>
      <c r="G262" s="16" t="s">
        <v>343</v>
      </c>
      <c r="H262" s="13">
        <v>32755</v>
      </c>
      <c r="I262" s="20" t="s">
        <v>491</v>
      </c>
      <c r="J262" s="14" t="s">
        <v>504</v>
      </c>
      <c r="K262" s="13">
        <v>44151</v>
      </c>
      <c r="L262" s="17">
        <v>60</v>
      </c>
      <c r="M262" s="13">
        <f t="shared" si="4"/>
        <v>44211</v>
      </c>
      <c r="N262" s="14" t="s">
        <v>495</v>
      </c>
      <c r="O262" s="16" t="s">
        <v>538</v>
      </c>
      <c r="P262" s="16">
        <v>3</v>
      </c>
      <c r="Q262" s="14" t="s">
        <v>501</v>
      </c>
      <c r="R262" s="23"/>
      <c r="S262" s="23"/>
      <c r="T262" s="24"/>
    </row>
    <row r="263" spans="1:20" s="19" customFormat="1" ht="21" customHeight="1" x14ac:dyDescent="0.25">
      <c r="A263" s="12">
        <f>IF(B263="","",COUNTA($B$2:B263))</f>
        <v>262</v>
      </c>
      <c r="B263" s="13" t="s">
        <v>811</v>
      </c>
      <c r="C263" s="14"/>
      <c r="D263" s="14" t="s">
        <v>298</v>
      </c>
      <c r="E263" s="14" t="s">
        <v>314</v>
      </c>
      <c r="F263" s="15" t="s">
        <v>330</v>
      </c>
      <c r="G263" s="16" t="s">
        <v>361</v>
      </c>
      <c r="H263" s="13">
        <v>35662</v>
      </c>
      <c r="I263" s="14" t="s">
        <v>491</v>
      </c>
      <c r="J263" s="14" t="s">
        <v>504</v>
      </c>
      <c r="K263" s="13">
        <v>44151</v>
      </c>
      <c r="L263" s="17">
        <v>60</v>
      </c>
      <c r="M263" s="13">
        <f t="shared" si="4"/>
        <v>44211</v>
      </c>
      <c r="N263" s="14"/>
      <c r="O263" s="14" t="s">
        <v>539</v>
      </c>
      <c r="P263" s="14"/>
      <c r="Q263" s="14"/>
      <c r="R263" s="13">
        <v>44752</v>
      </c>
      <c r="S263" s="13" t="s">
        <v>977</v>
      </c>
      <c r="T263" s="18"/>
    </row>
    <row r="264" spans="1:20" s="19" customFormat="1" ht="21" customHeight="1" x14ac:dyDescent="0.25">
      <c r="A264" s="12">
        <f>IF(B264="","",COUNTA($B$2:B264))</f>
        <v>263</v>
      </c>
      <c r="B264" s="20" t="s">
        <v>547</v>
      </c>
      <c r="C264" s="14"/>
      <c r="D264" s="14" t="s">
        <v>298</v>
      </c>
      <c r="E264" s="21" t="s">
        <v>310</v>
      </c>
      <c r="F264" s="22" t="s">
        <v>310</v>
      </c>
      <c r="G264" s="16" t="s">
        <v>951</v>
      </c>
      <c r="H264" s="13">
        <v>31217</v>
      </c>
      <c r="I264" s="20" t="s">
        <v>492</v>
      </c>
      <c r="J264" s="14" t="s">
        <v>504</v>
      </c>
      <c r="K264" s="13">
        <v>44151</v>
      </c>
      <c r="L264" s="17">
        <v>60</v>
      </c>
      <c r="M264" s="13">
        <f t="shared" si="4"/>
        <v>44211</v>
      </c>
      <c r="N264" s="14"/>
      <c r="O264" s="16" t="s">
        <v>938</v>
      </c>
      <c r="P264" s="16"/>
      <c r="Q264" s="14"/>
      <c r="R264" s="13">
        <v>44203</v>
      </c>
      <c r="S264" s="13" t="s">
        <v>973</v>
      </c>
      <c r="T264" s="18"/>
    </row>
    <row r="265" spans="1:20" s="19" customFormat="1" ht="21" customHeight="1" x14ac:dyDescent="0.25">
      <c r="A265" s="12">
        <f>IF(B265="","",COUNTA($B$2:B265))</f>
        <v>264</v>
      </c>
      <c r="B265" s="20" t="s">
        <v>562</v>
      </c>
      <c r="C265" s="14"/>
      <c r="D265" s="14" t="s">
        <v>299</v>
      </c>
      <c r="E265" s="21" t="s">
        <v>311</v>
      </c>
      <c r="F265" s="22" t="s">
        <v>317</v>
      </c>
      <c r="G265" s="16" t="s">
        <v>320</v>
      </c>
      <c r="H265" s="13">
        <v>33032</v>
      </c>
      <c r="I265" s="20" t="s">
        <v>491</v>
      </c>
      <c r="J265" s="14" t="s">
        <v>504</v>
      </c>
      <c r="K265" s="13">
        <v>44158</v>
      </c>
      <c r="L265" s="17">
        <v>60</v>
      </c>
      <c r="M265" s="13">
        <f t="shared" si="4"/>
        <v>44218</v>
      </c>
      <c r="N265" s="14"/>
      <c r="O265" s="16" t="s">
        <v>938</v>
      </c>
      <c r="P265" s="16"/>
      <c r="Q265" s="14"/>
      <c r="R265" s="13">
        <v>44277</v>
      </c>
      <c r="S265" s="13" t="s">
        <v>977</v>
      </c>
      <c r="T265" s="18"/>
    </row>
    <row r="266" spans="1:20" s="19" customFormat="1" ht="21" customHeight="1" x14ac:dyDescent="0.25">
      <c r="A266" s="12">
        <f>IF(B266="","",COUNTA($B$2:B266))</f>
        <v>265</v>
      </c>
      <c r="B266" s="20" t="s">
        <v>585</v>
      </c>
      <c r="C266" s="14"/>
      <c r="D266" s="14" t="s">
        <v>298</v>
      </c>
      <c r="E266" s="21" t="s">
        <v>309</v>
      </c>
      <c r="F266" s="22" t="s">
        <v>399</v>
      </c>
      <c r="G266" s="16" t="s">
        <v>402</v>
      </c>
      <c r="H266" s="13">
        <v>33461</v>
      </c>
      <c r="I266" s="20" t="s">
        <v>492</v>
      </c>
      <c r="J266" s="14" t="s">
        <v>504</v>
      </c>
      <c r="K266" s="13">
        <v>44166</v>
      </c>
      <c r="L266" s="17">
        <v>60</v>
      </c>
      <c r="M266" s="13">
        <f t="shared" si="4"/>
        <v>44226</v>
      </c>
      <c r="N266" s="14"/>
      <c r="O266" s="16" t="s">
        <v>539</v>
      </c>
      <c r="P266" s="16"/>
      <c r="Q266" s="14"/>
      <c r="R266" s="13">
        <v>44305</v>
      </c>
      <c r="S266" s="13" t="s">
        <v>977</v>
      </c>
      <c r="T266" s="18"/>
    </row>
    <row r="267" spans="1:20" s="19" customFormat="1" ht="21" customHeight="1" x14ac:dyDescent="0.25">
      <c r="A267" s="12">
        <f>IF(B267="","",COUNTA($B$2:B267))</f>
        <v>266</v>
      </c>
      <c r="B267" s="20" t="s">
        <v>577</v>
      </c>
      <c r="C267" s="14"/>
      <c r="D267" s="14" t="s">
        <v>298</v>
      </c>
      <c r="E267" s="21" t="s">
        <v>311</v>
      </c>
      <c r="F267" s="22" t="s">
        <v>326</v>
      </c>
      <c r="G267" s="16" t="s">
        <v>320</v>
      </c>
      <c r="H267" s="13">
        <v>33331</v>
      </c>
      <c r="I267" s="20" t="s">
        <v>491</v>
      </c>
      <c r="J267" s="14" t="s">
        <v>504</v>
      </c>
      <c r="K267" s="13">
        <v>44167</v>
      </c>
      <c r="L267" s="17">
        <v>60</v>
      </c>
      <c r="M267" s="13">
        <f t="shared" si="4"/>
        <v>44227</v>
      </c>
      <c r="N267" s="14"/>
      <c r="O267" s="16" t="s">
        <v>938</v>
      </c>
      <c r="P267" s="16"/>
      <c r="Q267" s="14"/>
      <c r="R267" s="13">
        <v>44287</v>
      </c>
      <c r="S267" s="13" t="s">
        <v>977</v>
      </c>
      <c r="T267" s="18"/>
    </row>
    <row r="268" spans="1:20" s="19" customFormat="1" ht="21" customHeight="1" x14ac:dyDescent="0.25">
      <c r="A268" s="12">
        <f>IF(B268="","",COUNTA($B$2:B268))</f>
        <v>267</v>
      </c>
      <c r="B268" s="20" t="s">
        <v>74</v>
      </c>
      <c r="C268" s="14"/>
      <c r="D268" s="14" t="s">
        <v>298</v>
      </c>
      <c r="E268" s="21" t="s">
        <v>307</v>
      </c>
      <c r="F268" s="22" t="s">
        <v>434</v>
      </c>
      <c r="G268" s="16" t="s">
        <v>440</v>
      </c>
      <c r="H268" s="13">
        <v>35245</v>
      </c>
      <c r="I268" s="20" t="s">
        <v>491</v>
      </c>
      <c r="J268" s="14" t="s">
        <v>504</v>
      </c>
      <c r="K268" s="13">
        <v>44172</v>
      </c>
      <c r="L268" s="17">
        <v>60</v>
      </c>
      <c r="M268" s="13">
        <f t="shared" si="4"/>
        <v>44232</v>
      </c>
      <c r="N268" s="14" t="s">
        <v>495</v>
      </c>
      <c r="O268" s="16" t="s">
        <v>539</v>
      </c>
      <c r="P268" s="16">
        <v>4</v>
      </c>
      <c r="Q268" s="14" t="s">
        <v>502</v>
      </c>
      <c r="R268" s="23"/>
      <c r="S268" s="23"/>
      <c r="T268" s="24"/>
    </row>
    <row r="269" spans="1:20" s="19" customFormat="1" ht="21" customHeight="1" x14ac:dyDescent="0.25">
      <c r="A269" s="12">
        <f>IF(B269="","",COUNTA($B$2:B269))</f>
        <v>268</v>
      </c>
      <c r="B269" s="20" t="s">
        <v>52</v>
      </c>
      <c r="C269" s="14"/>
      <c r="D269" s="14" t="s">
        <v>298</v>
      </c>
      <c r="E269" s="21" t="s">
        <v>305</v>
      </c>
      <c r="F269" s="22" t="s">
        <v>391</v>
      </c>
      <c r="G269" s="16" t="s">
        <v>383</v>
      </c>
      <c r="H269" s="13">
        <v>34101</v>
      </c>
      <c r="I269" s="20" t="s">
        <v>492</v>
      </c>
      <c r="J269" s="14" t="s">
        <v>504</v>
      </c>
      <c r="K269" s="13">
        <v>44179</v>
      </c>
      <c r="L269" s="17">
        <v>61</v>
      </c>
      <c r="M269" s="13">
        <f t="shared" si="4"/>
        <v>44240</v>
      </c>
      <c r="N269" s="14" t="s">
        <v>495</v>
      </c>
      <c r="O269" s="16" t="s">
        <v>538</v>
      </c>
      <c r="P269" s="16">
        <v>3</v>
      </c>
      <c r="Q269" s="14" t="s">
        <v>501</v>
      </c>
      <c r="R269" s="23"/>
      <c r="S269" s="23"/>
      <c r="T269" s="24"/>
    </row>
    <row r="270" spans="1:20" s="19" customFormat="1" ht="21" customHeight="1" x14ac:dyDescent="0.25">
      <c r="A270" s="12">
        <f>IF(B270="","",COUNTA($B$2:B270))</f>
        <v>269</v>
      </c>
      <c r="B270" s="20" t="s">
        <v>163</v>
      </c>
      <c r="C270" s="14"/>
      <c r="D270" s="14" t="s">
        <v>298</v>
      </c>
      <c r="E270" s="21" t="s">
        <v>311</v>
      </c>
      <c r="F270" s="22" t="s">
        <v>318</v>
      </c>
      <c r="G270" s="16" t="s">
        <v>319</v>
      </c>
      <c r="H270" s="13">
        <v>32591</v>
      </c>
      <c r="I270" s="20" t="s">
        <v>492</v>
      </c>
      <c r="J270" s="14" t="s">
        <v>504</v>
      </c>
      <c r="K270" s="13">
        <v>44179</v>
      </c>
      <c r="L270" s="17">
        <v>61</v>
      </c>
      <c r="M270" s="13">
        <f t="shared" si="4"/>
        <v>44240</v>
      </c>
      <c r="N270" s="14" t="s">
        <v>495</v>
      </c>
      <c r="O270" s="16" t="s">
        <v>538</v>
      </c>
      <c r="P270" s="16">
        <v>3</v>
      </c>
      <c r="Q270" s="14" t="s">
        <v>501</v>
      </c>
      <c r="R270" s="23"/>
      <c r="S270" s="23"/>
      <c r="T270" s="24"/>
    </row>
    <row r="271" spans="1:20" s="19" customFormat="1" ht="21" customHeight="1" x14ac:dyDescent="0.25">
      <c r="A271" s="12">
        <f>IF(B271="","",COUNTA($B$2:B271))</f>
        <v>270</v>
      </c>
      <c r="B271" s="13" t="s">
        <v>761</v>
      </c>
      <c r="C271" s="14"/>
      <c r="D271" s="14" t="s">
        <v>298</v>
      </c>
      <c r="E271" s="14" t="s">
        <v>313</v>
      </c>
      <c r="F271" s="15" t="s">
        <v>942</v>
      </c>
      <c r="G271" s="14" t="s">
        <v>960</v>
      </c>
      <c r="H271" s="13">
        <v>34473</v>
      </c>
      <c r="I271" s="14" t="s">
        <v>492</v>
      </c>
      <c r="J271" s="14" t="s">
        <v>935</v>
      </c>
      <c r="K271" s="13">
        <v>44179</v>
      </c>
      <c r="L271" s="17">
        <v>60</v>
      </c>
      <c r="M271" s="13">
        <f t="shared" si="4"/>
        <v>44239</v>
      </c>
      <c r="N271" s="14"/>
      <c r="O271" s="14" t="s">
        <v>539</v>
      </c>
      <c r="P271" s="14"/>
      <c r="Q271" s="14"/>
      <c r="R271" s="13">
        <v>44682</v>
      </c>
      <c r="S271" s="13" t="s">
        <v>977</v>
      </c>
      <c r="T271" s="18"/>
    </row>
    <row r="272" spans="1:20" s="19" customFormat="1" ht="21" customHeight="1" x14ac:dyDescent="0.25">
      <c r="A272" s="12">
        <f>IF(B272="","",COUNTA($B$2:B272))</f>
        <v>271</v>
      </c>
      <c r="B272" s="13" t="s">
        <v>768</v>
      </c>
      <c r="C272" s="14"/>
      <c r="D272" s="14" t="s">
        <v>300</v>
      </c>
      <c r="E272" s="14" t="s">
        <v>313</v>
      </c>
      <c r="F272" s="15" t="s">
        <v>942</v>
      </c>
      <c r="G272" s="14" t="s">
        <v>960</v>
      </c>
      <c r="H272" s="13">
        <v>33710</v>
      </c>
      <c r="I272" s="14" t="s">
        <v>492</v>
      </c>
      <c r="J272" s="14" t="s">
        <v>507</v>
      </c>
      <c r="K272" s="13">
        <v>44179</v>
      </c>
      <c r="L272" s="17">
        <v>60</v>
      </c>
      <c r="M272" s="13">
        <f t="shared" si="4"/>
        <v>44239</v>
      </c>
      <c r="N272" s="14"/>
      <c r="O272" s="14" t="s">
        <v>538</v>
      </c>
      <c r="P272" s="14"/>
      <c r="Q272" s="14"/>
      <c r="R272" s="13">
        <v>44682</v>
      </c>
      <c r="S272" s="13" t="s">
        <v>972</v>
      </c>
      <c r="T272" s="18"/>
    </row>
    <row r="273" spans="1:20" s="19" customFormat="1" ht="21" customHeight="1" x14ac:dyDescent="0.25">
      <c r="A273" s="12">
        <f>IF(B273="","",COUNTA($B$2:B273))</f>
        <v>272</v>
      </c>
      <c r="B273" s="13" t="s">
        <v>797</v>
      </c>
      <c r="C273" s="14"/>
      <c r="D273" s="14" t="s">
        <v>300</v>
      </c>
      <c r="E273" s="14" t="s">
        <v>309</v>
      </c>
      <c r="F273" s="15" t="s">
        <v>329</v>
      </c>
      <c r="G273" s="16" t="s">
        <v>407</v>
      </c>
      <c r="H273" s="13">
        <v>33444</v>
      </c>
      <c r="I273" s="14" t="s">
        <v>491</v>
      </c>
      <c r="J273" s="14" t="s">
        <v>504</v>
      </c>
      <c r="K273" s="13">
        <v>44186</v>
      </c>
      <c r="L273" s="17">
        <v>60</v>
      </c>
      <c r="M273" s="13">
        <f t="shared" si="4"/>
        <v>44246</v>
      </c>
      <c r="N273" s="14"/>
      <c r="O273" s="14" t="s">
        <v>538</v>
      </c>
      <c r="P273" s="14"/>
      <c r="Q273" s="14"/>
      <c r="R273" s="13">
        <v>44716</v>
      </c>
      <c r="S273" s="13" t="s">
        <v>973</v>
      </c>
      <c r="T273" s="18"/>
    </row>
    <row r="274" spans="1:20" s="19" customFormat="1" ht="21" customHeight="1" x14ac:dyDescent="0.25">
      <c r="A274" s="12">
        <f>IF(B274="","",COUNTA($B$2:B274))</f>
        <v>273</v>
      </c>
      <c r="B274" s="13" t="s">
        <v>735</v>
      </c>
      <c r="C274" s="14"/>
      <c r="D274" s="14" t="s">
        <v>298</v>
      </c>
      <c r="E274" s="14" t="s">
        <v>313</v>
      </c>
      <c r="F274" s="15" t="s">
        <v>942</v>
      </c>
      <c r="G274" s="14" t="s">
        <v>960</v>
      </c>
      <c r="H274" s="13">
        <v>35346</v>
      </c>
      <c r="I274" s="14" t="s">
        <v>492</v>
      </c>
      <c r="J274" s="14" t="s">
        <v>504</v>
      </c>
      <c r="K274" s="13">
        <v>44186</v>
      </c>
      <c r="L274" s="17">
        <v>60</v>
      </c>
      <c r="M274" s="13">
        <f t="shared" si="4"/>
        <v>44246</v>
      </c>
      <c r="N274" s="14"/>
      <c r="O274" s="14" t="s">
        <v>538</v>
      </c>
      <c r="P274" s="14"/>
      <c r="Q274" s="14"/>
      <c r="R274" s="13">
        <v>44682</v>
      </c>
      <c r="S274" s="13" t="s">
        <v>977</v>
      </c>
      <c r="T274" s="18"/>
    </row>
    <row r="275" spans="1:20" s="19" customFormat="1" ht="21" customHeight="1" x14ac:dyDescent="0.25">
      <c r="A275" s="12">
        <f>IF(B275="","",COUNTA($B$2:B275))</f>
        <v>274</v>
      </c>
      <c r="B275" s="13" t="s">
        <v>658</v>
      </c>
      <c r="C275" s="14"/>
      <c r="D275" s="14" t="s">
        <v>298</v>
      </c>
      <c r="E275" s="14" t="s">
        <v>311</v>
      </c>
      <c r="F275" s="22" t="s">
        <v>317</v>
      </c>
      <c r="G275" s="16" t="s">
        <v>320</v>
      </c>
      <c r="H275" s="13">
        <v>32776</v>
      </c>
      <c r="I275" s="14" t="s">
        <v>491</v>
      </c>
      <c r="J275" s="14" t="s">
        <v>504</v>
      </c>
      <c r="K275" s="13">
        <v>44186</v>
      </c>
      <c r="L275" s="17">
        <v>60</v>
      </c>
      <c r="M275" s="13">
        <f t="shared" si="4"/>
        <v>44246</v>
      </c>
      <c r="N275" s="14"/>
      <c r="O275" s="14" t="s">
        <v>938</v>
      </c>
      <c r="P275" s="14"/>
      <c r="Q275" s="14"/>
      <c r="R275" s="13">
        <v>44531</v>
      </c>
      <c r="S275" s="13" t="s">
        <v>975</v>
      </c>
      <c r="T275" s="18"/>
    </row>
    <row r="276" spans="1:20" s="19" customFormat="1" ht="21" customHeight="1" x14ac:dyDescent="0.25">
      <c r="A276" s="12">
        <f>IF(B276="","",COUNTA($B$2:B276))</f>
        <v>275</v>
      </c>
      <c r="B276" s="20" t="s">
        <v>191</v>
      </c>
      <c r="C276" s="14"/>
      <c r="D276" s="14" t="s">
        <v>299</v>
      </c>
      <c r="E276" s="21" t="s">
        <v>311</v>
      </c>
      <c r="F276" s="22" t="s">
        <v>318</v>
      </c>
      <c r="G276" s="16" t="s">
        <v>321</v>
      </c>
      <c r="H276" s="13">
        <v>32080</v>
      </c>
      <c r="I276" s="20" t="s">
        <v>492</v>
      </c>
      <c r="J276" s="14" t="s">
        <v>504</v>
      </c>
      <c r="K276" s="13">
        <v>44190</v>
      </c>
      <c r="L276" s="17">
        <v>60</v>
      </c>
      <c r="M276" s="13">
        <f t="shared" si="4"/>
        <v>44250</v>
      </c>
      <c r="N276" s="14" t="s">
        <v>495</v>
      </c>
      <c r="O276" s="16" t="s">
        <v>538</v>
      </c>
      <c r="P276" s="16">
        <v>3</v>
      </c>
      <c r="Q276" s="14" t="s">
        <v>501</v>
      </c>
      <c r="R276" s="23"/>
      <c r="S276" s="23"/>
      <c r="T276" s="24"/>
    </row>
    <row r="277" spans="1:20" s="19" customFormat="1" ht="21" customHeight="1" x14ac:dyDescent="0.25">
      <c r="A277" s="12">
        <f>IF(B277="","",COUNTA($B$2:B277))</f>
        <v>276</v>
      </c>
      <c r="B277" s="20" t="s">
        <v>73</v>
      </c>
      <c r="C277" s="14"/>
      <c r="D277" s="14" t="s">
        <v>298</v>
      </c>
      <c r="E277" s="21" t="s">
        <v>307</v>
      </c>
      <c r="F277" s="22" t="s">
        <v>434</v>
      </c>
      <c r="G277" s="16" t="s">
        <v>438</v>
      </c>
      <c r="H277" s="13">
        <v>34506</v>
      </c>
      <c r="I277" s="20" t="s">
        <v>491</v>
      </c>
      <c r="J277" s="14" t="s">
        <v>504</v>
      </c>
      <c r="K277" s="13">
        <v>44193</v>
      </c>
      <c r="L277" s="17">
        <v>60</v>
      </c>
      <c r="M277" s="13">
        <f t="shared" si="4"/>
        <v>44253</v>
      </c>
      <c r="N277" s="14" t="s">
        <v>495</v>
      </c>
      <c r="O277" s="16" t="s">
        <v>538</v>
      </c>
      <c r="P277" s="16">
        <v>3</v>
      </c>
      <c r="Q277" s="14" t="s">
        <v>501</v>
      </c>
      <c r="R277" s="23"/>
      <c r="S277" s="23"/>
      <c r="T277" s="24"/>
    </row>
    <row r="278" spans="1:20" s="19" customFormat="1" ht="21" customHeight="1" x14ac:dyDescent="0.25">
      <c r="A278" s="12">
        <f>IF(B278="","",COUNTA($B$2:B278))</f>
        <v>277</v>
      </c>
      <c r="B278" s="13" t="s">
        <v>819</v>
      </c>
      <c r="C278" s="14"/>
      <c r="D278" s="14" t="s">
        <v>298</v>
      </c>
      <c r="E278" s="14" t="s">
        <v>305</v>
      </c>
      <c r="F278" s="15" t="s">
        <v>393</v>
      </c>
      <c r="G278" s="16" t="s">
        <v>384</v>
      </c>
      <c r="H278" s="13">
        <v>34145</v>
      </c>
      <c r="I278" s="14" t="s">
        <v>492</v>
      </c>
      <c r="J278" s="14" t="s">
        <v>507</v>
      </c>
      <c r="K278" s="13">
        <v>44193</v>
      </c>
      <c r="L278" s="17">
        <v>60</v>
      </c>
      <c r="M278" s="13">
        <f t="shared" si="4"/>
        <v>44253</v>
      </c>
      <c r="N278" s="14"/>
      <c r="O278" s="14" t="s">
        <v>538</v>
      </c>
      <c r="P278" s="14"/>
      <c r="Q278" s="14"/>
      <c r="R278" s="13">
        <v>44775</v>
      </c>
      <c r="S278" s="13" t="s">
        <v>977</v>
      </c>
      <c r="T278" s="18"/>
    </row>
    <row r="279" spans="1:20" s="19" customFormat="1" ht="21" customHeight="1" x14ac:dyDescent="0.25">
      <c r="A279" s="12">
        <f>IF(B279="","",COUNTA($B$2:B279))</f>
        <v>278</v>
      </c>
      <c r="B279" s="13" t="s">
        <v>792</v>
      </c>
      <c r="C279" s="14"/>
      <c r="D279" s="14" t="s">
        <v>298</v>
      </c>
      <c r="E279" s="14" t="s">
        <v>311</v>
      </c>
      <c r="F279" s="22" t="s">
        <v>318</v>
      </c>
      <c r="G279" s="16" t="s">
        <v>320</v>
      </c>
      <c r="H279" s="13">
        <v>33662</v>
      </c>
      <c r="I279" s="14" t="s">
        <v>492</v>
      </c>
      <c r="J279" s="14" t="s">
        <v>507</v>
      </c>
      <c r="K279" s="13">
        <v>44198</v>
      </c>
      <c r="L279" s="17">
        <v>60</v>
      </c>
      <c r="M279" s="13">
        <f t="shared" si="4"/>
        <v>44258</v>
      </c>
      <c r="N279" s="14"/>
      <c r="O279" s="14" t="s">
        <v>538</v>
      </c>
      <c r="P279" s="14"/>
      <c r="Q279" s="14"/>
      <c r="R279" s="13">
        <v>44711</v>
      </c>
      <c r="S279" s="13" t="s">
        <v>975</v>
      </c>
      <c r="T279" s="18"/>
    </row>
    <row r="280" spans="1:20" s="19" customFormat="1" ht="21" customHeight="1" x14ac:dyDescent="0.25">
      <c r="A280" s="12">
        <f>IF(B280="","",COUNTA($B$2:B280))</f>
        <v>279</v>
      </c>
      <c r="B280" s="20" t="s">
        <v>169</v>
      </c>
      <c r="C280" s="14"/>
      <c r="D280" s="14" t="s">
        <v>298</v>
      </c>
      <c r="E280" s="21" t="s">
        <v>311</v>
      </c>
      <c r="F280" s="22" t="s">
        <v>315</v>
      </c>
      <c r="G280" s="16" t="s">
        <v>315</v>
      </c>
      <c r="H280" s="13">
        <v>33167</v>
      </c>
      <c r="I280" s="20" t="s">
        <v>491</v>
      </c>
      <c r="J280" s="14" t="s">
        <v>504</v>
      </c>
      <c r="K280" s="13">
        <v>44200</v>
      </c>
      <c r="L280" s="17">
        <v>58</v>
      </c>
      <c r="M280" s="13">
        <f t="shared" si="4"/>
        <v>44258</v>
      </c>
      <c r="N280" s="14" t="s">
        <v>495</v>
      </c>
      <c r="O280" s="16" t="s">
        <v>539</v>
      </c>
      <c r="P280" s="16">
        <v>3</v>
      </c>
      <c r="Q280" s="14" t="s">
        <v>501</v>
      </c>
      <c r="R280" s="23"/>
      <c r="S280" s="23"/>
      <c r="T280" s="24"/>
    </row>
    <row r="281" spans="1:20" s="19" customFormat="1" ht="21" customHeight="1" x14ac:dyDescent="0.25">
      <c r="A281" s="12">
        <f>IF(B281="","",COUNTA($B$2:B281))</f>
        <v>280</v>
      </c>
      <c r="B281" s="13" t="s">
        <v>756</v>
      </c>
      <c r="C281" s="14"/>
      <c r="D281" s="14" t="s">
        <v>299</v>
      </c>
      <c r="E281" s="14" t="s">
        <v>313</v>
      </c>
      <c r="F281" s="15" t="s">
        <v>942</v>
      </c>
      <c r="G281" s="14" t="s">
        <v>960</v>
      </c>
      <c r="H281" s="13">
        <v>33464</v>
      </c>
      <c r="I281" s="14" t="s">
        <v>491</v>
      </c>
      <c r="J281" s="14" t="s">
        <v>504</v>
      </c>
      <c r="K281" s="13">
        <v>44200</v>
      </c>
      <c r="L281" s="17">
        <v>60</v>
      </c>
      <c r="M281" s="13">
        <f t="shared" si="4"/>
        <v>44260</v>
      </c>
      <c r="N281" s="14"/>
      <c r="O281" s="14" t="s">
        <v>938</v>
      </c>
      <c r="P281" s="14"/>
      <c r="Q281" s="14"/>
      <c r="R281" s="13">
        <v>44682</v>
      </c>
      <c r="S281" s="13" t="s">
        <v>976</v>
      </c>
      <c r="T281" s="18"/>
    </row>
    <row r="282" spans="1:20" s="19" customFormat="1" ht="21" customHeight="1" x14ac:dyDescent="0.25">
      <c r="A282" s="12">
        <f>IF(B282="","",COUNTA($B$2:B282))</f>
        <v>281</v>
      </c>
      <c r="B282" s="13" t="s">
        <v>778</v>
      </c>
      <c r="C282" s="14"/>
      <c r="D282" s="14" t="s">
        <v>299</v>
      </c>
      <c r="E282" s="14" t="s">
        <v>313</v>
      </c>
      <c r="F282" s="15" t="s">
        <v>942</v>
      </c>
      <c r="G282" s="14" t="s">
        <v>960</v>
      </c>
      <c r="H282" s="13">
        <v>34110</v>
      </c>
      <c r="I282" s="14" t="s">
        <v>492</v>
      </c>
      <c r="J282" s="14" t="s">
        <v>504</v>
      </c>
      <c r="K282" s="13">
        <v>44200</v>
      </c>
      <c r="L282" s="17">
        <v>60</v>
      </c>
      <c r="M282" s="13">
        <f t="shared" si="4"/>
        <v>44260</v>
      </c>
      <c r="N282" s="14"/>
      <c r="O282" s="14" t="s">
        <v>541</v>
      </c>
      <c r="P282" s="14"/>
      <c r="Q282" s="14"/>
      <c r="R282" s="13">
        <v>44682</v>
      </c>
      <c r="S282" s="13" t="s">
        <v>973</v>
      </c>
      <c r="T282" s="18"/>
    </row>
    <row r="283" spans="1:20" s="19" customFormat="1" ht="21" customHeight="1" x14ac:dyDescent="0.25">
      <c r="A283" s="12">
        <f>IF(B283="","",COUNTA($B$2:B283))</f>
        <v>282</v>
      </c>
      <c r="B283" s="13" t="s">
        <v>717</v>
      </c>
      <c r="C283" s="14"/>
      <c r="D283" s="14" t="s">
        <v>298</v>
      </c>
      <c r="E283" s="14" t="s">
        <v>309</v>
      </c>
      <c r="F283" s="22" t="s">
        <v>399</v>
      </c>
      <c r="G283" s="16" t="s">
        <v>402</v>
      </c>
      <c r="H283" s="13">
        <v>33202</v>
      </c>
      <c r="I283" s="14" t="s">
        <v>491</v>
      </c>
      <c r="J283" s="14" t="s">
        <v>505</v>
      </c>
      <c r="K283" s="13">
        <v>44200</v>
      </c>
      <c r="L283" s="17">
        <v>60</v>
      </c>
      <c r="M283" s="13">
        <f t="shared" si="4"/>
        <v>44260</v>
      </c>
      <c r="N283" s="14"/>
      <c r="O283" s="14" t="s">
        <v>938</v>
      </c>
      <c r="P283" s="14"/>
      <c r="Q283" s="14"/>
      <c r="R283" s="13">
        <v>44652</v>
      </c>
      <c r="S283" s="13" t="s">
        <v>972</v>
      </c>
      <c r="T283" s="18"/>
    </row>
    <row r="284" spans="1:20" s="19" customFormat="1" ht="21" customHeight="1" x14ac:dyDescent="0.25">
      <c r="A284" s="12">
        <f>IF(B284="","",COUNTA($B$2:B284))</f>
        <v>283</v>
      </c>
      <c r="B284" s="13" t="s">
        <v>720</v>
      </c>
      <c r="C284" s="14"/>
      <c r="D284" s="14" t="s">
        <v>298</v>
      </c>
      <c r="E284" s="14" t="s">
        <v>311</v>
      </c>
      <c r="F284" s="22" t="s">
        <v>317</v>
      </c>
      <c r="G284" s="16" t="s">
        <v>320</v>
      </c>
      <c r="H284" s="13">
        <v>33284</v>
      </c>
      <c r="I284" s="14" t="s">
        <v>492</v>
      </c>
      <c r="J284" s="14" t="s">
        <v>507</v>
      </c>
      <c r="K284" s="13">
        <v>44200</v>
      </c>
      <c r="L284" s="17">
        <v>60</v>
      </c>
      <c r="M284" s="13">
        <f t="shared" si="4"/>
        <v>44260</v>
      </c>
      <c r="N284" s="14"/>
      <c r="O284" s="14" t="s">
        <v>539</v>
      </c>
      <c r="P284" s="14"/>
      <c r="Q284" s="14"/>
      <c r="R284" s="13">
        <v>44652</v>
      </c>
      <c r="S284" s="13" t="s">
        <v>973</v>
      </c>
      <c r="T284" s="18"/>
    </row>
    <row r="285" spans="1:20" s="19" customFormat="1" ht="21" customHeight="1" x14ac:dyDescent="0.25">
      <c r="A285" s="12">
        <f>IF(B285="","",COUNTA($B$2:B285))</f>
        <v>284</v>
      </c>
      <c r="B285" s="13" t="s">
        <v>689</v>
      </c>
      <c r="C285" s="14"/>
      <c r="D285" s="14" t="s">
        <v>298</v>
      </c>
      <c r="E285" s="14" t="s">
        <v>314</v>
      </c>
      <c r="F285" s="15" t="s">
        <v>330</v>
      </c>
      <c r="G285" s="16" t="s">
        <v>364</v>
      </c>
      <c r="H285" s="13">
        <v>33653</v>
      </c>
      <c r="I285" s="14" t="s">
        <v>492</v>
      </c>
      <c r="J285" s="14" t="s">
        <v>504</v>
      </c>
      <c r="K285" s="13">
        <v>44200</v>
      </c>
      <c r="L285" s="17">
        <v>60</v>
      </c>
      <c r="M285" s="13">
        <f t="shared" si="4"/>
        <v>44260</v>
      </c>
      <c r="N285" s="14"/>
      <c r="O285" s="14" t="s">
        <v>938</v>
      </c>
      <c r="P285" s="14"/>
      <c r="Q285" s="14"/>
      <c r="R285" s="13">
        <v>44612</v>
      </c>
      <c r="S285" s="13" t="s">
        <v>977</v>
      </c>
      <c r="T285" s="18"/>
    </row>
    <row r="286" spans="1:20" s="19" customFormat="1" ht="21" customHeight="1" x14ac:dyDescent="0.25">
      <c r="A286" s="12">
        <f>IF(B286="","",COUNTA($B$2:B286))</f>
        <v>285</v>
      </c>
      <c r="B286" s="13" t="s">
        <v>615</v>
      </c>
      <c r="C286" s="14"/>
      <c r="D286" s="14" t="s">
        <v>298</v>
      </c>
      <c r="E286" s="14" t="s">
        <v>305</v>
      </c>
      <c r="F286" s="15" t="s">
        <v>392</v>
      </c>
      <c r="G286" s="16" t="s">
        <v>384</v>
      </c>
      <c r="H286" s="13">
        <v>32285</v>
      </c>
      <c r="I286" s="14" t="s">
        <v>492</v>
      </c>
      <c r="J286" s="14" t="s">
        <v>504</v>
      </c>
      <c r="K286" s="13">
        <v>44200</v>
      </c>
      <c r="L286" s="17">
        <v>60</v>
      </c>
      <c r="M286" s="13">
        <f t="shared" si="4"/>
        <v>44260</v>
      </c>
      <c r="N286" s="14"/>
      <c r="O286" s="14" t="s">
        <v>938</v>
      </c>
      <c r="P286" s="14"/>
      <c r="Q286" s="14"/>
      <c r="R286" s="13">
        <v>44377</v>
      </c>
      <c r="S286" s="13" t="s">
        <v>977</v>
      </c>
      <c r="T286" s="18"/>
    </row>
    <row r="287" spans="1:20" s="19" customFormat="1" ht="21" customHeight="1" x14ac:dyDescent="0.25">
      <c r="A287" s="12">
        <f>IF(B287="","",COUNTA($B$2:B287))</f>
        <v>286</v>
      </c>
      <c r="B287" s="20" t="s">
        <v>590</v>
      </c>
      <c r="C287" s="14"/>
      <c r="D287" s="14" t="s">
        <v>298</v>
      </c>
      <c r="E287" s="21" t="s">
        <v>307</v>
      </c>
      <c r="F287" s="22" t="s">
        <v>434</v>
      </c>
      <c r="G287" s="16" t="s">
        <v>440</v>
      </c>
      <c r="H287" s="13">
        <v>33265</v>
      </c>
      <c r="I287" s="20" t="s">
        <v>491</v>
      </c>
      <c r="J287" s="14" t="s">
        <v>504</v>
      </c>
      <c r="K287" s="13">
        <v>44200</v>
      </c>
      <c r="L287" s="17">
        <v>60</v>
      </c>
      <c r="M287" s="13">
        <f t="shared" si="4"/>
        <v>44260</v>
      </c>
      <c r="N287" s="14"/>
      <c r="O287" s="16" t="s">
        <v>938</v>
      </c>
      <c r="P287" s="16"/>
      <c r="Q287" s="14"/>
      <c r="R287" s="13">
        <v>44321</v>
      </c>
      <c r="S287" s="13" t="s">
        <v>977</v>
      </c>
      <c r="T287" s="18"/>
    </row>
    <row r="288" spans="1:20" s="19" customFormat="1" ht="21" customHeight="1" x14ac:dyDescent="0.25">
      <c r="A288" s="12">
        <f>IF(B288="","",COUNTA($B$2:B288))</f>
        <v>287</v>
      </c>
      <c r="B288" s="20" t="s">
        <v>578</v>
      </c>
      <c r="C288" s="14"/>
      <c r="D288" s="14" t="s">
        <v>298</v>
      </c>
      <c r="E288" s="21" t="s">
        <v>306</v>
      </c>
      <c r="F288" s="22" t="s">
        <v>306</v>
      </c>
      <c r="G288" s="16" t="s">
        <v>429</v>
      </c>
      <c r="H288" s="13">
        <v>34782</v>
      </c>
      <c r="I288" s="20" t="s">
        <v>491</v>
      </c>
      <c r="J288" s="14" t="s">
        <v>504</v>
      </c>
      <c r="K288" s="13">
        <v>44200</v>
      </c>
      <c r="L288" s="17">
        <v>60</v>
      </c>
      <c r="M288" s="13">
        <f t="shared" si="4"/>
        <v>44260</v>
      </c>
      <c r="N288" s="14"/>
      <c r="O288" s="16" t="s">
        <v>539</v>
      </c>
      <c r="P288" s="16"/>
      <c r="Q288" s="14"/>
      <c r="R288" s="13">
        <v>44287</v>
      </c>
      <c r="S288" s="13" t="s">
        <v>972</v>
      </c>
      <c r="T288" s="18"/>
    </row>
    <row r="289" spans="1:20" s="19" customFormat="1" ht="21" customHeight="1" x14ac:dyDescent="0.25">
      <c r="A289" s="12">
        <f>IF(B289="","",COUNTA($B$2:B289))</f>
        <v>288</v>
      </c>
      <c r="B289" s="20" t="s">
        <v>557</v>
      </c>
      <c r="C289" s="14"/>
      <c r="D289" s="14" t="s">
        <v>298</v>
      </c>
      <c r="E289" s="21" t="s">
        <v>305</v>
      </c>
      <c r="F289" s="22" t="s">
        <v>393</v>
      </c>
      <c r="G289" s="16" t="s">
        <v>388</v>
      </c>
      <c r="H289" s="13">
        <v>33383</v>
      </c>
      <c r="I289" s="20" t="s">
        <v>492</v>
      </c>
      <c r="J289" s="14" t="s">
        <v>504</v>
      </c>
      <c r="K289" s="13">
        <v>44200</v>
      </c>
      <c r="L289" s="17">
        <v>60</v>
      </c>
      <c r="M289" s="13">
        <f t="shared" si="4"/>
        <v>44260</v>
      </c>
      <c r="N289" s="14"/>
      <c r="O289" s="16" t="s">
        <v>938</v>
      </c>
      <c r="P289" s="16"/>
      <c r="Q289" s="14"/>
      <c r="R289" s="13">
        <v>44259</v>
      </c>
      <c r="S289" s="13" t="s">
        <v>973</v>
      </c>
      <c r="T289" s="18"/>
    </row>
    <row r="290" spans="1:20" s="19" customFormat="1" ht="21" customHeight="1" x14ac:dyDescent="0.25">
      <c r="A290" s="12">
        <f>IF(B290="","",COUNTA($B$2:B290))</f>
        <v>289</v>
      </c>
      <c r="B290" s="20" t="s">
        <v>554</v>
      </c>
      <c r="C290" s="14"/>
      <c r="D290" s="14" t="s">
        <v>298</v>
      </c>
      <c r="E290" s="21" t="s">
        <v>307</v>
      </c>
      <c r="F290" s="22" t="s">
        <v>433</v>
      </c>
      <c r="G290" s="16" t="s">
        <v>437</v>
      </c>
      <c r="H290" s="13">
        <v>33291</v>
      </c>
      <c r="I290" s="20" t="s">
        <v>491</v>
      </c>
      <c r="J290" s="14" t="s">
        <v>504</v>
      </c>
      <c r="K290" s="13">
        <v>44200</v>
      </c>
      <c r="L290" s="17">
        <v>60</v>
      </c>
      <c r="M290" s="13">
        <f t="shared" si="4"/>
        <v>44260</v>
      </c>
      <c r="N290" s="14"/>
      <c r="O290" s="16" t="s">
        <v>938</v>
      </c>
      <c r="P290" s="16"/>
      <c r="Q290" s="14"/>
      <c r="R290" s="13">
        <v>44256</v>
      </c>
      <c r="S290" s="13" t="s">
        <v>972</v>
      </c>
      <c r="T290" s="18"/>
    </row>
    <row r="291" spans="1:20" s="19" customFormat="1" ht="21" customHeight="1" x14ac:dyDescent="0.25">
      <c r="A291" s="12">
        <f>IF(B291="","",COUNTA($B$2:B291))</f>
        <v>290</v>
      </c>
      <c r="B291" s="13" t="s">
        <v>718</v>
      </c>
      <c r="C291" s="14"/>
      <c r="D291" s="14" t="s">
        <v>300</v>
      </c>
      <c r="E291" s="14" t="s">
        <v>311</v>
      </c>
      <c r="F291" s="22" t="s">
        <v>316</v>
      </c>
      <c r="G291" s="16" t="s">
        <v>320</v>
      </c>
      <c r="H291" s="13">
        <v>32071</v>
      </c>
      <c r="I291" s="14" t="s">
        <v>492</v>
      </c>
      <c r="J291" s="14" t="s">
        <v>504</v>
      </c>
      <c r="K291" s="13">
        <v>44207</v>
      </c>
      <c r="L291" s="17">
        <v>60</v>
      </c>
      <c r="M291" s="13">
        <f t="shared" si="4"/>
        <v>44267</v>
      </c>
      <c r="N291" s="14"/>
      <c r="O291" s="14" t="s">
        <v>938</v>
      </c>
      <c r="P291" s="14"/>
      <c r="Q291" s="14"/>
      <c r="R291" s="13">
        <v>44652</v>
      </c>
      <c r="S291" s="13" t="s">
        <v>973</v>
      </c>
      <c r="T291" s="18"/>
    </row>
    <row r="292" spans="1:20" s="19" customFormat="1" ht="21" customHeight="1" x14ac:dyDescent="0.25">
      <c r="A292" s="12">
        <f>IF(B292="","",COUNTA($B$2:B292))</f>
        <v>291</v>
      </c>
      <c r="B292" s="20" t="s">
        <v>579</v>
      </c>
      <c r="C292" s="14"/>
      <c r="D292" s="14" t="s">
        <v>300</v>
      </c>
      <c r="E292" s="21" t="s">
        <v>311</v>
      </c>
      <c r="F292" s="22" t="s">
        <v>316</v>
      </c>
      <c r="G292" s="16" t="s">
        <v>320</v>
      </c>
      <c r="H292" s="13">
        <v>34124</v>
      </c>
      <c r="I292" s="20" t="s">
        <v>492</v>
      </c>
      <c r="J292" s="14" t="s">
        <v>504</v>
      </c>
      <c r="K292" s="13">
        <v>44207</v>
      </c>
      <c r="L292" s="17">
        <v>60</v>
      </c>
      <c r="M292" s="13">
        <f t="shared" si="4"/>
        <v>44267</v>
      </c>
      <c r="N292" s="14"/>
      <c r="O292" s="16" t="s">
        <v>539</v>
      </c>
      <c r="P292" s="16"/>
      <c r="Q292" s="14"/>
      <c r="R292" s="13">
        <v>44287</v>
      </c>
      <c r="S292" s="13" t="s">
        <v>973</v>
      </c>
      <c r="T292" s="18"/>
    </row>
    <row r="293" spans="1:20" s="19" customFormat="1" ht="21" customHeight="1" x14ac:dyDescent="0.25">
      <c r="A293" s="12">
        <f>IF(B293="","",COUNTA($B$2:B293))</f>
        <v>292</v>
      </c>
      <c r="B293" s="13" t="s">
        <v>920</v>
      </c>
      <c r="C293" s="14"/>
      <c r="D293" s="14" t="s">
        <v>298</v>
      </c>
      <c r="E293" s="14" t="s">
        <v>309</v>
      </c>
      <c r="F293" s="15" t="s">
        <v>329</v>
      </c>
      <c r="G293" s="16" t="s">
        <v>407</v>
      </c>
      <c r="H293" s="13">
        <v>34506</v>
      </c>
      <c r="I293" s="14" t="s">
        <v>491</v>
      </c>
      <c r="J293" s="14" t="s">
        <v>504</v>
      </c>
      <c r="K293" s="13">
        <v>44214</v>
      </c>
      <c r="L293" s="17">
        <v>60</v>
      </c>
      <c r="M293" s="13">
        <f t="shared" si="4"/>
        <v>44274</v>
      </c>
      <c r="N293" s="14"/>
      <c r="O293" s="14" t="s">
        <v>539</v>
      </c>
      <c r="P293" s="14"/>
      <c r="Q293" s="14"/>
      <c r="R293" s="13">
        <v>45122</v>
      </c>
      <c r="S293" s="13" t="s">
        <v>973</v>
      </c>
      <c r="T293" s="24"/>
    </row>
    <row r="294" spans="1:20" s="19" customFormat="1" ht="21" customHeight="1" x14ac:dyDescent="0.25">
      <c r="A294" s="12">
        <f>IF(B294="","",COUNTA($B$2:B294))</f>
        <v>293</v>
      </c>
      <c r="B294" s="13" t="s">
        <v>793</v>
      </c>
      <c r="C294" s="14"/>
      <c r="D294" s="14" t="s">
        <v>298</v>
      </c>
      <c r="E294" s="14" t="s">
        <v>306</v>
      </c>
      <c r="F294" s="22" t="s">
        <v>306</v>
      </c>
      <c r="G294" s="16" t="s">
        <v>429</v>
      </c>
      <c r="H294" s="13">
        <v>33237</v>
      </c>
      <c r="I294" s="14" t="s">
        <v>491</v>
      </c>
      <c r="J294" s="14" t="s">
        <v>504</v>
      </c>
      <c r="K294" s="13">
        <v>44214</v>
      </c>
      <c r="L294" s="17">
        <v>60</v>
      </c>
      <c r="M294" s="13">
        <f t="shared" si="4"/>
        <v>44274</v>
      </c>
      <c r="N294" s="14"/>
      <c r="O294" s="14" t="s">
        <v>539</v>
      </c>
      <c r="P294" s="14"/>
      <c r="Q294" s="14"/>
      <c r="R294" s="13">
        <v>44712</v>
      </c>
      <c r="S294" s="13" t="s">
        <v>972</v>
      </c>
      <c r="T294" s="18"/>
    </row>
    <row r="295" spans="1:20" s="19" customFormat="1" ht="21" customHeight="1" x14ac:dyDescent="0.25">
      <c r="A295" s="12">
        <f>IF(B295="","",COUNTA($B$2:B295))</f>
        <v>294</v>
      </c>
      <c r="B295" s="13" t="s">
        <v>668</v>
      </c>
      <c r="C295" s="14"/>
      <c r="D295" s="14" t="s">
        <v>299</v>
      </c>
      <c r="E295" s="14" t="s">
        <v>313</v>
      </c>
      <c r="F295" s="15" t="s">
        <v>942</v>
      </c>
      <c r="G295" s="14" t="s">
        <v>960</v>
      </c>
      <c r="H295" s="13">
        <v>32889</v>
      </c>
      <c r="I295" s="14" t="s">
        <v>492</v>
      </c>
      <c r="J295" s="14" t="s">
        <v>504</v>
      </c>
      <c r="K295" s="13">
        <v>44216</v>
      </c>
      <c r="L295" s="17">
        <v>60</v>
      </c>
      <c r="M295" s="13">
        <f t="shared" si="4"/>
        <v>44276</v>
      </c>
      <c r="N295" s="14"/>
      <c r="O295" s="14" t="s">
        <v>938</v>
      </c>
      <c r="P295" s="14"/>
      <c r="Q295" s="14"/>
      <c r="R295" s="13">
        <v>44565</v>
      </c>
      <c r="S295" s="13" t="s">
        <v>977</v>
      </c>
      <c r="T295" s="18"/>
    </row>
    <row r="296" spans="1:20" s="19" customFormat="1" ht="21" customHeight="1" x14ac:dyDescent="0.25">
      <c r="A296" s="12">
        <f>IF(B296="","",COUNTA($B$2:B296))</f>
        <v>295</v>
      </c>
      <c r="B296" s="20" t="s">
        <v>550</v>
      </c>
      <c r="C296" s="14"/>
      <c r="D296" s="14" t="s">
        <v>299</v>
      </c>
      <c r="E296" s="21" t="s">
        <v>311</v>
      </c>
      <c r="F296" s="22" t="s">
        <v>318</v>
      </c>
      <c r="G296" s="16" t="s">
        <v>320</v>
      </c>
      <c r="H296" s="13">
        <v>33441</v>
      </c>
      <c r="I296" s="20" t="s">
        <v>492</v>
      </c>
      <c r="J296" s="14" t="s">
        <v>504</v>
      </c>
      <c r="K296" s="13">
        <v>44221</v>
      </c>
      <c r="L296" s="17">
        <v>60</v>
      </c>
      <c r="M296" s="13">
        <f t="shared" si="4"/>
        <v>44281</v>
      </c>
      <c r="N296" s="14"/>
      <c r="O296" s="16" t="s">
        <v>938</v>
      </c>
      <c r="P296" s="16"/>
      <c r="Q296" s="14"/>
      <c r="R296" s="13">
        <v>44246</v>
      </c>
      <c r="S296" s="13" t="s">
        <v>972</v>
      </c>
      <c r="T296" s="18"/>
    </row>
    <row r="297" spans="1:20" s="19" customFormat="1" ht="21" customHeight="1" x14ac:dyDescent="0.25">
      <c r="A297" s="12">
        <f>IF(B297="","",COUNTA($B$2:B297))</f>
        <v>296</v>
      </c>
      <c r="B297" s="13" t="s">
        <v>671</v>
      </c>
      <c r="C297" s="14"/>
      <c r="D297" s="14" t="s">
        <v>299</v>
      </c>
      <c r="E297" s="14" t="s">
        <v>311</v>
      </c>
      <c r="F297" s="22" t="s">
        <v>318</v>
      </c>
      <c r="G297" s="16" t="s">
        <v>320</v>
      </c>
      <c r="H297" s="13">
        <v>33890</v>
      </c>
      <c r="I297" s="14" t="s">
        <v>491</v>
      </c>
      <c r="J297" s="14" t="s">
        <v>504</v>
      </c>
      <c r="K297" s="13">
        <v>44223</v>
      </c>
      <c r="L297" s="17">
        <v>60</v>
      </c>
      <c r="M297" s="13">
        <f t="shared" si="4"/>
        <v>44283</v>
      </c>
      <c r="N297" s="14"/>
      <c r="O297" s="14" t="s">
        <v>539</v>
      </c>
      <c r="P297" s="14"/>
      <c r="Q297" s="14"/>
      <c r="R297" s="13">
        <v>44591</v>
      </c>
      <c r="S297" s="13" t="s">
        <v>977</v>
      </c>
      <c r="T297" s="18"/>
    </row>
    <row r="298" spans="1:20" s="19" customFormat="1" ht="21" customHeight="1" x14ac:dyDescent="0.25">
      <c r="A298" s="12">
        <f>IF(B298="","",COUNTA($B$2:B298))</f>
        <v>297</v>
      </c>
      <c r="B298" s="20" t="s">
        <v>549</v>
      </c>
      <c r="C298" s="14"/>
      <c r="D298" s="14" t="s">
        <v>300</v>
      </c>
      <c r="E298" s="21" t="s">
        <v>311</v>
      </c>
      <c r="F298" s="22" t="s">
        <v>318</v>
      </c>
      <c r="G298" s="16" t="s">
        <v>320</v>
      </c>
      <c r="H298" s="13">
        <v>34203</v>
      </c>
      <c r="I298" s="20" t="s">
        <v>492</v>
      </c>
      <c r="J298" s="14" t="s">
        <v>504</v>
      </c>
      <c r="K298" s="13">
        <v>44224</v>
      </c>
      <c r="L298" s="17">
        <v>60</v>
      </c>
      <c r="M298" s="13">
        <f t="shared" si="4"/>
        <v>44284</v>
      </c>
      <c r="N298" s="14"/>
      <c r="O298" s="16" t="s">
        <v>541</v>
      </c>
      <c r="P298" s="16"/>
      <c r="Q298" s="14"/>
      <c r="R298" s="13">
        <v>44245</v>
      </c>
      <c r="S298" s="13" t="s">
        <v>975</v>
      </c>
      <c r="T298" s="18"/>
    </row>
    <row r="299" spans="1:20" s="19" customFormat="1" ht="21" customHeight="1" x14ac:dyDescent="0.25">
      <c r="A299" s="12">
        <f>IF(B299="","",COUNTA($B$2:B299))</f>
        <v>298</v>
      </c>
      <c r="B299" s="20" t="s">
        <v>62</v>
      </c>
      <c r="C299" s="14"/>
      <c r="D299" s="14" t="s">
        <v>298</v>
      </c>
      <c r="E299" s="21" t="s">
        <v>306</v>
      </c>
      <c r="F299" s="22" t="s">
        <v>306</v>
      </c>
      <c r="G299" s="16" t="s">
        <v>429</v>
      </c>
      <c r="H299" s="13">
        <v>33943</v>
      </c>
      <c r="I299" s="20" t="s">
        <v>491</v>
      </c>
      <c r="J299" s="14" t="s">
        <v>504</v>
      </c>
      <c r="K299" s="13">
        <v>44228</v>
      </c>
      <c r="L299" s="17">
        <v>58</v>
      </c>
      <c r="M299" s="13">
        <f t="shared" si="4"/>
        <v>44286</v>
      </c>
      <c r="N299" s="14" t="s">
        <v>495</v>
      </c>
      <c r="O299" s="16" t="s">
        <v>538</v>
      </c>
      <c r="P299" s="16">
        <v>3</v>
      </c>
      <c r="Q299" s="14" t="s">
        <v>501</v>
      </c>
      <c r="R299" s="23"/>
      <c r="S299" s="23"/>
      <c r="T299" s="24"/>
    </row>
    <row r="300" spans="1:20" s="19" customFormat="1" ht="21" customHeight="1" x14ac:dyDescent="0.25">
      <c r="A300" s="12">
        <f>IF(B300="","",COUNTA($B$2:B300))</f>
        <v>299</v>
      </c>
      <c r="B300" s="13" t="s">
        <v>722</v>
      </c>
      <c r="C300" s="14"/>
      <c r="D300" s="14" t="s">
        <v>300</v>
      </c>
      <c r="E300" s="14" t="s">
        <v>301</v>
      </c>
      <c r="F300" s="15" t="s">
        <v>464</v>
      </c>
      <c r="G300" s="16" t="s">
        <v>483</v>
      </c>
      <c r="H300" s="13">
        <v>34363</v>
      </c>
      <c r="I300" s="14" t="s">
        <v>491</v>
      </c>
      <c r="J300" s="14" t="s">
        <v>504</v>
      </c>
      <c r="K300" s="13">
        <v>44228</v>
      </c>
      <c r="L300" s="17">
        <v>60</v>
      </c>
      <c r="M300" s="13">
        <f t="shared" si="4"/>
        <v>44288</v>
      </c>
      <c r="N300" s="14"/>
      <c r="O300" s="14" t="s">
        <v>541</v>
      </c>
      <c r="P300" s="14"/>
      <c r="Q300" s="14"/>
      <c r="R300" s="13">
        <v>44666</v>
      </c>
      <c r="S300" s="13" t="s">
        <v>972</v>
      </c>
      <c r="T300" s="18"/>
    </row>
    <row r="301" spans="1:20" s="19" customFormat="1" ht="21" customHeight="1" x14ac:dyDescent="0.25">
      <c r="A301" s="12">
        <f>IF(B301="","",COUNTA($B$2:B301))</f>
        <v>300</v>
      </c>
      <c r="B301" s="20" t="s">
        <v>560</v>
      </c>
      <c r="C301" s="14"/>
      <c r="D301" s="14" t="s">
        <v>299</v>
      </c>
      <c r="E301" s="21" t="s">
        <v>311</v>
      </c>
      <c r="F301" s="22" t="s">
        <v>939</v>
      </c>
      <c r="G301" s="16" t="s">
        <v>964</v>
      </c>
      <c r="H301" s="13">
        <v>33842</v>
      </c>
      <c r="I301" s="20" t="s">
        <v>492</v>
      </c>
      <c r="J301" s="14" t="s">
        <v>504</v>
      </c>
      <c r="K301" s="13">
        <v>44228</v>
      </c>
      <c r="L301" s="17">
        <v>60</v>
      </c>
      <c r="M301" s="13">
        <f t="shared" si="4"/>
        <v>44288</v>
      </c>
      <c r="N301" s="14"/>
      <c r="O301" s="16" t="s">
        <v>541</v>
      </c>
      <c r="P301" s="16"/>
      <c r="Q301" s="14"/>
      <c r="R301" s="13">
        <v>44275</v>
      </c>
      <c r="S301" s="13" t="s">
        <v>972</v>
      </c>
      <c r="T301" s="18"/>
    </row>
    <row r="302" spans="1:20" s="19" customFormat="1" ht="21" customHeight="1" x14ac:dyDescent="0.25">
      <c r="A302" s="12">
        <f>IF(B302="","",COUNTA($B$2:B302))</f>
        <v>301</v>
      </c>
      <c r="B302" s="20" t="s">
        <v>555</v>
      </c>
      <c r="C302" s="14"/>
      <c r="D302" s="14" t="s">
        <v>300</v>
      </c>
      <c r="E302" s="21" t="s">
        <v>311</v>
      </c>
      <c r="F302" s="22" t="s">
        <v>318</v>
      </c>
      <c r="G302" s="16" t="s">
        <v>320</v>
      </c>
      <c r="H302" s="13">
        <v>33899</v>
      </c>
      <c r="I302" s="20" t="s">
        <v>492</v>
      </c>
      <c r="J302" s="14" t="s">
        <v>504</v>
      </c>
      <c r="K302" s="13">
        <v>44228</v>
      </c>
      <c r="L302" s="17">
        <v>60</v>
      </c>
      <c r="M302" s="13">
        <f t="shared" si="4"/>
        <v>44288</v>
      </c>
      <c r="N302" s="14"/>
      <c r="O302" s="16" t="s">
        <v>541</v>
      </c>
      <c r="P302" s="16"/>
      <c r="Q302" s="14"/>
      <c r="R302" s="13">
        <v>44257</v>
      </c>
      <c r="S302" s="13" t="s">
        <v>977</v>
      </c>
      <c r="T302" s="18"/>
    </row>
    <row r="303" spans="1:20" s="19" customFormat="1" ht="21" customHeight="1" x14ac:dyDescent="0.25">
      <c r="A303" s="12">
        <f>IF(B303="","",COUNTA($B$2:B303))</f>
        <v>302</v>
      </c>
      <c r="B303" s="13" t="s">
        <v>603</v>
      </c>
      <c r="C303" s="14"/>
      <c r="D303" s="14" t="s">
        <v>298</v>
      </c>
      <c r="E303" s="14" t="s">
        <v>301</v>
      </c>
      <c r="F303" s="15" t="s">
        <v>464</v>
      </c>
      <c r="G303" s="16" t="s">
        <v>483</v>
      </c>
      <c r="H303" s="13">
        <v>32994</v>
      </c>
      <c r="I303" s="14" t="s">
        <v>491</v>
      </c>
      <c r="J303" s="14" t="s">
        <v>505</v>
      </c>
      <c r="K303" s="13">
        <v>44231</v>
      </c>
      <c r="L303" s="17">
        <v>60</v>
      </c>
      <c r="M303" s="13">
        <f t="shared" si="4"/>
        <v>44291</v>
      </c>
      <c r="N303" s="14"/>
      <c r="O303" s="14" t="s">
        <v>938</v>
      </c>
      <c r="P303" s="14"/>
      <c r="Q303" s="14"/>
      <c r="R303" s="13">
        <v>44357</v>
      </c>
      <c r="S303" s="13" t="s">
        <v>973</v>
      </c>
      <c r="T303" s="18"/>
    </row>
    <row r="304" spans="1:20" s="19" customFormat="1" ht="21" customHeight="1" x14ac:dyDescent="0.25">
      <c r="A304" s="12">
        <f>IF(B304="","",COUNTA($B$2:B304))</f>
        <v>303</v>
      </c>
      <c r="B304" s="20" t="s">
        <v>53</v>
      </c>
      <c r="C304" s="14"/>
      <c r="D304" s="14" t="s">
        <v>298</v>
      </c>
      <c r="E304" s="21" t="s">
        <v>305</v>
      </c>
      <c r="F304" s="22" t="s">
        <v>391</v>
      </c>
      <c r="G304" s="16" t="s">
        <v>384</v>
      </c>
      <c r="H304" s="13">
        <v>34123</v>
      </c>
      <c r="I304" s="20" t="s">
        <v>491</v>
      </c>
      <c r="J304" s="14" t="s">
        <v>504</v>
      </c>
      <c r="K304" s="13">
        <v>44249</v>
      </c>
      <c r="L304" s="17">
        <v>58</v>
      </c>
      <c r="M304" s="13">
        <f t="shared" si="4"/>
        <v>44307</v>
      </c>
      <c r="N304" s="14" t="s">
        <v>495</v>
      </c>
      <c r="O304" s="16" t="s">
        <v>538</v>
      </c>
      <c r="P304" s="16">
        <v>3</v>
      </c>
      <c r="Q304" s="14" t="s">
        <v>501</v>
      </c>
      <c r="R304" s="23"/>
      <c r="S304" s="23"/>
      <c r="T304" s="24"/>
    </row>
    <row r="305" spans="1:20" s="19" customFormat="1" ht="21" customHeight="1" x14ac:dyDescent="0.25">
      <c r="A305" s="12">
        <f>IF(B305="","",COUNTA($B$2:B305))</f>
        <v>304</v>
      </c>
      <c r="B305" s="20" t="s">
        <v>131</v>
      </c>
      <c r="C305" s="14"/>
      <c r="D305" s="14" t="s">
        <v>298</v>
      </c>
      <c r="E305" s="21" t="s">
        <v>301</v>
      </c>
      <c r="F305" s="22" t="s">
        <v>464</v>
      </c>
      <c r="G305" s="16" t="s">
        <v>472</v>
      </c>
      <c r="H305" s="13">
        <v>33969</v>
      </c>
      <c r="I305" s="20" t="s">
        <v>491</v>
      </c>
      <c r="J305" s="14" t="s">
        <v>504</v>
      </c>
      <c r="K305" s="13">
        <v>44249</v>
      </c>
      <c r="L305" s="17">
        <v>58</v>
      </c>
      <c r="M305" s="13">
        <f t="shared" si="4"/>
        <v>44307</v>
      </c>
      <c r="N305" s="14" t="s">
        <v>495</v>
      </c>
      <c r="O305" s="16" t="s">
        <v>539</v>
      </c>
      <c r="P305" s="16">
        <v>3</v>
      </c>
      <c r="Q305" s="14" t="s">
        <v>501</v>
      </c>
      <c r="R305" s="23"/>
      <c r="S305" s="23"/>
      <c r="T305" s="24"/>
    </row>
    <row r="306" spans="1:20" s="19" customFormat="1" ht="21" customHeight="1" x14ac:dyDescent="0.25">
      <c r="A306" s="12">
        <f>IF(B306="","",COUNTA($B$2:B306))</f>
        <v>305</v>
      </c>
      <c r="B306" s="13" t="s">
        <v>771</v>
      </c>
      <c r="C306" s="14"/>
      <c r="D306" s="14" t="s">
        <v>299</v>
      </c>
      <c r="E306" s="14" t="s">
        <v>313</v>
      </c>
      <c r="F306" s="15" t="s">
        <v>942</v>
      </c>
      <c r="G306" s="14" t="s">
        <v>960</v>
      </c>
      <c r="H306" s="13">
        <v>32210</v>
      </c>
      <c r="I306" s="14" t="s">
        <v>492</v>
      </c>
      <c r="J306" s="14" t="s">
        <v>504</v>
      </c>
      <c r="K306" s="13">
        <v>44249</v>
      </c>
      <c r="L306" s="17">
        <v>60</v>
      </c>
      <c r="M306" s="13">
        <f t="shared" si="4"/>
        <v>44309</v>
      </c>
      <c r="N306" s="14"/>
      <c r="O306" s="14" t="s">
        <v>541</v>
      </c>
      <c r="P306" s="14"/>
      <c r="Q306" s="14"/>
      <c r="R306" s="13">
        <v>44682</v>
      </c>
      <c r="S306" s="13" t="s">
        <v>975</v>
      </c>
      <c r="T306" s="18"/>
    </row>
    <row r="307" spans="1:20" s="19" customFormat="1" ht="21" customHeight="1" x14ac:dyDescent="0.25">
      <c r="A307" s="12">
        <f>IF(B307="","",COUNTA($B$2:B307))</f>
        <v>306</v>
      </c>
      <c r="B307" s="20" t="s">
        <v>580</v>
      </c>
      <c r="C307" s="14"/>
      <c r="D307" s="14" t="s">
        <v>298</v>
      </c>
      <c r="E307" s="21" t="s">
        <v>307</v>
      </c>
      <c r="F307" s="22" t="s">
        <v>433</v>
      </c>
      <c r="G307" s="16" t="s">
        <v>437</v>
      </c>
      <c r="H307" s="13">
        <v>33667</v>
      </c>
      <c r="I307" s="20" t="s">
        <v>491</v>
      </c>
      <c r="J307" s="14" t="s">
        <v>504</v>
      </c>
      <c r="K307" s="13">
        <v>44249</v>
      </c>
      <c r="L307" s="17">
        <v>60</v>
      </c>
      <c r="M307" s="13">
        <f t="shared" si="4"/>
        <v>44309</v>
      </c>
      <c r="N307" s="14"/>
      <c r="O307" s="16" t="s">
        <v>938</v>
      </c>
      <c r="P307" s="16"/>
      <c r="Q307" s="14"/>
      <c r="R307" s="13">
        <v>44289</v>
      </c>
      <c r="S307" s="13" t="s">
        <v>973</v>
      </c>
      <c r="T307" s="18"/>
    </row>
    <row r="308" spans="1:20" s="19" customFormat="1" ht="21" customHeight="1" x14ac:dyDescent="0.25">
      <c r="A308" s="12">
        <f>IF(B308="","",COUNTA($B$2:B308))</f>
        <v>307</v>
      </c>
      <c r="B308" s="20" t="s">
        <v>38</v>
      </c>
      <c r="C308" s="14"/>
      <c r="D308" s="14" t="s">
        <v>298</v>
      </c>
      <c r="E308" s="21" t="s">
        <v>304</v>
      </c>
      <c r="F308" s="22" t="s">
        <v>367</v>
      </c>
      <c r="G308" s="16" t="s">
        <v>374</v>
      </c>
      <c r="H308" s="13">
        <v>31287</v>
      </c>
      <c r="I308" s="20" t="s">
        <v>491</v>
      </c>
      <c r="J308" s="14" t="s">
        <v>504</v>
      </c>
      <c r="K308" s="13">
        <v>44256</v>
      </c>
      <c r="L308" s="17">
        <v>60</v>
      </c>
      <c r="M308" s="13">
        <f t="shared" si="4"/>
        <v>44316</v>
      </c>
      <c r="N308" s="14" t="s">
        <v>495</v>
      </c>
      <c r="O308" s="16" t="s">
        <v>538</v>
      </c>
      <c r="P308" s="16">
        <v>3</v>
      </c>
      <c r="Q308" s="14" t="s">
        <v>501</v>
      </c>
      <c r="R308" s="23"/>
      <c r="S308" s="23"/>
      <c r="T308" s="24"/>
    </row>
    <row r="309" spans="1:20" s="19" customFormat="1" ht="21" customHeight="1" x14ac:dyDescent="0.25">
      <c r="A309" s="12">
        <f>IF(B309="","",COUNTA($B$2:B309))</f>
        <v>308</v>
      </c>
      <c r="B309" s="13" t="s">
        <v>908</v>
      </c>
      <c r="C309" s="14"/>
      <c r="D309" s="14" t="s">
        <v>298</v>
      </c>
      <c r="E309" s="14" t="s">
        <v>304</v>
      </c>
      <c r="F309" s="15" t="s">
        <v>967</v>
      </c>
      <c r="G309" s="26" t="s">
        <v>946</v>
      </c>
      <c r="H309" s="13">
        <v>30629</v>
      </c>
      <c r="I309" s="14" t="s">
        <v>491</v>
      </c>
      <c r="J309" s="14" t="s">
        <v>504</v>
      </c>
      <c r="K309" s="13">
        <v>44256</v>
      </c>
      <c r="L309" s="17">
        <v>60</v>
      </c>
      <c r="M309" s="13">
        <f t="shared" si="4"/>
        <v>44316</v>
      </c>
      <c r="N309" s="14"/>
      <c r="O309" s="14" t="s">
        <v>538</v>
      </c>
      <c r="P309" s="14"/>
      <c r="Q309" s="14"/>
      <c r="R309" s="13">
        <v>45072</v>
      </c>
      <c r="S309" s="13" t="s">
        <v>973</v>
      </c>
      <c r="T309" s="24"/>
    </row>
    <row r="310" spans="1:20" s="19" customFormat="1" ht="21" customHeight="1" x14ac:dyDescent="0.25">
      <c r="A310" s="12">
        <f>IF(B310="","",COUNTA($B$2:B310))</f>
        <v>309</v>
      </c>
      <c r="B310" s="13" t="s">
        <v>858</v>
      </c>
      <c r="C310" s="14"/>
      <c r="D310" s="14" t="s">
        <v>298</v>
      </c>
      <c r="E310" s="14" t="s">
        <v>310</v>
      </c>
      <c r="F310" s="15" t="s">
        <v>412</v>
      </c>
      <c r="G310" s="16" t="s">
        <v>422</v>
      </c>
      <c r="H310" s="13">
        <v>33918</v>
      </c>
      <c r="I310" s="14" t="s">
        <v>491</v>
      </c>
      <c r="J310" s="14" t="s">
        <v>504</v>
      </c>
      <c r="K310" s="13">
        <v>44256</v>
      </c>
      <c r="L310" s="17">
        <v>60</v>
      </c>
      <c r="M310" s="13">
        <f t="shared" si="4"/>
        <v>44316</v>
      </c>
      <c r="N310" s="14"/>
      <c r="O310" s="14" t="s">
        <v>539</v>
      </c>
      <c r="P310" s="14"/>
      <c r="Q310" s="14"/>
      <c r="R310" s="13">
        <v>44896</v>
      </c>
      <c r="S310" s="13" t="s">
        <v>977</v>
      </c>
      <c r="T310" s="18"/>
    </row>
    <row r="311" spans="1:20" s="19" customFormat="1" ht="21" customHeight="1" x14ac:dyDescent="0.25">
      <c r="A311" s="12">
        <f>IF(B311="","",COUNTA($B$2:B311))</f>
        <v>310</v>
      </c>
      <c r="B311" s="13" t="s">
        <v>788</v>
      </c>
      <c r="C311" s="14"/>
      <c r="D311" s="14" t="s">
        <v>298</v>
      </c>
      <c r="E311" s="14" t="s">
        <v>309</v>
      </c>
      <c r="F311" s="15" t="s">
        <v>329</v>
      </c>
      <c r="G311" s="16" t="s">
        <v>407</v>
      </c>
      <c r="H311" s="13">
        <v>35129</v>
      </c>
      <c r="I311" s="14" t="s">
        <v>491</v>
      </c>
      <c r="J311" s="14" t="s">
        <v>504</v>
      </c>
      <c r="K311" s="13">
        <v>44256</v>
      </c>
      <c r="L311" s="17">
        <v>60</v>
      </c>
      <c r="M311" s="13">
        <f t="shared" si="4"/>
        <v>44316</v>
      </c>
      <c r="N311" s="14"/>
      <c r="O311" s="14" t="s">
        <v>539</v>
      </c>
      <c r="P311" s="14"/>
      <c r="Q311" s="14"/>
      <c r="R311" s="13">
        <v>44701</v>
      </c>
      <c r="S311" s="13" t="s">
        <v>975</v>
      </c>
      <c r="T311" s="18"/>
    </row>
    <row r="312" spans="1:20" s="19" customFormat="1" ht="21" customHeight="1" x14ac:dyDescent="0.25">
      <c r="A312" s="12">
        <f>IF(B312="","",COUNTA($B$2:B312))</f>
        <v>311</v>
      </c>
      <c r="B312" s="13" t="s">
        <v>759</v>
      </c>
      <c r="C312" s="14"/>
      <c r="D312" s="14" t="s">
        <v>298</v>
      </c>
      <c r="E312" s="14" t="s">
        <v>313</v>
      </c>
      <c r="F312" s="15" t="s">
        <v>942</v>
      </c>
      <c r="G312" s="14" t="s">
        <v>960</v>
      </c>
      <c r="H312" s="13">
        <v>34880</v>
      </c>
      <c r="I312" s="14" t="s">
        <v>492</v>
      </c>
      <c r="J312" s="14" t="s">
        <v>935</v>
      </c>
      <c r="K312" s="13">
        <v>44258</v>
      </c>
      <c r="L312" s="17">
        <v>60</v>
      </c>
      <c r="M312" s="13">
        <f t="shared" si="4"/>
        <v>44318</v>
      </c>
      <c r="N312" s="14"/>
      <c r="O312" s="14" t="s">
        <v>538</v>
      </c>
      <c r="P312" s="14"/>
      <c r="Q312" s="14"/>
      <c r="R312" s="13">
        <v>44682</v>
      </c>
      <c r="S312" s="13" t="s">
        <v>972</v>
      </c>
      <c r="T312" s="18"/>
    </row>
    <row r="313" spans="1:20" s="19" customFormat="1" ht="21" customHeight="1" x14ac:dyDescent="0.25">
      <c r="A313" s="12">
        <f>IF(B313="","",COUNTA($B$2:B313))</f>
        <v>312</v>
      </c>
      <c r="B313" s="13" t="s">
        <v>760</v>
      </c>
      <c r="C313" s="14"/>
      <c r="D313" s="14" t="s">
        <v>298</v>
      </c>
      <c r="E313" s="14" t="s">
        <v>313</v>
      </c>
      <c r="F313" s="15" t="s">
        <v>942</v>
      </c>
      <c r="G313" s="14" t="s">
        <v>960</v>
      </c>
      <c r="H313" s="13">
        <v>33871</v>
      </c>
      <c r="I313" s="14" t="s">
        <v>492</v>
      </c>
      <c r="J313" s="14" t="s">
        <v>507</v>
      </c>
      <c r="K313" s="13">
        <v>44258</v>
      </c>
      <c r="L313" s="17">
        <v>60</v>
      </c>
      <c r="M313" s="13">
        <f t="shared" si="4"/>
        <v>44318</v>
      </c>
      <c r="N313" s="14"/>
      <c r="O313" s="14" t="s">
        <v>538</v>
      </c>
      <c r="P313" s="14"/>
      <c r="Q313" s="14"/>
      <c r="R313" s="13">
        <v>44682</v>
      </c>
      <c r="S313" s="13" t="s">
        <v>973</v>
      </c>
      <c r="T313" s="18"/>
    </row>
    <row r="314" spans="1:20" s="19" customFormat="1" ht="21" customHeight="1" x14ac:dyDescent="0.25">
      <c r="A314" s="12">
        <f>IF(B314="","",COUNTA($B$2:B314))</f>
        <v>313</v>
      </c>
      <c r="B314" s="13" t="s">
        <v>745</v>
      </c>
      <c r="C314" s="14"/>
      <c r="D314" s="14" t="s">
        <v>298</v>
      </c>
      <c r="E314" s="14" t="s">
        <v>313</v>
      </c>
      <c r="F314" s="15" t="s">
        <v>942</v>
      </c>
      <c r="G314" s="14" t="s">
        <v>960</v>
      </c>
      <c r="H314" s="13">
        <v>33775</v>
      </c>
      <c r="I314" s="14" t="s">
        <v>492</v>
      </c>
      <c r="J314" s="14" t="s">
        <v>507</v>
      </c>
      <c r="K314" s="13">
        <v>44263</v>
      </c>
      <c r="L314" s="17">
        <v>60</v>
      </c>
      <c r="M314" s="13">
        <f t="shared" si="4"/>
        <v>44323</v>
      </c>
      <c r="N314" s="14"/>
      <c r="O314" s="14" t="s">
        <v>538</v>
      </c>
      <c r="P314" s="14"/>
      <c r="Q314" s="14"/>
      <c r="R314" s="13">
        <v>44682</v>
      </c>
      <c r="S314" s="13" t="s">
        <v>975</v>
      </c>
      <c r="T314" s="18"/>
    </row>
    <row r="315" spans="1:20" s="19" customFormat="1" ht="21" customHeight="1" x14ac:dyDescent="0.25">
      <c r="A315" s="12">
        <f>IF(B315="","",COUNTA($B$2:B315))</f>
        <v>314</v>
      </c>
      <c r="B315" s="20" t="s">
        <v>565</v>
      </c>
      <c r="C315" s="14"/>
      <c r="D315" s="14" t="s">
        <v>298</v>
      </c>
      <c r="E315" s="21" t="s">
        <v>311</v>
      </c>
      <c r="F315" s="22" t="s">
        <v>939</v>
      </c>
      <c r="G315" s="16" t="s">
        <v>964</v>
      </c>
      <c r="H315" s="13">
        <v>34511</v>
      </c>
      <c r="I315" s="20" t="s">
        <v>492</v>
      </c>
      <c r="J315" s="14" t="s">
        <v>504</v>
      </c>
      <c r="K315" s="13">
        <v>44263</v>
      </c>
      <c r="L315" s="17">
        <v>60</v>
      </c>
      <c r="M315" s="13">
        <f t="shared" si="4"/>
        <v>44323</v>
      </c>
      <c r="N315" s="14"/>
      <c r="O315" s="16" t="s">
        <v>938</v>
      </c>
      <c r="P315" s="16"/>
      <c r="Q315" s="14"/>
      <c r="R315" s="13">
        <v>44284</v>
      </c>
      <c r="S315" s="13" t="s">
        <v>973</v>
      </c>
      <c r="T315" s="18"/>
    </row>
    <row r="316" spans="1:20" s="19" customFormat="1" ht="21" customHeight="1" x14ac:dyDescent="0.25">
      <c r="A316" s="12">
        <f>IF(B316="","",COUNTA($B$2:B316))</f>
        <v>315</v>
      </c>
      <c r="B316" s="13" t="s">
        <v>656</v>
      </c>
      <c r="C316" s="14"/>
      <c r="D316" s="14" t="s">
        <v>300</v>
      </c>
      <c r="E316" s="14" t="s">
        <v>313</v>
      </c>
      <c r="F316" s="15" t="s">
        <v>942</v>
      </c>
      <c r="G316" s="14" t="s">
        <v>960</v>
      </c>
      <c r="H316" s="13">
        <v>34243</v>
      </c>
      <c r="I316" s="14" t="s">
        <v>492</v>
      </c>
      <c r="J316" s="14" t="s">
        <v>504</v>
      </c>
      <c r="K316" s="13">
        <v>44265</v>
      </c>
      <c r="L316" s="17">
        <v>60</v>
      </c>
      <c r="M316" s="13">
        <f t="shared" si="4"/>
        <v>44325</v>
      </c>
      <c r="N316" s="14"/>
      <c r="O316" s="14" t="s">
        <v>541</v>
      </c>
      <c r="P316" s="14"/>
      <c r="Q316" s="14"/>
      <c r="R316" s="13">
        <v>44520</v>
      </c>
      <c r="S316" s="13" t="s">
        <v>973</v>
      </c>
      <c r="T316" s="18"/>
    </row>
    <row r="317" spans="1:20" s="19" customFormat="1" ht="21" customHeight="1" x14ac:dyDescent="0.25">
      <c r="A317" s="12">
        <f>IF(B317="","",COUNTA($B$2:B317))</f>
        <v>316</v>
      </c>
      <c r="B317" s="20" t="s">
        <v>594</v>
      </c>
      <c r="C317" s="14"/>
      <c r="D317" s="14" t="s">
        <v>300</v>
      </c>
      <c r="E317" s="21" t="s">
        <v>309</v>
      </c>
      <c r="F317" s="22" t="s">
        <v>940</v>
      </c>
      <c r="G317" s="16" t="s">
        <v>407</v>
      </c>
      <c r="H317" s="13">
        <v>35391</v>
      </c>
      <c r="I317" s="20" t="s">
        <v>492</v>
      </c>
      <c r="J317" s="14" t="s">
        <v>504</v>
      </c>
      <c r="K317" s="13">
        <v>44265</v>
      </c>
      <c r="L317" s="17">
        <v>60</v>
      </c>
      <c r="M317" s="13">
        <f t="shared" si="4"/>
        <v>44325</v>
      </c>
      <c r="N317" s="14"/>
      <c r="O317" s="16" t="s">
        <v>541</v>
      </c>
      <c r="P317" s="16"/>
      <c r="Q317" s="14"/>
      <c r="R317" s="13">
        <v>44323</v>
      </c>
      <c r="S317" s="13" t="s">
        <v>972</v>
      </c>
      <c r="T317" s="18"/>
    </row>
    <row r="318" spans="1:20" s="19" customFormat="1" ht="21" customHeight="1" x14ac:dyDescent="0.25">
      <c r="A318" s="12">
        <f>IF(B318="","",COUNTA($B$2:B318))</f>
        <v>317</v>
      </c>
      <c r="B318" s="20" t="s">
        <v>591</v>
      </c>
      <c r="C318" s="14"/>
      <c r="D318" s="14" t="s">
        <v>300</v>
      </c>
      <c r="E318" s="21" t="s">
        <v>314</v>
      </c>
      <c r="F318" s="22" t="s">
        <v>330</v>
      </c>
      <c r="G318" s="16" t="s">
        <v>361</v>
      </c>
      <c r="H318" s="13">
        <v>33153</v>
      </c>
      <c r="I318" s="20" t="s">
        <v>491</v>
      </c>
      <c r="J318" s="14" t="s">
        <v>504</v>
      </c>
      <c r="K318" s="13">
        <v>44265</v>
      </c>
      <c r="L318" s="17">
        <v>60</v>
      </c>
      <c r="M318" s="13">
        <f t="shared" si="4"/>
        <v>44325</v>
      </c>
      <c r="N318" s="14"/>
      <c r="O318" s="16" t="s">
        <v>541</v>
      </c>
      <c r="P318" s="16"/>
      <c r="Q318" s="14"/>
      <c r="R318" s="13">
        <v>44321</v>
      </c>
      <c r="S318" s="13" t="s">
        <v>972</v>
      </c>
      <c r="T318" s="18"/>
    </row>
    <row r="319" spans="1:20" s="19" customFormat="1" ht="21" customHeight="1" x14ac:dyDescent="0.25">
      <c r="A319" s="12">
        <f>IF(B319="","",COUNTA($B$2:B319))</f>
        <v>318</v>
      </c>
      <c r="B319" s="20" t="s">
        <v>563</v>
      </c>
      <c r="C319" s="14"/>
      <c r="D319" s="14" t="s">
        <v>300</v>
      </c>
      <c r="E319" s="21" t="s">
        <v>314</v>
      </c>
      <c r="F319" s="22" t="s">
        <v>330</v>
      </c>
      <c r="G319" s="16" t="s">
        <v>361</v>
      </c>
      <c r="H319" s="13">
        <v>33607</v>
      </c>
      <c r="I319" s="20" t="s">
        <v>491</v>
      </c>
      <c r="J319" s="14" t="s">
        <v>504</v>
      </c>
      <c r="K319" s="13">
        <v>44265</v>
      </c>
      <c r="L319" s="17">
        <v>60</v>
      </c>
      <c r="M319" s="13">
        <f t="shared" si="4"/>
        <v>44325</v>
      </c>
      <c r="N319" s="14"/>
      <c r="O319" s="16"/>
      <c r="P319" s="16"/>
      <c r="Q319" s="14"/>
      <c r="R319" s="13">
        <v>44278</v>
      </c>
      <c r="S319" s="13" t="s">
        <v>973</v>
      </c>
      <c r="T319" s="18"/>
    </row>
    <row r="320" spans="1:20" s="19" customFormat="1" ht="21" customHeight="1" x14ac:dyDescent="0.25">
      <c r="A320" s="12">
        <f>IF(B320="","",COUNTA($B$2:B320))</f>
        <v>319</v>
      </c>
      <c r="B320" s="20" t="s">
        <v>101</v>
      </c>
      <c r="C320" s="14"/>
      <c r="D320" s="14" t="s">
        <v>298</v>
      </c>
      <c r="E320" s="21" t="s">
        <v>309</v>
      </c>
      <c r="F320" s="22" t="s">
        <v>329</v>
      </c>
      <c r="G320" s="16" t="s">
        <v>409</v>
      </c>
      <c r="H320" s="13">
        <v>31733</v>
      </c>
      <c r="I320" s="20" t="s">
        <v>492</v>
      </c>
      <c r="J320" s="14" t="s">
        <v>507</v>
      </c>
      <c r="K320" s="13">
        <v>44266</v>
      </c>
      <c r="L320" s="17">
        <v>60</v>
      </c>
      <c r="M320" s="13">
        <f t="shared" si="4"/>
        <v>44326</v>
      </c>
      <c r="N320" s="14" t="s">
        <v>495</v>
      </c>
      <c r="O320" s="16" t="s">
        <v>538</v>
      </c>
      <c r="P320" s="16">
        <v>3</v>
      </c>
      <c r="Q320" s="14" t="s">
        <v>501</v>
      </c>
      <c r="R320" s="23"/>
      <c r="S320" s="23"/>
      <c r="T320" s="24"/>
    </row>
    <row r="321" spans="1:20" s="19" customFormat="1" ht="21" customHeight="1" x14ac:dyDescent="0.25">
      <c r="A321" s="12">
        <f>IF(B321="","",COUNTA($B$2:B321))</f>
        <v>320</v>
      </c>
      <c r="B321" s="20" t="s">
        <v>96</v>
      </c>
      <c r="C321" s="14"/>
      <c r="D321" s="14" t="s">
        <v>298</v>
      </c>
      <c r="E321" s="21" t="s">
        <v>309</v>
      </c>
      <c r="F321" s="22" t="s">
        <v>329</v>
      </c>
      <c r="G321" s="16" t="s">
        <v>405</v>
      </c>
      <c r="H321" s="13">
        <v>32866</v>
      </c>
      <c r="I321" s="20" t="s">
        <v>491</v>
      </c>
      <c r="J321" s="14" t="s">
        <v>504</v>
      </c>
      <c r="K321" s="13">
        <v>44270</v>
      </c>
      <c r="L321" s="17">
        <v>60</v>
      </c>
      <c r="M321" s="13">
        <f t="shared" si="4"/>
        <v>44330</v>
      </c>
      <c r="N321" s="14" t="s">
        <v>495</v>
      </c>
      <c r="O321" s="16" t="s">
        <v>538</v>
      </c>
      <c r="P321" s="16">
        <v>3</v>
      </c>
      <c r="Q321" s="14" t="s">
        <v>501</v>
      </c>
      <c r="R321" s="23"/>
      <c r="S321" s="23"/>
      <c r="T321" s="24"/>
    </row>
    <row r="322" spans="1:20" s="19" customFormat="1" ht="21" customHeight="1" x14ac:dyDescent="0.25">
      <c r="A322" s="12">
        <f>IF(B322="","",COUNTA($B$2:B322))</f>
        <v>321</v>
      </c>
      <c r="B322" s="20" t="s">
        <v>522</v>
      </c>
      <c r="C322" s="14"/>
      <c r="D322" s="14" t="s">
        <v>299</v>
      </c>
      <c r="E322" s="21" t="s">
        <v>314</v>
      </c>
      <c r="F322" s="22" t="s">
        <v>327</v>
      </c>
      <c r="G322" s="16" t="s">
        <v>339</v>
      </c>
      <c r="H322" s="13">
        <v>33926</v>
      </c>
      <c r="I322" s="20" t="s">
        <v>492</v>
      </c>
      <c r="J322" s="14" t="s">
        <v>507</v>
      </c>
      <c r="K322" s="13">
        <v>44270</v>
      </c>
      <c r="L322" s="17">
        <v>60</v>
      </c>
      <c r="M322" s="13">
        <f t="shared" ref="M322:M385" si="5">K322+L322</f>
        <v>44330</v>
      </c>
      <c r="N322" s="14" t="s">
        <v>495</v>
      </c>
      <c r="O322" s="16" t="s">
        <v>538</v>
      </c>
      <c r="P322" s="16">
        <v>3</v>
      </c>
      <c r="Q322" s="14" t="s">
        <v>501</v>
      </c>
      <c r="R322" s="13">
        <v>45215</v>
      </c>
      <c r="S322" s="13" t="s">
        <v>975</v>
      </c>
      <c r="T322" s="24"/>
    </row>
    <row r="323" spans="1:20" s="19" customFormat="1" ht="21" customHeight="1" x14ac:dyDescent="0.25">
      <c r="A323" s="12">
        <f>IF(B323="","",COUNTA($B$2:B323))</f>
        <v>322</v>
      </c>
      <c r="B323" s="13" t="s">
        <v>746</v>
      </c>
      <c r="C323" s="14"/>
      <c r="D323" s="14" t="s">
        <v>298</v>
      </c>
      <c r="E323" s="14" t="s">
        <v>313</v>
      </c>
      <c r="F323" s="15" t="s">
        <v>942</v>
      </c>
      <c r="G323" s="14" t="s">
        <v>960</v>
      </c>
      <c r="H323" s="13">
        <v>33619</v>
      </c>
      <c r="I323" s="14" t="s">
        <v>492</v>
      </c>
      <c r="J323" s="14" t="s">
        <v>507</v>
      </c>
      <c r="K323" s="13">
        <v>44270</v>
      </c>
      <c r="L323" s="17">
        <v>60</v>
      </c>
      <c r="M323" s="13">
        <f t="shared" si="5"/>
        <v>44330</v>
      </c>
      <c r="N323" s="14"/>
      <c r="O323" s="14" t="s">
        <v>538</v>
      </c>
      <c r="P323" s="14"/>
      <c r="Q323" s="14"/>
      <c r="R323" s="13">
        <v>44682</v>
      </c>
      <c r="S323" s="13" t="s">
        <v>975</v>
      </c>
      <c r="T323" s="18"/>
    </row>
    <row r="324" spans="1:20" s="19" customFormat="1" ht="21" customHeight="1" x14ac:dyDescent="0.25">
      <c r="A324" s="12">
        <f>IF(B324="","",COUNTA($B$2:B324))</f>
        <v>323</v>
      </c>
      <c r="B324" s="13" t="s">
        <v>626</v>
      </c>
      <c r="C324" s="14"/>
      <c r="D324" s="14" t="s">
        <v>299</v>
      </c>
      <c r="E324" s="14" t="s">
        <v>311</v>
      </c>
      <c r="F324" s="22" t="s">
        <v>316</v>
      </c>
      <c r="G324" s="16" t="s">
        <v>320</v>
      </c>
      <c r="H324" s="13">
        <v>34142</v>
      </c>
      <c r="I324" s="14" t="s">
        <v>492</v>
      </c>
      <c r="J324" s="14" t="s">
        <v>504</v>
      </c>
      <c r="K324" s="13">
        <v>44270</v>
      </c>
      <c r="L324" s="17">
        <v>60</v>
      </c>
      <c r="M324" s="13">
        <f t="shared" si="5"/>
        <v>44330</v>
      </c>
      <c r="N324" s="14"/>
      <c r="O324" s="14"/>
      <c r="P324" s="14"/>
      <c r="Q324" s="14"/>
      <c r="R324" s="13">
        <v>44426</v>
      </c>
      <c r="S324" s="13" t="s">
        <v>975</v>
      </c>
      <c r="T324" s="18"/>
    </row>
    <row r="325" spans="1:20" s="19" customFormat="1" ht="21" customHeight="1" x14ac:dyDescent="0.25">
      <c r="A325" s="12">
        <f>IF(B325="","",COUNTA($B$2:B325))</f>
        <v>324</v>
      </c>
      <c r="B325" s="13" t="s">
        <v>598</v>
      </c>
      <c r="C325" s="14"/>
      <c r="D325" s="14" t="s">
        <v>298</v>
      </c>
      <c r="E325" s="14" t="s">
        <v>307</v>
      </c>
      <c r="F325" s="22" t="s">
        <v>434</v>
      </c>
      <c r="G325" s="16" t="s">
        <v>440</v>
      </c>
      <c r="H325" s="13">
        <v>33677</v>
      </c>
      <c r="I325" s="14" t="s">
        <v>492</v>
      </c>
      <c r="J325" s="14" t="s">
        <v>504</v>
      </c>
      <c r="K325" s="13">
        <v>44271</v>
      </c>
      <c r="L325" s="17">
        <v>60</v>
      </c>
      <c r="M325" s="13">
        <f t="shared" si="5"/>
        <v>44331</v>
      </c>
      <c r="N325" s="14"/>
      <c r="O325" s="14" t="s">
        <v>539</v>
      </c>
      <c r="P325" s="14"/>
      <c r="Q325" s="14"/>
      <c r="R325" s="13">
        <v>44332</v>
      </c>
      <c r="S325" s="13" t="s">
        <v>976</v>
      </c>
      <c r="T325" s="18"/>
    </row>
    <row r="326" spans="1:20" s="19" customFormat="1" ht="21" customHeight="1" x14ac:dyDescent="0.25">
      <c r="A326" s="12">
        <f>IF(B326="","",COUNTA($B$2:B326))</f>
        <v>325</v>
      </c>
      <c r="B326" s="13" t="s">
        <v>627</v>
      </c>
      <c r="C326" s="14"/>
      <c r="D326" s="14" t="s">
        <v>298</v>
      </c>
      <c r="E326" s="14" t="s">
        <v>314</v>
      </c>
      <c r="F326" s="15" t="s">
        <v>327</v>
      </c>
      <c r="G326" s="16" t="s">
        <v>341</v>
      </c>
      <c r="H326" s="13">
        <v>36484</v>
      </c>
      <c r="I326" s="14" t="s">
        <v>492</v>
      </c>
      <c r="J326" s="14" t="s">
        <v>507</v>
      </c>
      <c r="K326" s="13">
        <v>44272</v>
      </c>
      <c r="L326" s="17">
        <v>60</v>
      </c>
      <c r="M326" s="13">
        <f t="shared" si="5"/>
        <v>44332</v>
      </c>
      <c r="N326" s="14"/>
      <c r="O326" s="14" t="s">
        <v>539</v>
      </c>
      <c r="P326" s="14"/>
      <c r="Q326" s="14"/>
      <c r="R326" s="13">
        <v>44440</v>
      </c>
      <c r="S326" s="13" t="s">
        <v>977</v>
      </c>
      <c r="T326" s="18"/>
    </row>
    <row r="327" spans="1:20" s="19" customFormat="1" ht="21" customHeight="1" x14ac:dyDescent="0.25">
      <c r="A327" s="12">
        <f>IF(B327="","",COUNTA($B$2:B327))</f>
        <v>326</v>
      </c>
      <c r="B327" s="13" t="s">
        <v>628</v>
      </c>
      <c r="C327" s="14"/>
      <c r="D327" s="14" t="s">
        <v>298</v>
      </c>
      <c r="E327" s="14" t="s">
        <v>314</v>
      </c>
      <c r="F327" s="15" t="s">
        <v>327</v>
      </c>
      <c r="G327" s="16" t="s">
        <v>341</v>
      </c>
      <c r="H327" s="13">
        <v>34644</v>
      </c>
      <c r="I327" s="14" t="s">
        <v>492</v>
      </c>
      <c r="J327" s="14" t="s">
        <v>507</v>
      </c>
      <c r="K327" s="13">
        <v>44272</v>
      </c>
      <c r="L327" s="17">
        <v>60</v>
      </c>
      <c r="M327" s="13">
        <f t="shared" si="5"/>
        <v>44332</v>
      </c>
      <c r="N327" s="14"/>
      <c r="O327" s="14" t="s">
        <v>539</v>
      </c>
      <c r="P327" s="14"/>
      <c r="Q327" s="14"/>
      <c r="R327" s="13">
        <v>44440</v>
      </c>
      <c r="S327" s="13" t="s">
        <v>972</v>
      </c>
      <c r="T327" s="18"/>
    </row>
    <row r="328" spans="1:20" s="19" customFormat="1" ht="21" customHeight="1" x14ac:dyDescent="0.25">
      <c r="A328" s="12">
        <f>IF(B328="","",COUNTA($B$2:B328))</f>
        <v>327</v>
      </c>
      <c r="B328" s="13" t="s">
        <v>629</v>
      </c>
      <c r="C328" s="14"/>
      <c r="D328" s="14" t="s">
        <v>298</v>
      </c>
      <c r="E328" s="14" t="s">
        <v>314</v>
      </c>
      <c r="F328" s="15" t="s">
        <v>327</v>
      </c>
      <c r="G328" s="16" t="s">
        <v>341</v>
      </c>
      <c r="H328" s="13">
        <v>36491</v>
      </c>
      <c r="I328" s="14" t="s">
        <v>492</v>
      </c>
      <c r="J328" s="14" t="s">
        <v>507</v>
      </c>
      <c r="K328" s="13">
        <v>44272</v>
      </c>
      <c r="L328" s="17">
        <v>60</v>
      </c>
      <c r="M328" s="13">
        <f t="shared" si="5"/>
        <v>44332</v>
      </c>
      <c r="N328" s="14"/>
      <c r="O328" s="14" t="s">
        <v>539</v>
      </c>
      <c r="P328" s="14"/>
      <c r="Q328" s="14"/>
      <c r="R328" s="13">
        <v>44440</v>
      </c>
      <c r="S328" s="13" t="s">
        <v>973</v>
      </c>
      <c r="T328" s="18"/>
    </row>
    <row r="329" spans="1:20" s="19" customFormat="1" ht="21" customHeight="1" x14ac:dyDescent="0.25">
      <c r="A329" s="12">
        <f>IF(B329="","",COUNTA($B$2:B329))</f>
        <v>328</v>
      </c>
      <c r="B329" s="13" t="s">
        <v>630</v>
      </c>
      <c r="C329" s="14"/>
      <c r="D329" s="14" t="s">
        <v>298</v>
      </c>
      <c r="E329" s="14" t="s">
        <v>314</v>
      </c>
      <c r="F329" s="22" t="s">
        <v>330</v>
      </c>
      <c r="G329" s="16" t="s">
        <v>361</v>
      </c>
      <c r="H329" s="13">
        <v>36178</v>
      </c>
      <c r="I329" s="14" t="s">
        <v>492</v>
      </c>
      <c r="J329" s="14" t="s">
        <v>507</v>
      </c>
      <c r="K329" s="13">
        <v>44272</v>
      </c>
      <c r="L329" s="17">
        <v>60</v>
      </c>
      <c r="M329" s="13">
        <f t="shared" si="5"/>
        <v>44332</v>
      </c>
      <c r="N329" s="14"/>
      <c r="O329" s="14" t="s">
        <v>539</v>
      </c>
      <c r="P329" s="14"/>
      <c r="Q329" s="14"/>
      <c r="R329" s="13">
        <v>44440</v>
      </c>
      <c r="S329" s="13" t="s">
        <v>977</v>
      </c>
      <c r="T329" s="18"/>
    </row>
    <row r="330" spans="1:20" s="19" customFormat="1" ht="21" customHeight="1" x14ac:dyDescent="0.25">
      <c r="A330" s="12">
        <f>IF(B330="","",COUNTA($B$2:B330))</f>
        <v>329</v>
      </c>
      <c r="B330" s="13" t="s">
        <v>660</v>
      </c>
      <c r="C330" s="14"/>
      <c r="D330" s="14" t="s">
        <v>298</v>
      </c>
      <c r="E330" s="14" t="s">
        <v>304</v>
      </c>
      <c r="F330" s="22" t="s">
        <v>368</v>
      </c>
      <c r="G330" s="26" t="s">
        <v>948</v>
      </c>
      <c r="H330" s="13">
        <v>32965</v>
      </c>
      <c r="I330" s="14" t="s">
        <v>491</v>
      </c>
      <c r="J330" s="14" t="s">
        <v>504</v>
      </c>
      <c r="K330" s="13">
        <v>44273</v>
      </c>
      <c r="L330" s="17">
        <v>60</v>
      </c>
      <c r="M330" s="13">
        <f t="shared" si="5"/>
        <v>44333</v>
      </c>
      <c r="N330" s="14"/>
      <c r="O330" s="14" t="s">
        <v>541</v>
      </c>
      <c r="P330" s="14"/>
      <c r="Q330" s="14"/>
      <c r="R330" s="13">
        <v>44531</v>
      </c>
      <c r="S330" s="13" t="s">
        <v>973</v>
      </c>
      <c r="T330" s="18"/>
    </row>
    <row r="331" spans="1:20" s="19" customFormat="1" ht="21" customHeight="1" x14ac:dyDescent="0.25">
      <c r="A331" s="12">
        <f>IF(B331="","",COUNTA($B$2:B331))</f>
        <v>330</v>
      </c>
      <c r="B331" s="20" t="s">
        <v>19</v>
      </c>
      <c r="C331" s="14"/>
      <c r="D331" s="14" t="s">
        <v>298</v>
      </c>
      <c r="E331" s="21" t="s">
        <v>302</v>
      </c>
      <c r="F331" s="22" t="s">
        <v>302</v>
      </c>
      <c r="G331" s="16" t="s">
        <v>398</v>
      </c>
      <c r="H331" s="13">
        <v>34306</v>
      </c>
      <c r="I331" s="20" t="s">
        <v>492</v>
      </c>
      <c r="J331" s="14" t="s">
        <v>504</v>
      </c>
      <c r="K331" s="13">
        <v>44277</v>
      </c>
      <c r="L331" s="17">
        <v>60</v>
      </c>
      <c r="M331" s="13">
        <f t="shared" si="5"/>
        <v>44337</v>
      </c>
      <c r="N331" s="14" t="s">
        <v>495</v>
      </c>
      <c r="O331" s="16" t="s">
        <v>539</v>
      </c>
      <c r="P331" s="16">
        <v>3</v>
      </c>
      <c r="Q331" s="14" t="s">
        <v>501</v>
      </c>
      <c r="R331" s="23"/>
      <c r="S331" s="23"/>
      <c r="T331" s="24"/>
    </row>
    <row r="332" spans="1:20" s="19" customFormat="1" ht="21" customHeight="1" x14ac:dyDescent="0.25">
      <c r="A332" s="12">
        <f>IF(B332="","",COUNTA($B$2:B332))</f>
        <v>331</v>
      </c>
      <c r="B332" s="13" t="s">
        <v>823</v>
      </c>
      <c r="C332" s="14"/>
      <c r="D332" s="14" t="s">
        <v>298</v>
      </c>
      <c r="E332" s="14" t="s">
        <v>314</v>
      </c>
      <c r="F332" s="15" t="s">
        <v>330</v>
      </c>
      <c r="G332" s="16" t="s">
        <v>361</v>
      </c>
      <c r="H332" s="13">
        <v>35483</v>
      </c>
      <c r="I332" s="14" t="s">
        <v>491</v>
      </c>
      <c r="J332" s="14" t="s">
        <v>504</v>
      </c>
      <c r="K332" s="13">
        <v>44277</v>
      </c>
      <c r="L332" s="17">
        <v>60</v>
      </c>
      <c r="M332" s="13">
        <f t="shared" si="5"/>
        <v>44337</v>
      </c>
      <c r="N332" s="14"/>
      <c r="O332" s="14" t="s">
        <v>539</v>
      </c>
      <c r="P332" s="14"/>
      <c r="Q332" s="14"/>
      <c r="R332" s="13">
        <v>44778</v>
      </c>
      <c r="S332" s="13" t="s">
        <v>973</v>
      </c>
      <c r="T332" s="18"/>
    </row>
    <row r="333" spans="1:20" s="19" customFormat="1" ht="21" customHeight="1" x14ac:dyDescent="0.25">
      <c r="A333" s="12">
        <f>IF(B333="","",COUNTA($B$2:B333))</f>
        <v>332</v>
      </c>
      <c r="B333" s="13" t="s">
        <v>794</v>
      </c>
      <c r="C333" s="14"/>
      <c r="D333" s="14" t="s">
        <v>298</v>
      </c>
      <c r="E333" s="14" t="s">
        <v>301</v>
      </c>
      <c r="F333" s="15" t="s">
        <v>465</v>
      </c>
      <c r="G333" s="16" t="s">
        <v>484</v>
      </c>
      <c r="H333" s="13">
        <v>33341</v>
      </c>
      <c r="I333" s="14" t="s">
        <v>491</v>
      </c>
      <c r="J333" s="14" t="s">
        <v>504</v>
      </c>
      <c r="K333" s="13">
        <v>44277</v>
      </c>
      <c r="L333" s="17">
        <v>60</v>
      </c>
      <c r="M333" s="13">
        <f t="shared" si="5"/>
        <v>44337</v>
      </c>
      <c r="N333" s="14"/>
      <c r="O333" s="14" t="s">
        <v>538</v>
      </c>
      <c r="P333" s="14"/>
      <c r="Q333" s="14"/>
      <c r="R333" s="13">
        <v>44713</v>
      </c>
      <c r="S333" s="13" t="s">
        <v>972</v>
      </c>
      <c r="T333" s="18"/>
    </row>
    <row r="334" spans="1:20" s="19" customFormat="1" ht="21" customHeight="1" x14ac:dyDescent="0.25">
      <c r="A334" s="12">
        <f>IF(B334="","",COUNTA($B$2:B334))</f>
        <v>333</v>
      </c>
      <c r="B334" s="13" t="s">
        <v>678</v>
      </c>
      <c r="C334" s="14"/>
      <c r="D334" s="14" t="s">
        <v>298</v>
      </c>
      <c r="E334" s="14" t="s">
        <v>314</v>
      </c>
      <c r="F334" s="22" t="s">
        <v>330</v>
      </c>
      <c r="G334" s="16" t="s">
        <v>361</v>
      </c>
      <c r="H334" s="13">
        <v>34976</v>
      </c>
      <c r="I334" s="14" t="s">
        <v>491</v>
      </c>
      <c r="J334" s="14" t="s">
        <v>504</v>
      </c>
      <c r="K334" s="13">
        <v>44277</v>
      </c>
      <c r="L334" s="17">
        <v>60</v>
      </c>
      <c r="M334" s="13">
        <f t="shared" si="5"/>
        <v>44337</v>
      </c>
      <c r="N334" s="14"/>
      <c r="O334" s="14" t="s">
        <v>541</v>
      </c>
      <c r="P334" s="14"/>
      <c r="Q334" s="14"/>
      <c r="R334" s="13">
        <v>44593</v>
      </c>
      <c r="S334" s="13" t="s">
        <v>975</v>
      </c>
      <c r="T334" s="18"/>
    </row>
    <row r="335" spans="1:20" s="19" customFormat="1" ht="21" customHeight="1" x14ac:dyDescent="0.25">
      <c r="A335" s="12">
        <f>IF(B335="","",COUNTA($B$2:B335))</f>
        <v>334</v>
      </c>
      <c r="B335" s="13" t="s">
        <v>679</v>
      </c>
      <c r="C335" s="14"/>
      <c r="D335" s="14" t="s">
        <v>298</v>
      </c>
      <c r="E335" s="14" t="s">
        <v>314</v>
      </c>
      <c r="F335" s="22" t="s">
        <v>330</v>
      </c>
      <c r="G335" s="16" t="s">
        <v>361</v>
      </c>
      <c r="H335" s="13">
        <v>35829</v>
      </c>
      <c r="I335" s="14" t="s">
        <v>491</v>
      </c>
      <c r="J335" s="14" t="s">
        <v>504</v>
      </c>
      <c r="K335" s="13">
        <v>44277</v>
      </c>
      <c r="L335" s="17">
        <v>60</v>
      </c>
      <c r="M335" s="13">
        <f t="shared" si="5"/>
        <v>44337</v>
      </c>
      <c r="N335" s="14"/>
      <c r="O335" s="14" t="s">
        <v>541</v>
      </c>
      <c r="P335" s="14"/>
      <c r="Q335" s="14"/>
      <c r="R335" s="13">
        <v>44593</v>
      </c>
      <c r="S335" s="13" t="s">
        <v>976</v>
      </c>
      <c r="T335" s="18"/>
    </row>
    <row r="336" spans="1:20" s="19" customFormat="1" ht="21" customHeight="1" x14ac:dyDescent="0.25">
      <c r="A336" s="12">
        <f>IF(B336="","",COUNTA($B$2:B336))</f>
        <v>335</v>
      </c>
      <c r="B336" s="13" t="s">
        <v>610</v>
      </c>
      <c r="C336" s="14"/>
      <c r="D336" s="14" t="s">
        <v>300</v>
      </c>
      <c r="E336" s="14" t="s">
        <v>311</v>
      </c>
      <c r="F336" s="22" t="s">
        <v>318</v>
      </c>
      <c r="G336" s="16" t="s">
        <v>320</v>
      </c>
      <c r="H336" s="13">
        <v>32177</v>
      </c>
      <c r="I336" s="14" t="s">
        <v>492</v>
      </c>
      <c r="J336" s="14" t="s">
        <v>504</v>
      </c>
      <c r="K336" s="13">
        <v>44277</v>
      </c>
      <c r="L336" s="17">
        <v>60</v>
      </c>
      <c r="M336" s="13">
        <f t="shared" si="5"/>
        <v>44337</v>
      </c>
      <c r="N336" s="14"/>
      <c r="O336" s="14" t="s">
        <v>938</v>
      </c>
      <c r="P336" s="14"/>
      <c r="Q336" s="14"/>
      <c r="R336" s="13">
        <v>44377</v>
      </c>
      <c r="S336" s="13" t="s">
        <v>973</v>
      </c>
      <c r="T336" s="18"/>
    </row>
    <row r="337" spans="1:20" s="19" customFormat="1" ht="21" customHeight="1" x14ac:dyDescent="0.25">
      <c r="A337" s="12">
        <f>IF(B337="","",COUNTA($B$2:B337))</f>
        <v>336</v>
      </c>
      <c r="B337" s="13" t="s">
        <v>601</v>
      </c>
      <c r="C337" s="14"/>
      <c r="D337" s="14" t="s">
        <v>298</v>
      </c>
      <c r="E337" s="14" t="s">
        <v>313</v>
      </c>
      <c r="F337" s="15" t="s">
        <v>313</v>
      </c>
      <c r="G337" s="26" t="s">
        <v>965</v>
      </c>
      <c r="H337" s="13">
        <v>32037</v>
      </c>
      <c r="I337" s="14" t="s">
        <v>491</v>
      </c>
      <c r="J337" s="14" t="s">
        <v>504</v>
      </c>
      <c r="K337" s="13">
        <v>44277</v>
      </c>
      <c r="L337" s="17">
        <v>60</v>
      </c>
      <c r="M337" s="13">
        <f t="shared" si="5"/>
        <v>44337</v>
      </c>
      <c r="N337" s="14"/>
      <c r="O337" s="14" t="s">
        <v>541</v>
      </c>
      <c r="P337" s="14"/>
      <c r="Q337" s="14"/>
      <c r="R337" s="13">
        <v>44346</v>
      </c>
      <c r="S337" s="13" t="s">
        <v>972</v>
      </c>
      <c r="T337" s="18"/>
    </row>
    <row r="338" spans="1:20" s="19" customFormat="1" ht="21" customHeight="1" x14ac:dyDescent="0.25">
      <c r="A338" s="12">
        <f>IF(B338="","",COUNTA($B$2:B338))</f>
        <v>337</v>
      </c>
      <c r="B338" s="20" t="s">
        <v>581</v>
      </c>
      <c r="C338" s="14"/>
      <c r="D338" s="14" t="s">
        <v>298</v>
      </c>
      <c r="E338" s="21" t="s">
        <v>314</v>
      </c>
      <c r="F338" s="29" t="s">
        <v>327</v>
      </c>
      <c r="G338" s="16" t="s">
        <v>340</v>
      </c>
      <c r="H338" s="13">
        <v>36030</v>
      </c>
      <c r="I338" s="20" t="s">
        <v>491</v>
      </c>
      <c r="J338" s="14" t="s">
        <v>504</v>
      </c>
      <c r="K338" s="13">
        <v>44277</v>
      </c>
      <c r="L338" s="17">
        <v>60</v>
      </c>
      <c r="M338" s="13">
        <f t="shared" si="5"/>
        <v>44337</v>
      </c>
      <c r="N338" s="14"/>
      <c r="O338" s="16" t="s">
        <v>541</v>
      </c>
      <c r="P338" s="16"/>
      <c r="Q338" s="14"/>
      <c r="R338" s="13">
        <v>44296</v>
      </c>
      <c r="S338" s="13" t="s">
        <v>972</v>
      </c>
      <c r="T338" s="18"/>
    </row>
    <row r="339" spans="1:20" s="19" customFormat="1" ht="21" customHeight="1" x14ac:dyDescent="0.25">
      <c r="A339" s="12">
        <f>IF(B339="","",COUNTA($B$2:B339))</f>
        <v>338</v>
      </c>
      <c r="B339" s="20" t="s">
        <v>567</v>
      </c>
      <c r="C339" s="14"/>
      <c r="D339" s="14" t="s">
        <v>298</v>
      </c>
      <c r="E339" s="21" t="s">
        <v>314</v>
      </c>
      <c r="F339" s="22" t="s">
        <v>330</v>
      </c>
      <c r="G339" s="16" t="s">
        <v>361</v>
      </c>
      <c r="H339" s="13">
        <v>35951</v>
      </c>
      <c r="I339" s="20" t="s">
        <v>491</v>
      </c>
      <c r="J339" s="14" t="s">
        <v>504</v>
      </c>
      <c r="K339" s="13">
        <v>44277</v>
      </c>
      <c r="L339" s="17">
        <v>60</v>
      </c>
      <c r="M339" s="13">
        <f t="shared" si="5"/>
        <v>44337</v>
      </c>
      <c r="N339" s="14"/>
      <c r="O339" s="16" t="s">
        <v>541</v>
      </c>
      <c r="P339" s="16"/>
      <c r="Q339" s="14"/>
      <c r="R339" s="13">
        <v>44285</v>
      </c>
      <c r="S339" s="13" t="s">
        <v>972</v>
      </c>
      <c r="T339" s="18"/>
    </row>
    <row r="340" spans="1:20" s="19" customFormat="1" ht="21" customHeight="1" x14ac:dyDescent="0.25">
      <c r="A340" s="12">
        <f>IF(B340="","",COUNTA($B$2:B340))</f>
        <v>339</v>
      </c>
      <c r="B340" s="20" t="s">
        <v>564</v>
      </c>
      <c r="C340" s="14"/>
      <c r="D340" s="14" t="s">
        <v>298</v>
      </c>
      <c r="E340" s="21" t="s">
        <v>311</v>
      </c>
      <c r="F340" s="22" t="s">
        <v>939</v>
      </c>
      <c r="G340" s="16" t="s">
        <v>964</v>
      </c>
      <c r="H340" s="13">
        <v>34304</v>
      </c>
      <c r="I340" s="20" t="s">
        <v>492</v>
      </c>
      <c r="J340" s="14" t="s">
        <v>504</v>
      </c>
      <c r="K340" s="13">
        <v>44277</v>
      </c>
      <c r="L340" s="17">
        <v>60</v>
      </c>
      <c r="M340" s="13">
        <f t="shared" si="5"/>
        <v>44337</v>
      </c>
      <c r="N340" s="14"/>
      <c r="O340" s="16" t="s">
        <v>938</v>
      </c>
      <c r="P340" s="16"/>
      <c r="Q340" s="14"/>
      <c r="R340" s="13">
        <v>44280</v>
      </c>
      <c r="S340" s="13" t="s">
        <v>972</v>
      </c>
      <c r="T340" s="18"/>
    </row>
    <row r="341" spans="1:20" s="19" customFormat="1" ht="21" customHeight="1" x14ac:dyDescent="0.25">
      <c r="A341" s="12">
        <f>IF(B341="","",COUNTA($B$2:B341))</f>
        <v>340</v>
      </c>
      <c r="B341" s="20" t="s">
        <v>566</v>
      </c>
      <c r="C341" s="14"/>
      <c r="D341" s="14" t="s">
        <v>299</v>
      </c>
      <c r="E341" s="21" t="s">
        <v>311</v>
      </c>
      <c r="F341" s="22" t="s">
        <v>939</v>
      </c>
      <c r="G341" s="16" t="s">
        <v>964</v>
      </c>
      <c r="H341" s="13">
        <v>36403</v>
      </c>
      <c r="I341" s="20" t="s">
        <v>492</v>
      </c>
      <c r="J341" s="14" t="s">
        <v>504</v>
      </c>
      <c r="K341" s="13">
        <v>44279</v>
      </c>
      <c r="L341" s="17">
        <v>60</v>
      </c>
      <c r="M341" s="13">
        <f t="shared" si="5"/>
        <v>44339</v>
      </c>
      <c r="N341" s="14"/>
      <c r="O341" s="16" t="s">
        <v>541</v>
      </c>
      <c r="P341" s="16"/>
      <c r="Q341" s="14"/>
      <c r="R341" s="13">
        <v>44284</v>
      </c>
      <c r="S341" s="13" t="s">
        <v>977</v>
      </c>
      <c r="T341" s="18"/>
    </row>
    <row r="342" spans="1:20" s="19" customFormat="1" ht="21" customHeight="1" x14ac:dyDescent="0.25">
      <c r="A342" s="12">
        <f>IF(B342="","",COUNTA($B$2:B342))</f>
        <v>341</v>
      </c>
      <c r="B342" s="20" t="s">
        <v>27</v>
      </c>
      <c r="C342" s="14"/>
      <c r="D342" s="14" t="s">
        <v>298</v>
      </c>
      <c r="E342" s="21" t="s">
        <v>301</v>
      </c>
      <c r="F342" s="22" t="s">
        <v>465</v>
      </c>
      <c r="G342" s="16" t="s">
        <v>470</v>
      </c>
      <c r="H342" s="13">
        <v>34250</v>
      </c>
      <c r="I342" s="20" t="s">
        <v>491</v>
      </c>
      <c r="J342" s="14" t="s">
        <v>504</v>
      </c>
      <c r="K342" s="13">
        <v>44281</v>
      </c>
      <c r="L342" s="17">
        <v>59</v>
      </c>
      <c r="M342" s="13">
        <f t="shared" si="5"/>
        <v>44340</v>
      </c>
      <c r="N342" s="14" t="s">
        <v>495</v>
      </c>
      <c r="O342" s="16" t="s">
        <v>538</v>
      </c>
      <c r="P342" s="16">
        <v>3</v>
      </c>
      <c r="Q342" s="14" t="s">
        <v>501</v>
      </c>
      <c r="R342" s="23"/>
      <c r="S342" s="23"/>
      <c r="T342" s="24"/>
    </row>
    <row r="343" spans="1:20" s="19" customFormat="1" ht="21" customHeight="1" x14ac:dyDescent="0.25">
      <c r="A343" s="12">
        <f>IF(B343="","",COUNTA($B$2:B343))</f>
        <v>342</v>
      </c>
      <c r="B343" s="13" t="s">
        <v>804</v>
      </c>
      <c r="C343" s="14"/>
      <c r="D343" s="14" t="s">
        <v>298</v>
      </c>
      <c r="E343" s="14" t="s">
        <v>310</v>
      </c>
      <c r="F343" s="22" t="s">
        <v>415</v>
      </c>
      <c r="G343" s="16" t="s">
        <v>418</v>
      </c>
      <c r="H343" s="13">
        <v>34637</v>
      </c>
      <c r="I343" s="14" t="s">
        <v>491</v>
      </c>
      <c r="J343" s="14" t="s">
        <v>504</v>
      </c>
      <c r="K343" s="13">
        <v>44281</v>
      </c>
      <c r="L343" s="17">
        <v>60</v>
      </c>
      <c r="M343" s="13">
        <f t="shared" si="5"/>
        <v>44341</v>
      </c>
      <c r="N343" s="14"/>
      <c r="O343" s="14" t="s">
        <v>538</v>
      </c>
      <c r="P343" s="14"/>
      <c r="Q343" s="14"/>
      <c r="R343" s="13">
        <v>44736</v>
      </c>
      <c r="S343" s="13" t="s">
        <v>973</v>
      </c>
      <c r="T343" s="18"/>
    </row>
    <row r="344" spans="1:20" s="19" customFormat="1" ht="21" customHeight="1" x14ac:dyDescent="0.25">
      <c r="A344" s="12">
        <f>IF(B344="","",COUNTA($B$2:B344))</f>
        <v>343</v>
      </c>
      <c r="B344" s="20" t="s">
        <v>202</v>
      </c>
      <c r="C344" s="14"/>
      <c r="D344" s="14" t="s">
        <v>299</v>
      </c>
      <c r="E344" s="21" t="s">
        <v>311</v>
      </c>
      <c r="F344" s="22" t="s">
        <v>317</v>
      </c>
      <c r="G344" s="21" t="s">
        <v>321</v>
      </c>
      <c r="H344" s="13">
        <v>31683</v>
      </c>
      <c r="I344" s="20" t="s">
        <v>492</v>
      </c>
      <c r="J344" s="14" t="s">
        <v>504</v>
      </c>
      <c r="K344" s="13">
        <v>44287</v>
      </c>
      <c r="L344" s="17">
        <v>60</v>
      </c>
      <c r="M344" s="13">
        <f t="shared" si="5"/>
        <v>44347</v>
      </c>
      <c r="N344" s="14" t="s">
        <v>495</v>
      </c>
      <c r="O344" s="16" t="s">
        <v>541</v>
      </c>
      <c r="P344" s="16">
        <v>3</v>
      </c>
      <c r="Q344" s="14" t="s">
        <v>501</v>
      </c>
      <c r="R344" s="23"/>
      <c r="S344" s="23"/>
      <c r="T344" s="24"/>
    </row>
    <row r="345" spans="1:20" s="19" customFormat="1" ht="21" customHeight="1" x14ac:dyDescent="0.25">
      <c r="A345" s="12">
        <f>IF(B345="","",COUNTA($B$2:B345))</f>
        <v>344</v>
      </c>
      <c r="B345" s="20" t="s">
        <v>257</v>
      </c>
      <c r="C345" s="14"/>
      <c r="D345" s="14" t="s">
        <v>298</v>
      </c>
      <c r="E345" s="21" t="s">
        <v>314</v>
      </c>
      <c r="F345" s="22" t="s">
        <v>328</v>
      </c>
      <c r="G345" s="16" t="s">
        <v>344</v>
      </c>
      <c r="H345" s="13">
        <v>33338</v>
      </c>
      <c r="I345" s="20" t="s">
        <v>491</v>
      </c>
      <c r="J345" s="14" t="s">
        <v>504</v>
      </c>
      <c r="K345" s="13">
        <v>44287</v>
      </c>
      <c r="L345" s="17">
        <v>60</v>
      </c>
      <c r="M345" s="13">
        <f t="shared" si="5"/>
        <v>44347</v>
      </c>
      <c r="N345" s="14" t="s">
        <v>495</v>
      </c>
      <c r="O345" s="16" t="s">
        <v>539</v>
      </c>
      <c r="P345" s="16">
        <v>3</v>
      </c>
      <c r="Q345" s="14" t="s">
        <v>501</v>
      </c>
      <c r="R345" s="23"/>
      <c r="S345" s="23"/>
      <c r="T345" s="24"/>
    </row>
    <row r="346" spans="1:20" s="19" customFormat="1" ht="21" customHeight="1" x14ac:dyDescent="0.25">
      <c r="A346" s="12">
        <f>IF(B346="","",COUNTA($B$2:B346))</f>
        <v>345</v>
      </c>
      <c r="B346" s="20" t="s">
        <v>516</v>
      </c>
      <c r="C346" s="14"/>
      <c r="D346" s="14" t="s">
        <v>298</v>
      </c>
      <c r="E346" s="21" t="s">
        <v>314</v>
      </c>
      <c r="F346" s="22" t="s">
        <v>327</v>
      </c>
      <c r="G346" s="16" t="s">
        <v>339</v>
      </c>
      <c r="H346" s="13">
        <v>36417</v>
      </c>
      <c r="I346" s="20" t="s">
        <v>492</v>
      </c>
      <c r="J346" s="14" t="s">
        <v>935</v>
      </c>
      <c r="K346" s="13">
        <v>44287</v>
      </c>
      <c r="L346" s="17">
        <v>60</v>
      </c>
      <c r="M346" s="13">
        <f t="shared" si="5"/>
        <v>44347</v>
      </c>
      <c r="N346" s="14" t="s">
        <v>495</v>
      </c>
      <c r="O346" s="16" t="s">
        <v>538</v>
      </c>
      <c r="P346" s="16">
        <v>3</v>
      </c>
      <c r="Q346" s="14" t="s">
        <v>501</v>
      </c>
      <c r="R346" s="13">
        <v>45215</v>
      </c>
      <c r="S346" s="13" t="s">
        <v>975</v>
      </c>
      <c r="T346" s="24"/>
    </row>
    <row r="347" spans="1:20" s="19" customFormat="1" ht="21" customHeight="1" x14ac:dyDescent="0.25">
      <c r="A347" s="12">
        <f>IF(B347="","",COUNTA($B$2:B347))</f>
        <v>346</v>
      </c>
      <c r="B347" s="13" t="s">
        <v>918</v>
      </c>
      <c r="C347" s="14"/>
      <c r="D347" s="14" t="s">
        <v>298</v>
      </c>
      <c r="E347" s="14" t="s">
        <v>306</v>
      </c>
      <c r="F347" s="15" t="s">
        <v>306</v>
      </c>
      <c r="G347" s="14" t="s">
        <v>315</v>
      </c>
      <c r="H347" s="13">
        <v>33338</v>
      </c>
      <c r="I347" s="14" t="s">
        <v>491</v>
      </c>
      <c r="J347" s="14" t="s">
        <v>504</v>
      </c>
      <c r="K347" s="13">
        <v>44287</v>
      </c>
      <c r="L347" s="17">
        <v>60</v>
      </c>
      <c r="M347" s="13">
        <f t="shared" si="5"/>
        <v>44347</v>
      </c>
      <c r="N347" s="14"/>
      <c r="O347" s="14" t="s">
        <v>538</v>
      </c>
      <c r="P347" s="14"/>
      <c r="Q347" s="14"/>
      <c r="R347" s="13">
        <v>45108</v>
      </c>
      <c r="S347" s="13" t="s">
        <v>972</v>
      </c>
      <c r="T347" s="24"/>
    </row>
    <row r="348" spans="1:20" s="19" customFormat="1" ht="21" customHeight="1" x14ac:dyDescent="0.25">
      <c r="A348" s="12">
        <f>IF(B348="","",COUNTA($B$2:B348))</f>
        <v>347</v>
      </c>
      <c r="B348" s="13" t="s">
        <v>917</v>
      </c>
      <c r="C348" s="14"/>
      <c r="D348" s="14" t="s">
        <v>298</v>
      </c>
      <c r="E348" s="14" t="s">
        <v>314</v>
      </c>
      <c r="F348" s="15" t="s">
        <v>327</v>
      </c>
      <c r="G348" s="16" t="s">
        <v>341</v>
      </c>
      <c r="H348" s="13">
        <v>35484</v>
      </c>
      <c r="I348" s="14" t="s">
        <v>492</v>
      </c>
      <c r="J348" s="14" t="s">
        <v>507</v>
      </c>
      <c r="K348" s="13">
        <v>44287</v>
      </c>
      <c r="L348" s="17">
        <v>60</v>
      </c>
      <c r="M348" s="13">
        <f t="shared" si="5"/>
        <v>44347</v>
      </c>
      <c r="N348" s="14"/>
      <c r="O348" s="14" t="s">
        <v>539</v>
      </c>
      <c r="P348" s="14"/>
      <c r="Q348" s="14"/>
      <c r="R348" s="13">
        <v>45106</v>
      </c>
      <c r="S348" s="13" t="s">
        <v>973</v>
      </c>
      <c r="T348" s="24"/>
    </row>
    <row r="349" spans="1:20" s="19" customFormat="1" ht="21" customHeight="1" x14ac:dyDescent="0.25">
      <c r="A349" s="12">
        <f>IF(B349="","",COUNTA($B$2:B349))</f>
        <v>348</v>
      </c>
      <c r="B349" s="13" t="s">
        <v>190</v>
      </c>
      <c r="C349" s="14"/>
      <c r="D349" s="14" t="s">
        <v>299</v>
      </c>
      <c r="E349" s="14" t="s">
        <v>311</v>
      </c>
      <c r="F349" s="22" t="s">
        <v>318</v>
      </c>
      <c r="G349" s="16" t="s">
        <v>320</v>
      </c>
      <c r="H349" s="13">
        <v>32225</v>
      </c>
      <c r="I349" s="14" t="s">
        <v>492</v>
      </c>
      <c r="J349" s="14" t="s">
        <v>504</v>
      </c>
      <c r="K349" s="13">
        <v>44287</v>
      </c>
      <c r="L349" s="17">
        <v>60</v>
      </c>
      <c r="M349" s="13">
        <f t="shared" si="5"/>
        <v>44347</v>
      </c>
      <c r="N349" s="14"/>
      <c r="O349" s="14" t="s">
        <v>538</v>
      </c>
      <c r="P349" s="14"/>
      <c r="Q349" s="14"/>
      <c r="R349" s="13">
        <v>44927</v>
      </c>
      <c r="S349" s="13" t="s">
        <v>975</v>
      </c>
      <c r="T349" s="18"/>
    </row>
    <row r="350" spans="1:20" s="19" customFormat="1" ht="21" customHeight="1" x14ac:dyDescent="0.25">
      <c r="A350" s="12">
        <f>IF(B350="","",COUNTA($B$2:B350))</f>
        <v>349</v>
      </c>
      <c r="B350" s="13" t="s">
        <v>785</v>
      </c>
      <c r="C350" s="14"/>
      <c r="D350" s="14" t="s">
        <v>298</v>
      </c>
      <c r="E350" s="14" t="s">
        <v>311</v>
      </c>
      <c r="F350" s="22" t="s">
        <v>317</v>
      </c>
      <c r="G350" s="16" t="s">
        <v>320</v>
      </c>
      <c r="H350" s="13">
        <v>32785</v>
      </c>
      <c r="I350" s="14" t="s">
        <v>491</v>
      </c>
      <c r="J350" s="14" t="s">
        <v>504</v>
      </c>
      <c r="K350" s="13">
        <v>44287</v>
      </c>
      <c r="L350" s="17">
        <v>60</v>
      </c>
      <c r="M350" s="13">
        <f t="shared" si="5"/>
        <v>44347</v>
      </c>
      <c r="N350" s="14"/>
      <c r="O350" s="14" t="s">
        <v>539</v>
      </c>
      <c r="P350" s="14"/>
      <c r="Q350" s="14"/>
      <c r="R350" s="13">
        <v>44697</v>
      </c>
      <c r="S350" s="13" t="s">
        <v>977</v>
      </c>
      <c r="T350" s="18"/>
    </row>
    <row r="351" spans="1:20" s="19" customFormat="1" ht="21" customHeight="1" x14ac:dyDescent="0.25">
      <c r="A351" s="12">
        <f>IF(B351="","",COUNTA($B$2:B351))</f>
        <v>350</v>
      </c>
      <c r="B351" s="13" t="s">
        <v>747</v>
      </c>
      <c r="C351" s="14"/>
      <c r="D351" s="14" t="s">
        <v>298</v>
      </c>
      <c r="E351" s="14" t="s">
        <v>313</v>
      </c>
      <c r="F351" s="15" t="s">
        <v>942</v>
      </c>
      <c r="G351" s="14" t="s">
        <v>960</v>
      </c>
      <c r="H351" s="13">
        <v>34594</v>
      </c>
      <c r="I351" s="14" t="s">
        <v>492</v>
      </c>
      <c r="J351" s="14" t="s">
        <v>504</v>
      </c>
      <c r="K351" s="13">
        <v>44287</v>
      </c>
      <c r="L351" s="17">
        <v>60</v>
      </c>
      <c r="M351" s="13">
        <f t="shared" si="5"/>
        <v>44347</v>
      </c>
      <c r="N351" s="14"/>
      <c r="O351" s="14" t="s">
        <v>541</v>
      </c>
      <c r="P351" s="14"/>
      <c r="Q351" s="14"/>
      <c r="R351" s="13">
        <v>44682</v>
      </c>
      <c r="S351" s="13" t="s">
        <v>975</v>
      </c>
      <c r="T351" s="18"/>
    </row>
    <row r="352" spans="1:20" s="19" customFormat="1" ht="21" customHeight="1" x14ac:dyDescent="0.25">
      <c r="A352" s="12">
        <f>IF(B352="","",COUNTA($B$2:B352))</f>
        <v>351</v>
      </c>
      <c r="B352" s="13" t="s">
        <v>748</v>
      </c>
      <c r="C352" s="14"/>
      <c r="D352" s="14" t="s">
        <v>298</v>
      </c>
      <c r="E352" s="14" t="s">
        <v>313</v>
      </c>
      <c r="F352" s="15" t="s">
        <v>942</v>
      </c>
      <c r="G352" s="14" t="s">
        <v>960</v>
      </c>
      <c r="H352" s="13">
        <v>32163</v>
      </c>
      <c r="I352" s="14" t="s">
        <v>492</v>
      </c>
      <c r="J352" s="14" t="s">
        <v>507</v>
      </c>
      <c r="K352" s="13">
        <v>44287</v>
      </c>
      <c r="L352" s="17">
        <v>60</v>
      </c>
      <c r="M352" s="13">
        <f t="shared" si="5"/>
        <v>44347</v>
      </c>
      <c r="N352" s="14"/>
      <c r="O352" s="14" t="s">
        <v>541</v>
      </c>
      <c r="P352" s="14"/>
      <c r="Q352" s="14"/>
      <c r="R352" s="13">
        <v>44682</v>
      </c>
      <c r="S352" s="13" t="s">
        <v>976</v>
      </c>
      <c r="T352" s="18"/>
    </row>
    <row r="353" spans="1:20" s="19" customFormat="1" ht="21" customHeight="1" x14ac:dyDescent="0.25">
      <c r="A353" s="12">
        <f>IF(B353="","",COUNTA($B$2:B353))</f>
        <v>352</v>
      </c>
      <c r="B353" s="13" t="s">
        <v>727</v>
      </c>
      <c r="C353" s="14"/>
      <c r="D353" s="14" t="s">
        <v>299</v>
      </c>
      <c r="E353" s="14" t="s">
        <v>311</v>
      </c>
      <c r="F353" s="22" t="s">
        <v>317</v>
      </c>
      <c r="G353" s="21" t="s">
        <v>320</v>
      </c>
      <c r="H353" s="13">
        <v>34107</v>
      </c>
      <c r="I353" s="14" t="s">
        <v>491</v>
      </c>
      <c r="J353" s="14" t="s">
        <v>504</v>
      </c>
      <c r="K353" s="13">
        <v>44287</v>
      </c>
      <c r="L353" s="17">
        <v>60</v>
      </c>
      <c r="M353" s="13">
        <f t="shared" si="5"/>
        <v>44347</v>
      </c>
      <c r="N353" s="14"/>
      <c r="O353" s="14" t="s">
        <v>541</v>
      </c>
      <c r="P353" s="14"/>
      <c r="Q353" s="14"/>
      <c r="R353" s="13">
        <v>44672</v>
      </c>
      <c r="S353" s="13" t="s">
        <v>976</v>
      </c>
      <c r="T353" s="18"/>
    </row>
    <row r="354" spans="1:20" s="19" customFormat="1" ht="21" customHeight="1" x14ac:dyDescent="0.25">
      <c r="A354" s="12">
        <f>IF(B354="","",COUNTA($B$2:B354))</f>
        <v>353</v>
      </c>
      <c r="B354" s="13" t="s">
        <v>701</v>
      </c>
      <c r="C354" s="14"/>
      <c r="D354" s="14" t="s">
        <v>298</v>
      </c>
      <c r="E354" s="14" t="s">
        <v>314</v>
      </c>
      <c r="F354" s="15" t="s">
        <v>327</v>
      </c>
      <c r="G354" s="16" t="s">
        <v>341</v>
      </c>
      <c r="H354" s="13">
        <v>35471</v>
      </c>
      <c r="I354" s="14" t="s">
        <v>492</v>
      </c>
      <c r="J354" s="14" t="s">
        <v>935</v>
      </c>
      <c r="K354" s="13">
        <v>44287</v>
      </c>
      <c r="L354" s="17">
        <v>60</v>
      </c>
      <c r="M354" s="13">
        <f t="shared" si="5"/>
        <v>44347</v>
      </c>
      <c r="N354" s="14"/>
      <c r="O354" s="14" t="s">
        <v>541</v>
      </c>
      <c r="P354" s="14"/>
      <c r="Q354" s="14"/>
      <c r="R354" s="13">
        <v>44630</v>
      </c>
      <c r="S354" s="13" t="s">
        <v>973</v>
      </c>
      <c r="T354" s="18"/>
    </row>
    <row r="355" spans="1:20" s="19" customFormat="1" ht="21" customHeight="1" x14ac:dyDescent="0.25">
      <c r="A355" s="12">
        <f>IF(B355="","",COUNTA($B$2:B355))</f>
        <v>354</v>
      </c>
      <c r="B355" s="13" t="s">
        <v>605</v>
      </c>
      <c r="C355" s="14"/>
      <c r="D355" s="14" t="s">
        <v>298</v>
      </c>
      <c r="E355" s="14" t="s">
        <v>304</v>
      </c>
      <c r="F355" s="22" t="s">
        <v>368</v>
      </c>
      <c r="G355" s="16" t="s">
        <v>378</v>
      </c>
      <c r="H355" s="13">
        <v>35243</v>
      </c>
      <c r="I355" s="14" t="s">
        <v>491</v>
      </c>
      <c r="J355" s="14" t="s">
        <v>504</v>
      </c>
      <c r="K355" s="13">
        <v>44287</v>
      </c>
      <c r="L355" s="17">
        <v>60</v>
      </c>
      <c r="M355" s="13">
        <f t="shared" si="5"/>
        <v>44347</v>
      </c>
      <c r="N355" s="14"/>
      <c r="O355" s="14" t="s">
        <v>539</v>
      </c>
      <c r="P355" s="14"/>
      <c r="Q355" s="14"/>
      <c r="R355" s="13">
        <v>44348</v>
      </c>
      <c r="S355" s="13" t="s">
        <v>973</v>
      </c>
      <c r="T355" s="18"/>
    </row>
    <row r="356" spans="1:20" s="19" customFormat="1" ht="21" customHeight="1" x14ac:dyDescent="0.25">
      <c r="A356" s="12">
        <f>IF(B356="","",COUNTA($B$2:B356))</f>
        <v>355</v>
      </c>
      <c r="B356" s="20" t="s">
        <v>592</v>
      </c>
      <c r="C356" s="14"/>
      <c r="D356" s="14" t="s">
        <v>299</v>
      </c>
      <c r="E356" s="21" t="s">
        <v>311</v>
      </c>
      <c r="F356" s="22" t="s">
        <v>316</v>
      </c>
      <c r="G356" s="16" t="s">
        <v>320</v>
      </c>
      <c r="H356" s="13">
        <v>34028</v>
      </c>
      <c r="I356" s="20" t="s">
        <v>492</v>
      </c>
      <c r="J356" s="14" t="s">
        <v>504</v>
      </c>
      <c r="K356" s="13">
        <v>44287</v>
      </c>
      <c r="L356" s="17">
        <v>60</v>
      </c>
      <c r="M356" s="13">
        <f t="shared" si="5"/>
        <v>44347</v>
      </c>
      <c r="N356" s="14"/>
      <c r="O356" s="16" t="s">
        <v>541</v>
      </c>
      <c r="P356" s="16"/>
      <c r="Q356" s="14"/>
      <c r="R356" s="13">
        <v>44322</v>
      </c>
      <c r="S356" s="13" t="s">
        <v>973</v>
      </c>
      <c r="T356" s="18"/>
    </row>
    <row r="357" spans="1:20" s="19" customFormat="1" ht="21" customHeight="1" x14ac:dyDescent="0.25">
      <c r="A357" s="12">
        <f>IF(B357="","",COUNTA($B$2:B357))</f>
        <v>356</v>
      </c>
      <c r="B357" s="20" t="s">
        <v>104</v>
      </c>
      <c r="C357" s="14"/>
      <c r="D357" s="14" t="s">
        <v>299</v>
      </c>
      <c r="E357" s="21" t="s">
        <v>309</v>
      </c>
      <c r="F357" s="22" t="s">
        <v>329</v>
      </c>
      <c r="G357" s="16" t="s">
        <v>405</v>
      </c>
      <c r="H357" s="13">
        <v>32568</v>
      </c>
      <c r="I357" s="20" t="s">
        <v>491</v>
      </c>
      <c r="J357" s="14" t="s">
        <v>504</v>
      </c>
      <c r="K357" s="13">
        <v>44291</v>
      </c>
      <c r="L357" s="17">
        <v>60</v>
      </c>
      <c r="M357" s="13">
        <f t="shared" si="5"/>
        <v>44351</v>
      </c>
      <c r="N357" s="14" t="s">
        <v>495</v>
      </c>
      <c r="O357" s="16" t="s">
        <v>538</v>
      </c>
      <c r="P357" s="16">
        <v>3</v>
      </c>
      <c r="Q357" s="14" t="s">
        <v>501</v>
      </c>
      <c r="R357" s="23"/>
      <c r="S357" s="23"/>
      <c r="T357" s="24"/>
    </row>
    <row r="358" spans="1:20" s="19" customFormat="1" ht="21" customHeight="1" x14ac:dyDescent="0.25">
      <c r="A358" s="12">
        <f>IF(B358="","",COUNTA($B$2:B358))</f>
        <v>357</v>
      </c>
      <c r="B358" s="20" t="s">
        <v>111</v>
      </c>
      <c r="C358" s="14"/>
      <c r="D358" s="14" t="s">
        <v>298</v>
      </c>
      <c r="E358" s="21" t="s">
        <v>310</v>
      </c>
      <c r="F358" s="22" t="s">
        <v>412</v>
      </c>
      <c r="G358" s="16" t="s">
        <v>420</v>
      </c>
      <c r="H358" s="13">
        <v>33944</v>
      </c>
      <c r="I358" s="20" t="s">
        <v>491</v>
      </c>
      <c r="J358" s="14" t="s">
        <v>504</v>
      </c>
      <c r="K358" s="13">
        <v>44291</v>
      </c>
      <c r="L358" s="17">
        <v>59</v>
      </c>
      <c r="M358" s="13">
        <f t="shared" si="5"/>
        <v>44350</v>
      </c>
      <c r="N358" s="14" t="s">
        <v>495</v>
      </c>
      <c r="O358" s="16" t="s">
        <v>539</v>
      </c>
      <c r="P358" s="16">
        <v>3</v>
      </c>
      <c r="Q358" s="14" t="s">
        <v>501</v>
      </c>
      <c r="R358" s="23"/>
      <c r="S358" s="23"/>
      <c r="T358" s="24"/>
    </row>
    <row r="359" spans="1:20" s="19" customFormat="1" ht="21" customHeight="1" x14ac:dyDescent="0.25">
      <c r="A359" s="12">
        <f>IF(B359="","",COUNTA($B$2:B359))</f>
        <v>358</v>
      </c>
      <c r="B359" s="20" t="s">
        <v>269</v>
      </c>
      <c r="C359" s="14"/>
      <c r="D359" s="14" t="s">
        <v>298</v>
      </c>
      <c r="E359" s="21" t="s">
        <v>314</v>
      </c>
      <c r="F359" s="22" t="s">
        <v>329</v>
      </c>
      <c r="G359" s="16" t="s">
        <v>354</v>
      </c>
      <c r="H359" s="13">
        <v>35856</v>
      </c>
      <c r="I359" s="20" t="s">
        <v>492</v>
      </c>
      <c r="J359" s="14" t="s">
        <v>507</v>
      </c>
      <c r="K359" s="13">
        <v>44291</v>
      </c>
      <c r="L359" s="17">
        <v>59</v>
      </c>
      <c r="M359" s="13">
        <f t="shared" si="5"/>
        <v>44350</v>
      </c>
      <c r="N359" s="14" t="s">
        <v>495</v>
      </c>
      <c r="O359" s="16" t="s">
        <v>539</v>
      </c>
      <c r="P359" s="16">
        <v>3</v>
      </c>
      <c r="Q359" s="14" t="s">
        <v>501</v>
      </c>
      <c r="R359" s="23"/>
      <c r="S359" s="23"/>
      <c r="T359" s="24"/>
    </row>
    <row r="360" spans="1:20" s="19" customFormat="1" ht="21" customHeight="1" x14ac:dyDescent="0.25">
      <c r="A360" s="12">
        <f>IF(B360="","",COUNTA($B$2:B360))</f>
        <v>359</v>
      </c>
      <c r="B360" s="20" t="s">
        <v>292</v>
      </c>
      <c r="C360" s="14"/>
      <c r="D360" s="14" t="s">
        <v>298</v>
      </c>
      <c r="E360" s="21" t="s">
        <v>314</v>
      </c>
      <c r="F360" s="22" t="s">
        <v>330</v>
      </c>
      <c r="G360" s="16" t="s">
        <v>363</v>
      </c>
      <c r="H360" s="13">
        <v>36146</v>
      </c>
      <c r="I360" s="20" t="s">
        <v>491</v>
      </c>
      <c r="J360" s="14" t="s">
        <v>504</v>
      </c>
      <c r="K360" s="13">
        <v>44291</v>
      </c>
      <c r="L360" s="17">
        <v>59</v>
      </c>
      <c r="M360" s="13">
        <f t="shared" si="5"/>
        <v>44350</v>
      </c>
      <c r="N360" s="14" t="s">
        <v>495</v>
      </c>
      <c r="O360" s="16" t="s">
        <v>539</v>
      </c>
      <c r="P360" s="16">
        <v>3</v>
      </c>
      <c r="Q360" s="14" t="s">
        <v>501</v>
      </c>
      <c r="R360" s="23"/>
      <c r="S360" s="23"/>
      <c r="T360" s="24"/>
    </row>
    <row r="361" spans="1:20" s="19" customFormat="1" ht="21" customHeight="1" x14ac:dyDescent="0.25">
      <c r="A361" s="12">
        <f>IF(B361="","",COUNTA($B$2:B361))</f>
        <v>360</v>
      </c>
      <c r="B361" s="13" t="s">
        <v>749</v>
      </c>
      <c r="C361" s="14"/>
      <c r="D361" s="14" t="s">
        <v>298</v>
      </c>
      <c r="E361" s="14" t="s">
        <v>313</v>
      </c>
      <c r="F361" s="15" t="s">
        <v>942</v>
      </c>
      <c r="G361" s="14" t="s">
        <v>960</v>
      </c>
      <c r="H361" s="13">
        <v>34178</v>
      </c>
      <c r="I361" s="14" t="s">
        <v>492</v>
      </c>
      <c r="J361" s="14" t="s">
        <v>507</v>
      </c>
      <c r="K361" s="13">
        <v>44291</v>
      </c>
      <c r="L361" s="17">
        <v>60</v>
      </c>
      <c r="M361" s="13">
        <f t="shared" si="5"/>
        <v>44351</v>
      </c>
      <c r="N361" s="14"/>
      <c r="O361" s="14" t="s">
        <v>541</v>
      </c>
      <c r="P361" s="14"/>
      <c r="Q361" s="14"/>
      <c r="R361" s="13">
        <v>44682</v>
      </c>
      <c r="S361" s="13" t="s">
        <v>973</v>
      </c>
      <c r="T361" s="18"/>
    </row>
    <row r="362" spans="1:20" s="19" customFormat="1" ht="21" customHeight="1" x14ac:dyDescent="0.25">
      <c r="A362" s="12">
        <f>IF(B362="","",COUNTA($B$2:B362))</f>
        <v>361</v>
      </c>
      <c r="B362" s="13" t="s">
        <v>713</v>
      </c>
      <c r="C362" s="14"/>
      <c r="D362" s="14" t="s">
        <v>299</v>
      </c>
      <c r="E362" s="14" t="s">
        <v>314</v>
      </c>
      <c r="F362" s="15" t="s">
        <v>327</v>
      </c>
      <c r="G362" s="16" t="s">
        <v>340</v>
      </c>
      <c r="H362" s="13">
        <v>37072</v>
      </c>
      <c r="I362" s="14" t="s">
        <v>491</v>
      </c>
      <c r="J362" s="14" t="s">
        <v>504</v>
      </c>
      <c r="K362" s="13">
        <v>44291</v>
      </c>
      <c r="L362" s="17">
        <v>60</v>
      </c>
      <c r="M362" s="13">
        <f t="shared" si="5"/>
        <v>44351</v>
      </c>
      <c r="N362" s="14"/>
      <c r="O362" s="14" t="s">
        <v>541</v>
      </c>
      <c r="P362" s="14"/>
      <c r="Q362" s="14"/>
      <c r="R362" s="13">
        <v>44651</v>
      </c>
      <c r="S362" s="13" t="s">
        <v>975</v>
      </c>
      <c r="T362" s="18"/>
    </row>
    <row r="363" spans="1:20" s="19" customFormat="1" ht="21" customHeight="1" x14ac:dyDescent="0.25">
      <c r="A363" s="12">
        <f>IF(B363="","",COUNTA($B$2:B363))</f>
        <v>362</v>
      </c>
      <c r="B363" s="13" t="s">
        <v>714</v>
      </c>
      <c r="C363" s="14"/>
      <c r="D363" s="14" t="s">
        <v>299</v>
      </c>
      <c r="E363" s="14" t="s">
        <v>314</v>
      </c>
      <c r="F363" s="15" t="s">
        <v>328</v>
      </c>
      <c r="G363" s="16" t="s">
        <v>349</v>
      </c>
      <c r="H363" s="13">
        <v>34249</v>
      </c>
      <c r="I363" s="14" t="s">
        <v>492</v>
      </c>
      <c r="J363" s="14" t="s">
        <v>504</v>
      </c>
      <c r="K363" s="13">
        <v>44291</v>
      </c>
      <c r="L363" s="17">
        <v>60</v>
      </c>
      <c r="M363" s="13">
        <f t="shared" si="5"/>
        <v>44351</v>
      </c>
      <c r="N363" s="14"/>
      <c r="O363" s="14" t="s">
        <v>541</v>
      </c>
      <c r="P363" s="14"/>
      <c r="Q363" s="14"/>
      <c r="R363" s="13">
        <v>44651</v>
      </c>
      <c r="S363" s="13" t="s">
        <v>975</v>
      </c>
      <c r="T363" s="18"/>
    </row>
    <row r="364" spans="1:20" s="19" customFormat="1" ht="21" customHeight="1" x14ac:dyDescent="0.25">
      <c r="A364" s="12">
        <f>IF(B364="","",COUNTA($B$2:B364))</f>
        <v>363</v>
      </c>
      <c r="B364" s="13" t="s">
        <v>695</v>
      </c>
      <c r="C364" s="14"/>
      <c r="D364" s="14" t="s">
        <v>300</v>
      </c>
      <c r="E364" s="14" t="s">
        <v>311</v>
      </c>
      <c r="F364" s="22" t="s">
        <v>939</v>
      </c>
      <c r="G364" s="16" t="s">
        <v>964</v>
      </c>
      <c r="H364" s="13">
        <v>32932</v>
      </c>
      <c r="I364" s="14" t="s">
        <v>492</v>
      </c>
      <c r="J364" s="14" t="s">
        <v>507</v>
      </c>
      <c r="K364" s="13">
        <v>44291</v>
      </c>
      <c r="L364" s="17">
        <v>60</v>
      </c>
      <c r="M364" s="13">
        <f t="shared" si="5"/>
        <v>44351</v>
      </c>
      <c r="N364" s="14"/>
      <c r="O364" s="14" t="s">
        <v>541</v>
      </c>
      <c r="P364" s="14"/>
      <c r="Q364" s="14"/>
      <c r="R364" s="13">
        <v>44621</v>
      </c>
      <c r="S364" s="13" t="s">
        <v>973</v>
      </c>
      <c r="T364" s="18"/>
    </row>
    <row r="365" spans="1:20" s="19" customFormat="1" ht="21" customHeight="1" x14ac:dyDescent="0.25">
      <c r="A365" s="12">
        <f>IF(B365="","",COUNTA($B$2:B365))</f>
        <v>364</v>
      </c>
      <c r="B365" s="13" t="s">
        <v>680</v>
      </c>
      <c r="C365" s="14"/>
      <c r="D365" s="14" t="s">
        <v>298</v>
      </c>
      <c r="E365" s="14" t="s">
        <v>314</v>
      </c>
      <c r="F365" s="22" t="s">
        <v>330</v>
      </c>
      <c r="G365" s="16" t="s">
        <v>361</v>
      </c>
      <c r="H365" s="13">
        <v>36015</v>
      </c>
      <c r="I365" s="14" t="s">
        <v>491</v>
      </c>
      <c r="J365" s="14" t="s">
        <v>504</v>
      </c>
      <c r="K365" s="13">
        <v>44291</v>
      </c>
      <c r="L365" s="17">
        <v>60</v>
      </c>
      <c r="M365" s="13">
        <f t="shared" si="5"/>
        <v>44351</v>
      </c>
      <c r="N365" s="14"/>
      <c r="O365" s="14" t="s">
        <v>539</v>
      </c>
      <c r="P365" s="14"/>
      <c r="Q365" s="14"/>
      <c r="R365" s="13">
        <v>44593</v>
      </c>
      <c r="S365" s="13" t="s">
        <v>973</v>
      </c>
      <c r="T365" s="18"/>
    </row>
    <row r="366" spans="1:20" s="19" customFormat="1" ht="21" customHeight="1" x14ac:dyDescent="0.25">
      <c r="A366" s="12">
        <f>IF(B366="","",COUNTA($B$2:B366))</f>
        <v>365</v>
      </c>
      <c r="B366" s="20" t="s">
        <v>582</v>
      </c>
      <c r="C366" s="14"/>
      <c r="D366" s="14" t="s">
        <v>298</v>
      </c>
      <c r="E366" s="21" t="s">
        <v>314</v>
      </c>
      <c r="F366" s="22" t="s">
        <v>330</v>
      </c>
      <c r="G366" s="16" t="s">
        <v>361</v>
      </c>
      <c r="H366" s="13">
        <v>34938</v>
      </c>
      <c r="I366" s="20" t="s">
        <v>491</v>
      </c>
      <c r="J366" s="14" t="s">
        <v>504</v>
      </c>
      <c r="K366" s="13">
        <v>44291</v>
      </c>
      <c r="L366" s="17">
        <v>60</v>
      </c>
      <c r="M366" s="13">
        <f t="shared" si="5"/>
        <v>44351</v>
      </c>
      <c r="N366" s="14"/>
      <c r="O366" s="16" t="s">
        <v>539</v>
      </c>
      <c r="P366" s="16"/>
      <c r="Q366" s="14"/>
      <c r="R366" s="13">
        <v>44299</v>
      </c>
      <c r="S366" s="13" t="s">
        <v>977</v>
      </c>
      <c r="T366" s="18"/>
    </row>
    <row r="367" spans="1:20" s="19" customFormat="1" ht="21" customHeight="1" x14ac:dyDescent="0.25">
      <c r="A367" s="12">
        <f>IF(B367="","",COUNTA($B$2:B367))</f>
        <v>366</v>
      </c>
      <c r="B367" s="13" t="s">
        <v>616</v>
      </c>
      <c r="C367" s="14"/>
      <c r="D367" s="14" t="s">
        <v>299</v>
      </c>
      <c r="E367" s="14" t="s">
        <v>311</v>
      </c>
      <c r="F367" s="22" t="s">
        <v>316</v>
      </c>
      <c r="G367" s="16" t="s">
        <v>320</v>
      </c>
      <c r="H367" s="13">
        <v>34265</v>
      </c>
      <c r="I367" s="14" t="s">
        <v>491</v>
      </c>
      <c r="J367" s="14" t="s">
        <v>504</v>
      </c>
      <c r="K367" s="13">
        <v>44293</v>
      </c>
      <c r="L367" s="17">
        <v>60</v>
      </c>
      <c r="M367" s="13">
        <f t="shared" si="5"/>
        <v>44353</v>
      </c>
      <c r="N367" s="14"/>
      <c r="O367" s="14"/>
      <c r="P367" s="14"/>
      <c r="Q367" s="14"/>
      <c r="R367" s="13">
        <v>44377</v>
      </c>
      <c r="S367" s="13" t="s">
        <v>972</v>
      </c>
      <c r="T367" s="18"/>
    </row>
    <row r="368" spans="1:20" s="19" customFormat="1" ht="21" customHeight="1" x14ac:dyDescent="0.25">
      <c r="A368" s="12">
        <f>IF(B368="","",COUNTA($B$2:B368))</f>
        <v>367</v>
      </c>
      <c r="B368" s="20" t="s">
        <v>595</v>
      </c>
      <c r="C368" s="14"/>
      <c r="D368" s="14" t="s">
        <v>299</v>
      </c>
      <c r="E368" s="21" t="s">
        <v>311</v>
      </c>
      <c r="F368" s="22" t="s">
        <v>318</v>
      </c>
      <c r="G368" s="16" t="s">
        <v>320</v>
      </c>
      <c r="H368" s="13">
        <v>33604</v>
      </c>
      <c r="I368" s="20" t="s">
        <v>492</v>
      </c>
      <c r="J368" s="14" t="s">
        <v>504</v>
      </c>
      <c r="K368" s="13">
        <v>44293</v>
      </c>
      <c r="L368" s="17">
        <v>60</v>
      </c>
      <c r="M368" s="13">
        <f t="shared" si="5"/>
        <v>44353</v>
      </c>
      <c r="N368" s="14"/>
      <c r="O368" s="16"/>
      <c r="P368" s="16"/>
      <c r="Q368" s="14"/>
      <c r="R368" s="13">
        <v>44326</v>
      </c>
      <c r="S368" s="13" t="s">
        <v>973</v>
      </c>
      <c r="T368" s="18"/>
    </row>
    <row r="369" spans="1:20" s="19" customFormat="1" ht="21" customHeight="1" x14ac:dyDescent="0.25">
      <c r="A369" s="12">
        <f>IF(B369="","",COUNTA($B$2:B369))</f>
        <v>368</v>
      </c>
      <c r="B369" s="20" t="s">
        <v>70</v>
      </c>
      <c r="C369" s="14"/>
      <c r="D369" s="14" t="s">
        <v>298</v>
      </c>
      <c r="E369" s="21" t="s">
        <v>307</v>
      </c>
      <c r="F369" s="22" t="s">
        <v>434</v>
      </c>
      <c r="G369" s="16" t="s">
        <v>439</v>
      </c>
      <c r="H369" s="13">
        <v>35473</v>
      </c>
      <c r="I369" s="20" t="s">
        <v>491</v>
      </c>
      <c r="J369" s="14" t="s">
        <v>504</v>
      </c>
      <c r="K369" s="13">
        <v>44294</v>
      </c>
      <c r="L369" s="17">
        <v>60</v>
      </c>
      <c r="M369" s="13">
        <f t="shared" si="5"/>
        <v>44354</v>
      </c>
      <c r="N369" s="14" t="s">
        <v>495</v>
      </c>
      <c r="O369" s="16" t="s">
        <v>538</v>
      </c>
      <c r="P369" s="16">
        <v>3</v>
      </c>
      <c r="Q369" s="14" t="s">
        <v>501</v>
      </c>
      <c r="R369" s="23"/>
      <c r="S369" s="23"/>
      <c r="T369" s="24"/>
    </row>
    <row r="370" spans="1:20" s="19" customFormat="1" ht="21" customHeight="1" x14ac:dyDescent="0.25">
      <c r="A370" s="12">
        <f>IF(B370="","",COUNTA($B$2:B370))</f>
        <v>369</v>
      </c>
      <c r="B370" s="13" t="s">
        <v>900</v>
      </c>
      <c r="C370" s="14"/>
      <c r="D370" s="14" t="s">
        <v>298</v>
      </c>
      <c r="E370" s="14" t="s">
        <v>307</v>
      </c>
      <c r="F370" s="15" t="s">
        <v>434</v>
      </c>
      <c r="G370" s="16" t="s">
        <v>440</v>
      </c>
      <c r="H370" s="13">
        <v>34547</v>
      </c>
      <c r="I370" s="14" t="s">
        <v>491</v>
      </c>
      <c r="J370" s="14" t="s">
        <v>504</v>
      </c>
      <c r="K370" s="13">
        <v>44294</v>
      </c>
      <c r="L370" s="17">
        <v>60</v>
      </c>
      <c r="M370" s="13">
        <f t="shared" si="5"/>
        <v>44354</v>
      </c>
      <c r="N370" s="14"/>
      <c r="O370" s="14" t="s">
        <v>539</v>
      </c>
      <c r="P370" s="14"/>
      <c r="Q370" s="14"/>
      <c r="R370" s="13">
        <v>45051</v>
      </c>
      <c r="S370" s="13" t="s">
        <v>973</v>
      </c>
      <c r="T370" s="24"/>
    </row>
    <row r="371" spans="1:20" s="19" customFormat="1" ht="21" customHeight="1" x14ac:dyDescent="0.25">
      <c r="A371" s="12">
        <f>IF(B371="","",COUNTA($B$2:B371))</f>
        <v>370</v>
      </c>
      <c r="B371" s="13" t="s">
        <v>193</v>
      </c>
      <c r="C371" s="14"/>
      <c r="D371" s="14" t="s">
        <v>299</v>
      </c>
      <c r="E371" s="14" t="s">
        <v>311</v>
      </c>
      <c r="F371" s="22" t="s">
        <v>318</v>
      </c>
      <c r="G371" s="16" t="s">
        <v>320</v>
      </c>
      <c r="H371" s="13">
        <v>33253</v>
      </c>
      <c r="I371" s="14" t="s">
        <v>492</v>
      </c>
      <c r="J371" s="14" t="s">
        <v>504</v>
      </c>
      <c r="K371" s="13">
        <v>44298</v>
      </c>
      <c r="L371" s="17">
        <v>60</v>
      </c>
      <c r="M371" s="13">
        <f t="shared" si="5"/>
        <v>44358</v>
      </c>
      <c r="N371" s="14"/>
      <c r="O371" s="14" t="s">
        <v>538</v>
      </c>
      <c r="P371" s="14"/>
      <c r="Q371" s="14"/>
      <c r="R371" s="13">
        <v>44958</v>
      </c>
      <c r="S371" s="13" t="s">
        <v>973</v>
      </c>
      <c r="T371" s="18"/>
    </row>
    <row r="372" spans="1:20" s="19" customFormat="1" ht="21" customHeight="1" x14ac:dyDescent="0.25">
      <c r="A372" s="12">
        <f>IF(B372="","",COUNTA($B$2:B372))</f>
        <v>371</v>
      </c>
      <c r="B372" s="13" t="s">
        <v>864</v>
      </c>
      <c r="C372" s="14"/>
      <c r="D372" s="14" t="s">
        <v>299</v>
      </c>
      <c r="E372" s="14" t="s">
        <v>311</v>
      </c>
      <c r="F372" s="22" t="s">
        <v>318</v>
      </c>
      <c r="G372" s="16" t="s">
        <v>320</v>
      </c>
      <c r="H372" s="13">
        <v>33854</v>
      </c>
      <c r="I372" s="14" t="s">
        <v>492</v>
      </c>
      <c r="J372" s="14" t="s">
        <v>504</v>
      </c>
      <c r="K372" s="13">
        <v>44298</v>
      </c>
      <c r="L372" s="17">
        <v>60</v>
      </c>
      <c r="M372" s="13">
        <f t="shared" si="5"/>
        <v>44358</v>
      </c>
      <c r="N372" s="14"/>
      <c r="O372" s="14"/>
      <c r="P372" s="14"/>
      <c r="Q372" s="14"/>
      <c r="R372" s="13">
        <v>44911</v>
      </c>
      <c r="S372" s="13" t="s">
        <v>975</v>
      </c>
      <c r="T372" s="18"/>
    </row>
    <row r="373" spans="1:20" s="19" customFormat="1" ht="21" customHeight="1" x14ac:dyDescent="0.25">
      <c r="A373" s="12">
        <f>IF(B373="","",COUNTA($B$2:B373))</f>
        <v>372</v>
      </c>
      <c r="B373" s="13" t="s">
        <v>818</v>
      </c>
      <c r="C373" s="14"/>
      <c r="D373" s="14" t="s">
        <v>299</v>
      </c>
      <c r="E373" s="14" t="s">
        <v>313</v>
      </c>
      <c r="F373" s="15" t="s">
        <v>449</v>
      </c>
      <c r="G373" s="14" t="s">
        <v>960</v>
      </c>
      <c r="H373" s="13">
        <v>31936</v>
      </c>
      <c r="I373" s="14" t="s">
        <v>492</v>
      </c>
      <c r="J373" s="14" t="s">
        <v>504</v>
      </c>
      <c r="K373" s="13">
        <v>44298</v>
      </c>
      <c r="L373" s="17">
        <v>60</v>
      </c>
      <c r="M373" s="13">
        <f t="shared" si="5"/>
        <v>44358</v>
      </c>
      <c r="N373" s="14"/>
      <c r="O373" s="14" t="s">
        <v>538</v>
      </c>
      <c r="P373" s="14"/>
      <c r="Q373" s="14"/>
      <c r="R373" s="13">
        <v>44774</v>
      </c>
      <c r="S373" s="13" t="s">
        <v>975</v>
      </c>
      <c r="T373" s="18"/>
    </row>
    <row r="374" spans="1:20" s="19" customFormat="1" ht="21" customHeight="1" x14ac:dyDescent="0.25">
      <c r="A374" s="12">
        <f>IF(B374="","",COUNTA($B$2:B374))</f>
        <v>373</v>
      </c>
      <c r="B374" s="13" t="s">
        <v>816</v>
      </c>
      <c r="C374" s="14"/>
      <c r="D374" s="14" t="s">
        <v>299</v>
      </c>
      <c r="E374" s="14" t="s">
        <v>311</v>
      </c>
      <c r="F374" s="22" t="s">
        <v>318</v>
      </c>
      <c r="G374" s="16" t="s">
        <v>320</v>
      </c>
      <c r="H374" s="13">
        <v>33540</v>
      </c>
      <c r="I374" s="14" t="s">
        <v>492</v>
      </c>
      <c r="J374" s="14" t="s">
        <v>504</v>
      </c>
      <c r="K374" s="13">
        <v>44298</v>
      </c>
      <c r="L374" s="17">
        <v>60</v>
      </c>
      <c r="M374" s="13">
        <f t="shared" si="5"/>
        <v>44358</v>
      </c>
      <c r="N374" s="14"/>
      <c r="O374" s="14"/>
      <c r="P374" s="14"/>
      <c r="Q374" s="14"/>
      <c r="R374" s="13">
        <v>44773</v>
      </c>
      <c r="S374" s="13" t="s">
        <v>975</v>
      </c>
      <c r="T374" s="18"/>
    </row>
    <row r="375" spans="1:20" s="19" customFormat="1" ht="21" customHeight="1" x14ac:dyDescent="0.25">
      <c r="A375" s="12">
        <f>IF(B375="","",COUNTA($B$2:B375))</f>
        <v>374</v>
      </c>
      <c r="B375" s="13" t="s">
        <v>177</v>
      </c>
      <c r="C375" s="14"/>
      <c r="D375" s="14" t="s">
        <v>300</v>
      </c>
      <c r="E375" s="14" t="s">
        <v>311</v>
      </c>
      <c r="F375" s="22" t="s">
        <v>318</v>
      </c>
      <c r="G375" s="16" t="s">
        <v>320</v>
      </c>
      <c r="H375" s="13">
        <v>34490</v>
      </c>
      <c r="I375" s="14" t="s">
        <v>492</v>
      </c>
      <c r="J375" s="14" t="s">
        <v>504</v>
      </c>
      <c r="K375" s="13">
        <v>44298</v>
      </c>
      <c r="L375" s="17">
        <v>60</v>
      </c>
      <c r="M375" s="13">
        <f t="shared" si="5"/>
        <v>44358</v>
      </c>
      <c r="N375" s="14"/>
      <c r="O375" s="14"/>
      <c r="P375" s="14"/>
      <c r="Q375" s="14"/>
      <c r="R375" s="13">
        <v>44743</v>
      </c>
      <c r="S375" s="13" t="s">
        <v>972</v>
      </c>
      <c r="T375" s="18"/>
    </row>
    <row r="376" spans="1:20" s="19" customFormat="1" ht="21" customHeight="1" x14ac:dyDescent="0.25">
      <c r="A376" s="12">
        <f>IF(B376="","",COUNTA($B$2:B376))</f>
        <v>375</v>
      </c>
      <c r="B376" s="13" t="s">
        <v>754</v>
      </c>
      <c r="C376" s="14"/>
      <c r="D376" s="14" t="s">
        <v>300</v>
      </c>
      <c r="E376" s="14" t="s">
        <v>313</v>
      </c>
      <c r="F376" s="15" t="s">
        <v>942</v>
      </c>
      <c r="G376" s="14" t="s">
        <v>960</v>
      </c>
      <c r="H376" s="13">
        <v>33562</v>
      </c>
      <c r="I376" s="14" t="s">
        <v>492</v>
      </c>
      <c r="J376" s="14" t="s">
        <v>504</v>
      </c>
      <c r="K376" s="13">
        <v>44298</v>
      </c>
      <c r="L376" s="17">
        <v>60</v>
      </c>
      <c r="M376" s="13">
        <f t="shared" si="5"/>
        <v>44358</v>
      </c>
      <c r="N376" s="14"/>
      <c r="O376" s="14"/>
      <c r="P376" s="14"/>
      <c r="Q376" s="14"/>
      <c r="R376" s="13">
        <v>44682</v>
      </c>
      <c r="S376" s="13" t="s">
        <v>972</v>
      </c>
      <c r="T376" s="18"/>
    </row>
    <row r="377" spans="1:20" s="19" customFormat="1" ht="21" customHeight="1" x14ac:dyDescent="0.25">
      <c r="A377" s="12">
        <f>IF(B377="","",COUNTA($B$2:B377))</f>
        <v>376</v>
      </c>
      <c r="B377" s="13" t="s">
        <v>767</v>
      </c>
      <c r="C377" s="14"/>
      <c r="D377" s="14" t="s">
        <v>300</v>
      </c>
      <c r="E377" s="14" t="s">
        <v>313</v>
      </c>
      <c r="F377" s="15" t="s">
        <v>942</v>
      </c>
      <c r="G377" s="14" t="s">
        <v>960</v>
      </c>
      <c r="H377" s="13">
        <v>35422</v>
      </c>
      <c r="I377" s="14" t="s">
        <v>492</v>
      </c>
      <c r="J377" s="14" t="s">
        <v>507</v>
      </c>
      <c r="K377" s="13">
        <v>44298</v>
      </c>
      <c r="L377" s="17">
        <v>60</v>
      </c>
      <c r="M377" s="13">
        <f t="shared" si="5"/>
        <v>44358</v>
      </c>
      <c r="N377" s="14"/>
      <c r="O377" s="14" t="s">
        <v>539</v>
      </c>
      <c r="P377" s="14"/>
      <c r="Q377" s="14"/>
      <c r="R377" s="13">
        <v>44682</v>
      </c>
      <c r="S377" s="13" t="s">
        <v>977</v>
      </c>
      <c r="T377" s="18"/>
    </row>
    <row r="378" spans="1:20" s="19" customFormat="1" ht="21" customHeight="1" x14ac:dyDescent="0.25">
      <c r="A378" s="12">
        <f>IF(B378="","",COUNTA($B$2:B378))</f>
        <v>377</v>
      </c>
      <c r="B378" s="20" t="s">
        <v>91</v>
      </c>
      <c r="C378" s="14"/>
      <c r="D378" s="14" t="s">
        <v>298</v>
      </c>
      <c r="E378" s="21" t="s">
        <v>309</v>
      </c>
      <c r="F378" s="22" t="s">
        <v>399</v>
      </c>
      <c r="G378" s="16" t="s">
        <v>402</v>
      </c>
      <c r="H378" s="13">
        <v>33560</v>
      </c>
      <c r="I378" s="20" t="s">
        <v>491</v>
      </c>
      <c r="J378" s="14" t="s">
        <v>504</v>
      </c>
      <c r="K378" s="13">
        <v>44299</v>
      </c>
      <c r="L378" s="17">
        <v>59</v>
      </c>
      <c r="M378" s="13">
        <f t="shared" si="5"/>
        <v>44358</v>
      </c>
      <c r="N378" s="14" t="s">
        <v>495</v>
      </c>
      <c r="O378" s="16" t="s">
        <v>538</v>
      </c>
      <c r="P378" s="16">
        <v>3</v>
      </c>
      <c r="Q378" s="14" t="s">
        <v>501</v>
      </c>
      <c r="R378" s="23"/>
      <c r="S378" s="23"/>
      <c r="T378" s="24"/>
    </row>
    <row r="379" spans="1:20" s="19" customFormat="1" ht="21" customHeight="1" x14ac:dyDescent="0.25">
      <c r="A379" s="12">
        <f>IF(B379="","",COUNTA($B$2:B379))</f>
        <v>378</v>
      </c>
      <c r="B379" s="20" t="s">
        <v>203</v>
      </c>
      <c r="C379" s="14"/>
      <c r="D379" s="14" t="s">
        <v>299</v>
      </c>
      <c r="E379" s="21" t="s">
        <v>311</v>
      </c>
      <c r="F379" s="22" t="s">
        <v>316</v>
      </c>
      <c r="G379" s="16" t="s">
        <v>320</v>
      </c>
      <c r="H379" s="13">
        <v>34314</v>
      </c>
      <c r="I379" s="20" t="s">
        <v>491</v>
      </c>
      <c r="J379" s="14" t="s">
        <v>504</v>
      </c>
      <c r="K379" s="13">
        <v>44300</v>
      </c>
      <c r="L379" s="17">
        <v>59</v>
      </c>
      <c r="M379" s="13">
        <f t="shared" si="5"/>
        <v>44359</v>
      </c>
      <c r="N379" s="14" t="s">
        <v>495</v>
      </c>
      <c r="O379" s="16" t="s">
        <v>539</v>
      </c>
      <c r="P379" s="16">
        <v>3</v>
      </c>
      <c r="Q379" s="14" t="s">
        <v>501</v>
      </c>
      <c r="R379" s="23"/>
      <c r="S379" s="23"/>
      <c r="T379" s="24"/>
    </row>
    <row r="380" spans="1:20" s="19" customFormat="1" ht="21" customHeight="1" x14ac:dyDescent="0.25">
      <c r="A380" s="12">
        <f>IF(B380="","",COUNTA($B$2:B380))</f>
        <v>379</v>
      </c>
      <c r="B380" s="13" t="s">
        <v>887</v>
      </c>
      <c r="C380" s="14"/>
      <c r="D380" s="14" t="s">
        <v>298</v>
      </c>
      <c r="E380" s="14" t="s">
        <v>310</v>
      </c>
      <c r="F380" s="15" t="s">
        <v>310</v>
      </c>
      <c r="G380" s="26" t="s">
        <v>315</v>
      </c>
      <c r="H380" s="13">
        <v>33193</v>
      </c>
      <c r="I380" s="14" t="s">
        <v>491</v>
      </c>
      <c r="J380" s="14" t="s">
        <v>504</v>
      </c>
      <c r="K380" s="13">
        <v>44300</v>
      </c>
      <c r="L380" s="17">
        <v>60</v>
      </c>
      <c r="M380" s="13">
        <f t="shared" si="5"/>
        <v>44360</v>
      </c>
      <c r="N380" s="14"/>
      <c r="O380" s="14" t="s">
        <v>538</v>
      </c>
      <c r="P380" s="14"/>
      <c r="Q380" s="14"/>
      <c r="R380" s="13">
        <v>45000</v>
      </c>
      <c r="S380" s="13" t="s">
        <v>975</v>
      </c>
      <c r="T380" s="24"/>
    </row>
    <row r="381" spans="1:20" s="19" customFormat="1" ht="21" customHeight="1" x14ac:dyDescent="0.25">
      <c r="A381" s="12">
        <f>IF(B381="","",COUNTA($B$2:B381))</f>
        <v>380</v>
      </c>
      <c r="B381" s="13" t="s">
        <v>681</v>
      </c>
      <c r="C381" s="14"/>
      <c r="D381" s="14" t="s">
        <v>298</v>
      </c>
      <c r="E381" s="14" t="s">
        <v>314</v>
      </c>
      <c r="F381" s="22" t="s">
        <v>330</v>
      </c>
      <c r="G381" s="16" t="s">
        <v>361</v>
      </c>
      <c r="H381" s="13">
        <v>35626</v>
      </c>
      <c r="I381" s="14" t="s">
        <v>491</v>
      </c>
      <c r="J381" s="14" t="s">
        <v>504</v>
      </c>
      <c r="K381" s="13">
        <v>44300</v>
      </c>
      <c r="L381" s="17">
        <v>60</v>
      </c>
      <c r="M381" s="13">
        <f t="shared" si="5"/>
        <v>44360</v>
      </c>
      <c r="N381" s="14"/>
      <c r="O381" s="14" t="s">
        <v>539</v>
      </c>
      <c r="P381" s="14"/>
      <c r="Q381" s="14"/>
      <c r="R381" s="13">
        <v>44593</v>
      </c>
      <c r="S381" s="13" t="s">
        <v>977</v>
      </c>
      <c r="T381" s="18"/>
    </row>
    <row r="382" spans="1:20" s="19" customFormat="1" ht="21" customHeight="1" x14ac:dyDescent="0.25">
      <c r="A382" s="12">
        <f>IF(B382="","",COUNTA($B$2:B382))</f>
        <v>381</v>
      </c>
      <c r="B382" s="13" t="s">
        <v>631</v>
      </c>
      <c r="C382" s="14"/>
      <c r="D382" s="14" t="s">
        <v>298</v>
      </c>
      <c r="E382" s="14" t="s">
        <v>314</v>
      </c>
      <c r="F382" s="15" t="s">
        <v>327</v>
      </c>
      <c r="G382" s="16" t="s">
        <v>341</v>
      </c>
      <c r="H382" s="13">
        <v>35214</v>
      </c>
      <c r="I382" s="14" t="s">
        <v>492</v>
      </c>
      <c r="J382" s="14" t="s">
        <v>504</v>
      </c>
      <c r="K382" s="13">
        <v>44300</v>
      </c>
      <c r="L382" s="17">
        <v>60</v>
      </c>
      <c r="M382" s="13">
        <f t="shared" si="5"/>
        <v>44360</v>
      </c>
      <c r="N382" s="14"/>
      <c r="O382" s="14"/>
      <c r="P382" s="14"/>
      <c r="Q382" s="14"/>
      <c r="R382" s="13">
        <v>44440</v>
      </c>
      <c r="S382" s="13" t="s">
        <v>972</v>
      </c>
      <c r="T382" s="18"/>
    </row>
    <row r="383" spans="1:20" s="19" customFormat="1" ht="21" customHeight="1" x14ac:dyDescent="0.25">
      <c r="A383" s="12">
        <f>IF(B383="","",COUNTA($B$2:B383))</f>
        <v>382</v>
      </c>
      <c r="B383" s="20" t="s">
        <v>586</v>
      </c>
      <c r="C383" s="14"/>
      <c r="D383" s="14" t="s">
        <v>299</v>
      </c>
      <c r="E383" s="21" t="s">
        <v>311</v>
      </c>
      <c r="F383" s="22" t="s">
        <v>939</v>
      </c>
      <c r="G383" s="16" t="s">
        <v>964</v>
      </c>
      <c r="H383" s="13">
        <v>34022</v>
      </c>
      <c r="I383" s="20" t="s">
        <v>492</v>
      </c>
      <c r="J383" s="14" t="s">
        <v>504</v>
      </c>
      <c r="K383" s="13">
        <v>44300</v>
      </c>
      <c r="L383" s="17">
        <v>60</v>
      </c>
      <c r="M383" s="13">
        <f t="shared" si="5"/>
        <v>44360</v>
      </c>
      <c r="N383" s="14"/>
      <c r="O383" s="16"/>
      <c r="P383" s="16"/>
      <c r="Q383" s="14"/>
      <c r="R383" s="13">
        <v>44313</v>
      </c>
      <c r="S383" s="13" t="s">
        <v>973</v>
      </c>
      <c r="T383" s="18"/>
    </row>
    <row r="384" spans="1:20" s="19" customFormat="1" ht="21" customHeight="1" x14ac:dyDescent="0.25">
      <c r="A384" s="12">
        <f>IF(B384="","",COUNTA($B$2:B384))</f>
        <v>383</v>
      </c>
      <c r="B384" s="20" t="s">
        <v>207</v>
      </c>
      <c r="C384" s="14"/>
      <c r="D384" s="14" t="s">
        <v>298</v>
      </c>
      <c r="E384" s="21" t="s">
        <v>313</v>
      </c>
      <c r="F384" s="22" t="s">
        <v>448</v>
      </c>
      <c r="G384" s="16" t="s">
        <v>452</v>
      </c>
      <c r="H384" s="13">
        <v>34264</v>
      </c>
      <c r="I384" s="20" t="s">
        <v>491</v>
      </c>
      <c r="J384" s="14" t="s">
        <v>504</v>
      </c>
      <c r="K384" s="13">
        <v>44301</v>
      </c>
      <c r="L384" s="17">
        <v>59</v>
      </c>
      <c r="M384" s="13">
        <f t="shared" si="5"/>
        <v>44360</v>
      </c>
      <c r="N384" s="14" t="s">
        <v>495</v>
      </c>
      <c r="O384" s="16" t="s">
        <v>539</v>
      </c>
      <c r="P384" s="16">
        <v>3</v>
      </c>
      <c r="Q384" s="14" t="s">
        <v>501</v>
      </c>
      <c r="R384" s="23"/>
      <c r="S384" s="23"/>
      <c r="T384" s="24"/>
    </row>
    <row r="385" spans="1:20" s="19" customFormat="1" ht="21" customHeight="1" x14ac:dyDescent="0.25">
      <c r="A385" s="12">
        <f>IF(B385="","",COUNTA($B$2:B385))</f>
        <v>384</v>
      </c>
      <c r="B385" s="20" t="s">
        <v>230</v>
      </c>
      <c r="C385" s="14"/>
      <c r="D385" s="14" t="s">
        <v>298</v>
      </c>
      <c r="E385" s="21" t="s">
        <v>314</v>
      </c>
      <c r="F385" s="22" t="s">
        <v>314</v>
      </c>
      <c r="G385" s="16" t="s">
        <v>332</v>
      </c>
      <c r="H385" s="13">
        <v>28773</v>
      </c>
      <c r="I385" s="20" t="s">
        <v>492</v>
      </c>
      <c r="J385" s="14" t="s">
        <v>504</v>
      </c>
      <c r="K385" s="13">
        <v>44301</v>
      </c>
      <c r="L385" s="17">
        <v>59</v>
      </c>
      <c r="M385" s="13">
        <f t="shared" si="5"/>
        <v>44360</v>
      </c>
      <c r="N385" s="14" t="s">
        <v>495</v>
      </c>
      <c r="O385" s="16" t="s">
        <v>538</v>
      </c>
      <c r="P385" s="16">
        <v>3</v>
      </c>
      <c r="Q385" s="14" t="s">
        <v>501</v>
      </c>
      <c r="R385" s="23"/>
      <c r="S385" s="23"/>
      <c r="T385" s="24"/>
    </row>
    <row r="386" spans="1:20" s="19" customFormat="1" ht="21" customHeight="1" x14ac:dyDescent="0.25">
      <c r="A386" s="12">
        <f>IF(B386="","",COUNTA($B$2:B386))</f>
        <v>385</v>
      </c>
      <c r="B386" s="20" t="s">
        <v>252</v>
      </c>
      <c r="C386" s="14"/>
      <c r="D386" s="14" t="s">
        <v>299</v>
      </c>
      <c r="E386" s="21" t="s">
        <v>314</v>
      </c>
      <c r="F386" s="22" t="s">
        <v>327</v>
      </c>
      <c r="G386" s="16" t="s">
        <v>338</v>
      </c>
      <c r="H386" s="13">
        <v>32241</v>
      </c>
      <c r="I386" s="20" t="s">
        <v>492</v>
      </c>
      <c r="J386" s="14" t="s">
        <v>504</v>
      </c>
      <c r="K386" s="13">
        <v>44301</v>
      </c>
      <c r="L386" s="17">
        <v>59</v>
      </c>
      <c r="M386" s="13">
        <f t="shared" ref="M386:M449" si="6">K386+L386</f>
        <v>44360</v>
      </c>
      <c r="N386" s="14" t="s">
        <v>495</v>
      </c>
      <c r="O386" s="16" t="s">
        <v>538</v>
      </c>
      <c r="P386" s="16">
        <v>3</v>
      </c>
      <c r="Q386" s="14" t="s">
        <v>501</v>
      </c>
      <c r="R386" s="23"/>
      <c r="S386" s="23"/>
      <c r="T386" s="24"/>
    </row>
    <row r="387" spans="1:20" s="19" customFormat="1" ht="21" customHeight="1" x14ac:dyDescent="0.25">
      <c r="A387" s="12">
        <f>IF(B387="","",COUNTA($B$2:B387))</f>
        <v>386</v>
      </c>
      <c r="B387" s="13" t="s">
        <v>632</v>
      </c>
      <c r="C387" s="14"/>
      <c r="D387" s="14" t="s">
        <v>298</v>
      </c>
      <c r="E387" s="14" t="s">
        <v>314</v>
      </c>
      <c r="F387" s="15" t="s">
        <v>327</v>
      </c>
      <c r="G387" s="16" t="s">
        <v>341</v>
      </c>
      <c r="H387" s="13">
        <v>36671</v>
      </c>
      <c r="I387" s="14" t="s">
        <v>492</v>
      </c>
      <c r="J387" s="14" t="s">
        <v>504</v>
      </c>
      <c r="K387" s="13">
        <v>44302</v>
      </c>
      <c r="L387" s="17">
        <v>60</v>
      </c>
      <c r="M387" s="13">
        <f t="shared" si="6"/>
        <v>44362</v>
      </c>
      <c r="N387" s="14"/>
      <c r="O387" s="14"/>
      <c r="P387" s="14"/>
      <c r="Q387" s="14"/>
      <c r="R387" s="13">
        <v>44440</v>
      </c>
      <c r="S387" s="13" t="s">
        <v>973</v>
      </c>
      <c r="T387" s="18"/>
    </row>
    <row r="388" spans="1:20" s="19" customFormat="1" ht="21" customHeight="1" x14ac:dyDescent="0.25">
      <c r="A388" s="12">
        <f>IF(B388="","",COUNTA($B$2:B388))</f>
        <v>387</v>
      </c>
      <c r="B388" s="13" t="s">
        <v>877</v>
      </c>
      <c r="C388" s="14"/>
      <c r="D388" s="14" t="s">
        <v>298</v>
      </c>
      <c r="E388" s="14" t="s">
        <v>314</v>
      </c>
      <c r="F388" s="15" t="s">
        <v>329</v>
      </c>
      <c r="G388" s="16" t="s">
        <v>353</v>
      </c>
      <c r="H388" s="13">
        <v>36359</v>
      </c>
      <c r="I388" s="14" t="s">
        <v>492</v>
      </c>
      <c r="J388" s="14" t="s">
        <v>507</v>
      </c>
      <c r="K388" s="13">
        <v>44305</v>
      </c>
      <c r="L388" s="17">
        <v>60</v>
      </c>
      <c r="M388" s="13">
        <f t="shared" si="6"/>
        <v>44365</v>
      </c>
      <c r="N388" s="14"/>
      <c r="O388" s="14"/>
      <c r="P388" s="14"/>
      <c r="Q388" s="14"/>
      <c r="R388" s="13">
        <v>44986</v>
      </c>
      <c r="S388" s="13" t="s">
        <v>973</v>
      </c>
      <c r="T388" s="24"/>
    </row>
    <row r="389" spans="1:20" s="19" customFormat="1" ht="21" customHeight="1" x14ac:dyDescent="0.25">
      <c r="A389" s="12">
        <f>IF(B389="","",COUNTA($B$2:B389))</f>
        <v>388</v>
      </c>
      <c r="B389" s="13" t="s">
        <v>870</v>
      </c>
      <c r="C389" s="14"/>
      <c r="D389" s="14" t="s">
        <v>300</v>
      </c>
      <c r="E389" s="14" t="s">
        <v>311</v>
      </c>
      <c r="F389" s="22" t="s">
        <v>316</v>
      </c>
      <c r="G389" s="16" t="s">
        <v>320</v>
      </c>
      <c r="H389" s="13">
        <v>33849</v>
      </c>
      <c r="I389" s="14" t="s">
        <v>492</v>
      </c>
      <c r="J389" s="14" t="s">
        <v>507</v>
      </c>
      <c r="K389" s="13">
        <v>44305</v>
      </c>
      <c r="L389" s="17">
        <v>60</v>
      </c>
      <c r="M389" s="13">
        <f t="shared" si="6"/>
        <v>44365</v>
      </c>
      <c r="N389" s="14"/>
      <c r="O389" s="14"/>
      <c r="P389" s="14"/>
      <c r="Q389" s="14"/>
      <c r="R389" s="13">
        <v>44946</v>
      </c>
      <c r="S389" s="13" t="s">
        <v>972</v>
      </c>
      <c r="T389" s="18"/>
    </row>
    <row r="390" spans="1:20" s="19" customFormat="1" ht="21" customHeight="1" x14ac:dyDescent="0.25">
      <c r="A390" s="12">
        <f>IF(B390="","",COUNTA($B$2:B390))</f>
        <v>389</v>
      </c>
      <c r="B390" s="13" t="s">
        <v>810</v>
      </c>
      <c r="C390" s="14"/>
      <c r="D390" s="14" t="s">
        <v>298</v>
      </c>
      <c r="E390" s="14" t="s">
        <v>301</v>
      </c>
      <c r="F390" s="15" t="s">
        <v>464</v>
      </c>
      <c r="G390" s="16" t="s">
        <v>483</v>
      </c>
      <c r="H390" s="13">
        <v>33917</v>
      </c>
      <c r="I390" s="14" t="s">
        <v>491</v>
      </c>
      <c r="J390" s="14" t="s">
        <v>504</v>
      </c>
      <c r="K390" s="13">
        <v>44305</v>
      </c>
      <c r="L390" s="17">
        <v>60</v>
      </c>
      <c r="M390" s="13">
        <f t="shared" si="6"/>
        <v>44365</v>
      </c>
      <c r="N390" s="14"/>
      <c r="O390" s="14" t="s">
        <v>539</v>
      </c>
      <c r="P390" s="14"/>
      <c r="Q390" s="14"/>
      <c r="R390" s="13">
        <v>44746</v>
      </c>
      <c r="S390" s="13" t="s">
        <v>972</v>
      </c>
      <c r="T390" s="18"/>
    </row>
    <row r="391" spans="1:20" s="19" customFormat="1" ht="21" customHeight="1" x14ac:dyDescent="0.25">
      <c r="A391" s="12">
        <f>IF(B391="","",COUNTA($B$2:B391))</f>
        <v>390</v>
      </c>
      <c r="B391" s="13" t="s">
        <v>639</v>
      </c>
      <c r="C391" s="14"/>
      <c r="D391" s="14" t="s">
        <v>300</v>
      </c>
      <c r="E391" s="14" t="s">
        <v>314</v>
      </c>
      <c r="F391" s="15" t="s">
        <v>328</v>
      </c>
      <c r="G391" s="16" t="s">
        <v>349</v>
      </c>
      <c r="H391" s="13">
        <v>35796</v>
      </c>
      <c r="I391" s="14" t="s">
        <v>491</v>
      </c>
      <c r="J391" s="14" t="s">
        <v>504</v>
      </c>
      <c r="K391" s="13">
        <v>44305</v>
      </c>
      <c r="L391" s="17">
        <v>60</v>
      </c>
      <c r="M391" s="13">
        <f t="shared" si="6"/>
        <v>44365</v>
      </c>
      <c r="N391" s="14"/>
      <c r="O391" s="14"/>
      <c r="P391" s="14"/>
      <c r="Q391" s="14"/>
      <c r="R391" s="13">
        <v>44469</v>
      </c>
      <c r="S391" s="13" t="s">
        <v>977</v>
      </c>
      <c r="T391" s="18"/>
    </row>
    <row r="392" spans="1:20" s="19" customFormat="1" ht="21" customHeight="1" x14ac:dyDescent="0.25">
      <c r="A392" s="12">
        <f>IF(B392="","",COUNTA($B$2:B392))</f>
        <v>391</v>
      </c>
      <c r="B392" s="13" t="s">
        <v>633</v>
      </c>
      <c r="C392" s="14"/>
      <c r="D392" s="14" t="s">
        <v>298</v>
      </c>
      <c r="E392" s="14" t="s">
        <v>314</v>
      </c>
      <c r="F392" s="15" t="s">
        <v>327</v>
      </c>
      <c r="G392" s="16" t="s">
        <v>341</v>
      </c>
      <c r="H392" s="13">
        <v>35677</v>
      </c>
      <c r="I392" s="14" t="s">
        <v>492</v>
      </c>
      <c r="J392" s="14" t="s">
        <v>507</v>
      </c>
      <c r="K392" s="13">
        <v>44305</v>
      </c>
      <c r="L392" s="17">
        <v>60</v>
      </c>
      <c r="M392" s="13">
        <f t="shared" si="6"/>
        <v>44365</v>
      </c>
      <c r="N392" s="14"/>
      <c r="O392" s="14" t="s">
        <v>539</v>
      </c>
      <c r="P392" s="14"/>
      <c r="Q392" s="14"/>
      <c r="R392" s="13">
        <v>44440</v>
      </c>
      <c r="S392" s="13" t="s">
        <v>977</v>
      </c>
      <c r="T392" s="18"/>
    </row>
    <row r="393" spans="1:20" s="19" customFormat="1" ht="21" customHeight="1" x14ac:dyDescent="0.25">
      <c r="A393" s="12">
        <f>IF(B393="","",COUNTA($B$2:B393))</f>
        <v>392</v>
      </c>
      <c r="B393" s="20" t="s">
        <v>596</v>
      </c>
      <c r="C393" s="14"/>
      <c r="D393" s="14" t="s">
        <v>298</v>
      </c>
      <c r="E393" s="21" t="s">
        <v>304</v>
      </c>
      <c r="F393" s="22" t="s">
        <v>368</v>
      </c>
      <c r="G393" s="26" t="s">
        <v>379</v>
      </c>
      <c r="H393" s="13">
        <v>34286</v>
      </c>
      <c r="I393" s="20" t="s">
        <v>492</v>
      </c>
      <c r="J393" s="14" t="s">
        <v>505</v>
      </c>
      <c r="K393" s="13">
        <v>44305</v>
      </c>
      <c r="L393" s="17">
        <v>60</v>
      </c>
      <c r="M393" s="13">
        <f t="shared" si="6"/>
        <v>44365</v>
      </c>
      <c r="N393" s="14"/>
      <c r="O393" s="16" t="s">
        <v>539</v>
      </c>
      <c r="P393" s="16"/>
      <c r="Q393" s="14"/>
      <c r="R393" s="13">
        <v>44331</v>
      </c>
      <c r="S393" s="13" t="s">
        <v>973</v>
      </c>
      <c r="T393" s="18"/>
    </row>
    <row r="394" spans="1:20" s="19" customFormat="1" ht="21" customHeight="1" x14ac:dyDescent="0.25">
      <c r="A394" s="12">
        <f>IF(B394="","",COUNTA($B$2:B394))</f>
        <v>393</v>
      </c>
      <c r="B394" s="20" t="s">
        <v>120</v>
      </c>
      <c r="C394" s="14"/>
      <c r="D394" s="14" t="s">
        <v>298</v>
      </c>
      <c r="E394" s="21" t="s">
        <v>312</v>
      </c>
      <c r="F394" s="22" t="s">
        <v>956</v>
      </c>
      <c r="G394" s="16" t="s">
        <v>487</v>
      </c>
      <c r="H394" s="13">
        <v>34273</v>
      </c>
      <c r="I394" s="20" t="s">
        <v>491</v>
      </c>
      <c r="J394" s="14" t="s">
        <v>504</v>
      </c>
      <c r="K394" s="13">
        <v>44308</v>
      </c>
      <c r="L394" s="17">
        <v>59</v>
      </c>
      <c r="M394" s="13">
        <f t="shared" si="6"/>
        <v>44367</v>
      </c>
      <c r="N394" s="14" t="s">
        <v>495</v>
      </c>
      <c r="O394" s="16" t="s">
        <v>539</v>
      </c>
      <c r="P394" s="16">
        <v>3</v>
      </c>
      <c r="Q394" s="14" t="s">
        <v>501</v>
      </c>
      <c r="R394" s="23"/>
      <c r="S394" s="23"/>
      <c r="T394" s="24"/>
    </row>
    <row r="395" spans="1:20" s="19" customFormat="1" ht="21" customHeight="1" x14ac:dyDescent="0.25">
      <c r="A395" s="12">
        <f>IF(B395="","",COUNTA($B$2:B395))</f>
        <v>394</v>
      </c>
      <c r="B395" s="20" t="s">
        <v>294</v>
      </c>
      <c r="C395" s="14"/>
      <c r="D395" s="14" t="s">
        <v>298</v>
      </c>
      <c r="E395" s="21" t="s">
        <v>314</v>
      </c>
      <c r="F395" s="22" t="s">
        <v>330</v>
      </c>
      <c r="G395" s="16" t="s">
        <v>364</v>
      </c>
      <c r="H395" s="13">
        <v>34800</v>
      </c>
      <c r="I395" s="20" t="s">
        <v>492</v>
      </c>
      <c r="J395" s="14" t="s">
        <v>935</v>
      </c>
      <c r="K395" s="13">
        <v>44308</v>
      </c>
      <c r="L395" s="17">
        <v>59</v>
      </c>
      <c r="M395" s="13">
        <f t="shared" si="6"/>
        <v>44367</v>
      </c>
      <c r="N395" s="14" t="s">
        <v>495</v>
      </c>
      <c r="O395" s="16" t="s">
        <v>539</v>
      </c>
      <c r="P395" s="16">
        <v>3</v>
      </c>
      <c r="Q395" s="14" t="s">
        <v>501</v>
      </c>
      <c r="R395" s="23"/>
      <c r="S395" s="23"/>
      <c r="T395" s="24"/>
    </row>
    <row r="396" spans="1:20" s="19" customFormat="1" ht="21" customHeight="1" x14ac:dyDescent="0.25">
      <c r="A396" s="12">
        <f>IF(B396="","",COUNTA($B$2:B396))</f>
        <v>395</v>
      </c>
      <c r="B396" s="13" t="s">
        <v>826</v>
      </c>
      <c r="C396" s="14"/>
      <c r="D396" s="14" t="s">
        <v>298</v>
      </c>
      <c r="E396" s="14" t="s">
        <v>314</v>
      </c>
      <c r="F396" s="15" t="s">
        <v>328</v>
      </c>
      <c r="G396" s="16" t="s">
        <v>349</v>
      </c>
      <c r="H396" s="13">
        <v>36080</v>
      </c>
      <c r="I396" s="14" t="s">
        <v>492</v>
      </c>
      <c r="J396" s="14" t="s">
        <v>507</v>
      </c>
      <c r="K396" s="13">
        <v>44308</v>
      </c>
      <c r="L396" s="17">
        <v>60</v>
      </c>
      <c r="M396" s="13">
        <f t="shared" si="6"/>
        <v>44368</v>
      </c>
      <c r="N396" s="14"/>
      <c r="O396" s="14" t="s">
        <v>539</v>
      </c>
      <c r="P396" s="14"/>
      <c r="Q396" s="14"/>
      <c r="R396" s="13">
        <v>44788</v>
      </c>
      <c r="S396" s="13" t="s">
        <v>977</v>
      </c>
      <c r="T396" s="18"/>
    </row>
    <row r="397" spans="1:20" s="19" customFormat="1" ht="21" customHeight="1" x14ac:dyDescent="0.25">
      <c r="A397" s="12">
        <f>IF(B397="","",COUNTA($B$2:B397))</f>
        <v>396</v>
      </c>
      <c r="B397" s="13" t="s">
        <v>638</v>
      </c>
      <c r="C397" s="14"/>
      <c r="D397" s="14" t="s">
        <v>299</v>
      </c>
      <c r="E397" s="14" t="s">
        <v>311</v>
      </c>
      <c r="F397" s="22" t="s">
        <v>316</v>
      </c>
      <c r="G397" s="16" t="s">
        <v>320</v>
      </c>
      <c r="H397" s="13">
        <v>32378</v>
      </c>
      <c r="I397" s="14" t="s">
        <v>491</v>
      </c>
      <c r="J397" s="14" t="s">
        <v>504</v>
      </c>
      <c r="K397" s="13">
        <v>44308</v>
      </c>
      <c r="L397" s="17">
        <v>60</v>
      </c>
      <c r="M397" s="13">
        <f t="shared" si="6"/>
        <v>44368</v>
      </c>
      <c r="N397" s="14"/>
      <c r="O397" s="14"/>
      <c r="P397" s="14"/>
      <c r="Q397" s="14"/>
      <c r="R397" s="13">
        <v>44470</v>
      </c>
      <c r="S397" s="13" t="s">
        <v>972</v>
      </c>
      <c r="T397" s="18"/>
    </row>
    <row r="398" spans="1:20" s="19" customFormat="1" ht="21" customHeight="1" x14ac:dyDescent="0.25">
      <c r="A398" s="12">
        <f>IF(B398="","",COUNTA($B$2:B398))</f>
        <v>397</v>
      </c>
      <c r="B398" s="13" t="s">
        <v>634</v>
      </c>
      <c r="C398" s="14"/>
      <c r="D398" s="14" t="s">
        <v>298</v>
      </c>
      <c r="E398" s="14" t="s">
        <v>314</v>
      </c>
      <c r="F398" s="15" t="s">
        <v>327</v>
      </c>
      <c r="G398" s="16" t="s">
        <v>341</v>
      </c>
      <c r="H398" s="13">
        <v>34838</v>
      </c>
      <c r="I398" s="14" t="s">
        <v>492</v>
      </c>
      <c r="J398" s="14" t="s">
        <v>504</v>
      </c>
      <c r="K398" s="13">
        <v>44308</v>
      </c>
      <c r="L398" s="17">
        <v>60</v>
      </c>
      <c r="M398" s="13">
        <f t="shared" si="6"/>
        <v>44368</v>
      </c>
      <c r="N398" s="14"/>
      <c r="O398" s="14"/>
      <c r="P398" s="14"/>
      <c r="Q398" s="14"/>
      <c r="R398" s="13">
        <v>44440</v>
      </c>
      <c r="S398" s="13" t="s">
        <v>972</v>
      </c>
      <c r="T398" s="18"/>
    </row>
    <row r="399" spans="1:20" s="19" customFormat="1" ht="21" customHeight="1" x14ac:dyDescent="0.25">
      <c r="A399" s="12">
        <f>IF(B399="","",COUNTA($B$2:B399))</f>
        <v>398</v>
      </c>
      <c r="B399" s="13" t="s">
        <v>686</v>
      </c>
      <c r="C399" s="14"/>
      <c r="D399" s="14" t="s">
        <v>300</v>
      </c>
      <c r="E399" s="14" t="s">
        <v>314</v>
      </c>
      <c r="F399" s="15" t="s">
        <v>327</v>
      </c>
      <c r="G399" s="16" t="s">
        <v>341</v>
      </c>
      <c r="H399" s="13">
        <v>33760</v>
      </c>
      <c r="I399" s="14" t="s">
        <v>492</v>
      </c>
      <c r="J399" s="14" t="s">
        <v>504</v>
      </c>
      <c r="K399" s="13">
        <v>44312</v>
      </c>
      <c r="L399" s="17">
        <v>60</v>
      </c>
      <c r="M399" s="13">
        <f t="shared" si="6"/>
        <v>44372</v>
      </c>
      <c r="N399" s="14"/>
      <c r="O399" s="14"/>
      <c r="P399" s="14"/>
      <c r="Q399" s="14"/>
      <c r="R399" s="13">
        <v>44607</v>
      </c>
      <c r="S399" s="13" t="s">
        <v>975</v>
      </c>
      <c r="T399" s="18"/>
    </row>
    <row r="400" spans="1:20" s="19" customFormat="1" ht="21" customHeight="1" x14ac:dyDescent="0.25">
      <c r="A400" s="12">
        <f>IF(B400="","",COUNTA($B$2:B400))</f>
        <v>399</v>
      </c>
      <c r="B400" s="13" t="s">
        <v>636</v>
      </c>
      <c r="C400" s="14"/>
      <c r="D400" s="14" t="s">
        <v>298</v>
      </c>
      <c r="E400" s="14" t="s">
        <v>301</v>
      </c>
      <c r="F400" s="15" t="s">
        <v>464</v>
      </c>
      <c r="G400" s="16" t="s">
        <v>483</v>
      </c>
      <c r="H400" s="13">
        <v>31586</v>
      </c>
      <c r="I400" s="14" t="s">
        <v>492</v>
      </c>
      <c r="J400" s="14" t="s">
        <v>504</v>
      </c>
      <c r="K400" s="13">
        <v>44312</v>
      </c>
      <c r="L400" s="17">
        <v>60</v>
      </c>
      <c r="M400" s="13">
        <f t="shared" si="6"/>
        <v>44372</v>
      </c>
      <c r="N400" s="14"/>
      <c r="O400" s="14" t="s">
        <v>938</v>
      </c>
      <c r="P400" s="14"/>
      <c r="Q400" s="14"/>
      <c r="R400" s="13">
        <v>44455</v>
      </c>
      <c r="S400" s="13" t="s">
        <v>973</v>
      </c>
      <c r="T400" s="18"/>
    </row>
    <row r="401" spans="1:20" s="19" customFormat="1" ht="21" customHeight="1" x14ac:dyDescent="0.25">
      <c r="A401" s="12">
        <f>IF(B401="","",COUNTA($B$2:B401))</f>
        <v>400</v>
      </c>
      <c r="B401" s="20" t="s">
        <v>109</v>
      </c>
      <c r="C401" s="14"/>
      <c r="D401" s="14" t="s">
        <v>298</v>
      </c>
      <c r="E401" s="21" t="s">
        <v>310</v>
      </c>
      <c r="F401" s="22" t="s">
        <v>415</v>
      </c>
      <c r="G401" s="16" t="s">
        <v>418</v>
      </c>
      <c r="H401" s="13">
        <v>35062</v>
      </c>
      <c r="I401" s="20" t="s">
        <v>491</v>
      </c>
      <c r="J401" s="14" t="s">
        <v>504</v>
      </c>
      <c r="K401" s="13">
        <v>44319</v>
      </c>
      <c r="L401" s="17">
        <v>59</v>
      </c>
      <c r="M401" s="13">
        <f t="shared" si="6"/>
        <v>44378</v>
      </c>
      <c r="N401" s="14" t="s">
        <v>495</v>
      </c>
      <c r="O401" s="16" t="s">
        <v>539</v>
      </c>
      <c r="P401" s="16">
        <v>3</v>
      </c>
      <c r="Q401" s="14" t="s">
        <v>501</v>
      </c>
      <c r="R401" s="23"/>
      <c r="S401" s="23"/>
      <c r="T401" s="24"/>
    </row>
    <row r="402" spans="1:20" s="19" customFormat="1" ht="21" customHeight="1" x14ac:dyDescent="0.25">
      <c r="A402" s="12">
        <f>IF(B402="","",COUNTA($B$2:B402))</f>
        <v>401</v>
      </c>
      <c r="B402" s="20" t="s">
        <v>130</v>
      </c>
      <c r="C402" s="14"/>
      <c r="D402" s="14" t="s">
        <v>298</v>
      </c>
      <c r="E402" s="21" t="s">
        <v>301</v>
      </c>
      <c r="F402" s="22" t="s">
        <v>464</v>
      </c>
      <c r="G402" s="16" t="s">
        <v>480</v>
      </c>
      <c r="H402" s="13">
        <v>33560</v>
      </c>
      <c r="I402" s="20" t="s">
        <v>491</v>
      </c>
      <c r="J402" s="14" t="s">
        <v>504</v>
      </c>
      <c r="K402" s="13">
        <v>44319</v>
      </c>
      <c r="L402" s="17">
        <v>59</v>
      </c>
      <c r="M402" s="13">
        <f t="shared" si="6"/>
        <v>44378</v>
      </c>
      <c r="N402" s="14" t="s">
        <v>495</v>
      </c>
      <c r="O402" s="16" t="s">
        <v>538</v>
      </c>
      <c r="P402" s="16">
        <v>3</v>
      </c>
      <c r="Q402" s="14" t="s">
        <v>501</v>
      </c>
      <c r="R402" s="23"/>
      <c r="S402" s="23"/>
      <c r="T402" s="24"/>
    </row>
    <row r="403" spans="1:20" s="19" customFormat="1" ht="21" customHeight="1" x14ac:dyDescent="0.25">
      <c r="A403" s="12">
        <f>IF(B403="","",COUNTA($B$2:B403))</f>
        <v>402</v>
      </c>
      <c r="B403" s="20" t="s">
        <v>216</v>
      </c>
      <c r="C403" s="14"/>
      <c r="D403" s="14" t="s">
        <v>298</v>
      </c>
      <c r="E403" s="21" t="s">
        <v>313</v>
      </c>
      <c r="F403" s="22" t="s">
        <v>450</v>
      </c>
      <c r="G403" s="16" t="s">
        <v>456</v>
      </c>
      <c r="H403" s="13">
        <v>34656</v>
      </c>
      <c r="I403" s="20" t="s">
        <v>492</v>
      </c>
      <c r="J403" s="14" t="s">
        <v>504</v>
      </c>
      <c r="K403" s="13">
        <v>44319</v>
      </c>
      <c r="L403" s="17">
        <v>53</v>
      </c>
      <c r="M403" s="13">
        <f t="shared" si="6"/>
        <v>44372</v>
      </c>
      <c r="N403" s="14" t="s">
        <v>495</v>
      </c>
      <c r="O403" s="16" t="s">
        <v>539</v>
      </c>
      <c r="P403" s="16">
        <v>3</v>
      </c>
      <c r="Q403" s="14" t="s">
        <v>501</v>
      </c>
      <c r="R403" s="23"/>
      <c r="S403" s="23"/>
      <c r="T403" s="24"/>
    </row>
    <row r="404" spans="1:20" s="19" customFormat="1" ht="21" customHeight="1" x14ac:dyDescent="0.25">
      <c r="A404" s="12">
        <f>IF(B404="","",COUNTA($B$2:B404))</f>
        <v>403</v>
      </c>
      <c r="B404" s="13" t="s">
        <v>783</v>
      </c>
      <c r="C404" s="14"/>
      <c r="D404" s="14" t="s">
        <v>298</v>
      </c>
      <c r="E404" s="14" t="s">
        <v>305</v>
      </c>
      <c r="F404" s="15" t="s">
        <v>392</v>
      </c>
      <c r="G404" s="16" t="s">
        <v>384</v>
      </c>
      <c r="H404" s="13">
        <v>34083</v>
      </c>
      <c r="I404" s="14" t="s">
        <v>491</v>
      </c>
      <c r="J404" s="14" t="s">
        <v>504</v>
      </c>
      <c r="K404" s="13">
        <v>44319</v>
      </c>
      <c r="L404" s="17">
        <v>60</v>
      </c>
      <c r="M404" s="13">
        <f t="shared" si="6"/>
        <v>44379</v>
      </c>
      <c r="N404" s="14"/>
      <c r="O404" s="14" t="s">
        <v>539</v>
      </c>
      <c r="P404" s="14"/>
      <c r="Q404" s="14"/>
      <c r="R404" s="13">
        <v>44694</v>
      </c>
      <c r="S404" s="13" t="s">
        <v>972</v>
      </c>
      <c r="T404" s="18"/>
    </row>
    <row r="405" spans="1:20" s="19" customFormat="1" ht="21" customHeight="1" x14ac:dyDescent="0.25">
      <c r="A405" s="12">
        <f>IF(B405="","",COUNTA($B$2:B405))</f>
        <v>404</v>
      </c>
      <c r="B405" s="13" t="s">
        <v>707</v>
      </c>
      <c r="C405" s="14"/>
      <c r="D405" s="14" t="s">
        <v>298</v>
      </c>
      <c r="E405" s="14" t="s">
        <v>305</v>
      </c>
      <c r="F405" s="15" t="s">
        <v>393</v>
      </c>
      <c r="G405" s="16" t="s">
        <v>388</v>
      </c>
      <c r="H405" s="13">
        <v>32273</v>
      </c>
      <c r="I405" s="14" t="s">
        <v>492</v>
      </c>
      <c r="J405" s="14" t="s">
        <v>504</v>
      </c>
      <c r="K405" s="13">
        <v>44319</v>
      </c>
      <c r="L405" s="17">
        <v>60</v>
      </c>
      <c r="M405" s="13">
        <f t="shared" si="6"/>
        <v>44379</v>
      </c>
      <c r="N405" s="14"/>
      <c r="O405" s="14" t="s">
        <v>938</v>
      </c>
      <c r="P405" s="14"/>
      <c r="Q405" s="14"/>
      <c r="R405" s="13">
        <v>44640</v>
      </c>
      <c r="S405" s="13" t="s">
        <v>972</v>
      </c>
      <c r="T405" s="18"/>
    </row>
    <row r="406" spans="1:20" s="19" customFormat="1" ht="21" customHeight="1" x14ac:dyDescent="0.25">
      <c r="A406" s="12">
        <f>IF(B406="","",COUNTA($B$2:B406))</f>
        <v>405</v>
      </c>
      <c r="B406" s="20" t="s">
        <v>597</v>
      </c>
      <c r="C406" s="14"/>
      <c r="D406" s="14" t="s">
        <v>299</v>
      </c>
      <c r="E406" s="21" t="s">
        <v>311</v>
      </c>
      <c r="F406" s="22" t="s">
        <v>318</v>
      </c>
      <c r="G406" s="16" t="s">
        <v>320</v>
      </c>
      <c r="H406" s="13">
        <v>33777</v>
      </c>
      <c r="I406" s="20" t="s">
        <v>491</v>
      </c>
      <c r="J406" s="14" t="s">
        <v>504</v>
      </c>
      <c r="K406" s="13">
        <v>44319</v>
      </c>
      <c r="L406" s="17">
        <v>60</v>
      </c>
      <c r="M406" s="13">
        <f t="shared" si="6"/>
        <v>44379</v>
      </c>
      <c r="N406" s="14"/>
      <c r="O406" s="16"/>
      <c r="P406" s="16"/>
      <c r="Q406" s="14"/>
      <c r="R406" s="13">
        <v>44331</v>
      </c>
      <c r="S406" s="13" t="s">
        <v>977</v>
      </c>
      <c r="T406" s="18"/>
    </row>
    <row r="407" spans="1:20" s="19" customFormat="1" ht="21" customHeight="1" x14ac:dyDescent="0.25">
      <c r="A407" s="12">
        <f>IF(B407="","",COUNTA($B$2:B407))</f>
        <v>406</v>
      </c>
      <c r="B407" s="20" t="s">
        <v>71</v>
      </c>
      <c r="C407" s="14"/>
      <c r="D407" s="14" t="s">
        <v>298</v>
      </c>
      <c r="E407" s="21" t="s">
        <v>307</v>
      </c>
      <c r="F407" s="22" t="s">
        <v>434</v>
      </c>
      <c r="G407" s="16" t="s">
        <v>439</v>
      </c>
      <c r="H407" s="13">
        <v>34703</v>
      </c>
      <c r="I407" s="20" t="s">
        <v>491</v>
      </c>
      <c r="J407" s="14" t="s">
        <v>504</v>
      </c>
      <c r="K407" s="13">
        <v>44321</v>
      </c>
      <c r="L407" s="17">
        <v>59</v>
      </c>
      <c r="M407" s="13">
        <f t="shared" si="6"/>
        <v>44380</v>
      </c>
      <c r="N407" s="14" t="s">
        <v>495</v>
      </c>
      <c r="O407" s="16" t="s">
        <v>539</v>
      </c>
      <c r="P407" s="16">
        <v>3</v>
      </c>
      <c r="Q407" s="14" t="s">
        <v>501</v>
      </c>
      <c r="R407" s="23"/>
      <c r="S407" s="23"/>
      <c r="T407" s="24"/>
    </row>
    <row r="408" spans="1:20" s="19" customFormat="1" ht="21" customHeight="1" x14ac:dyDescent="0.25">
      <c r="A408" s="12">
        <f>IF(B408="","",COUNTA($B$2:B408))</f>
        <v>407</v>
      </c>
      <c r="B408" s="20" t="s">
        <v>92</v>
      </c>
      <c r="C408" s="14"/>
      <c r="D408" s="14" t="s">
        <v>298</v>
      </c>
      <c r="E408" s="21" t="s">
        <v>309</v>
      </c>
      <c r="F408" s="22" t="s">
        <v>399</v>
      </c>
      <c r="G408" s="16" t="s">
        <v>402</v>
      </c>
      <c r="H408" s="13">
        <v>31557</v>
      </c>
      <c r="I408" s="20" t="s">
        <v>491</v>
      </c>
      <c r="J408" s="14" t="s">
        <v>504</v>
      </c>
      <c r="K408" s="13">
        <v>44322</v>
      </c>
      <c r="L408" s="17">
        <v>59</v>
      </c>
      <c r="M408" s="13">
        <f t="shared" si="6"/>
        <v>44381</v>
      </c>
      <c r="N408" s="14" t="s">
        <v>495</v>
      </c>
      <c r="O408" s="16" t="s">
        <v>538</v>
      </c>
      <c r="P408" s="16">
        <v>3</v>
      </c>
      <c r="Q408" s="14" t="s">
        <v>501</v>
      </c>
      <c r="R408" s="23"/>
      <c r="S408" s="23"/>
      <c r="T408" s="24"/>
    </row>
    <row r="409" spans="1:20" s="19" customFormat="1" ht="21" customHeight="1" x14ac:dyDescent="0.25">
      <c r="A409" s="12">
        <f>IF(B409="","",COUNTA($B$2:B409))</f>
        <v>408</v>
      </c>
      <c r="B409" s="13" t="s">
        <v>842</v>
      </c>
      <c r="C409" s="14"/>
      <c r="D409" s="14" t="s">
        <v>298</v>
      </c>
      <c r="E409" s="14" t="s">
        <v>305</v>
      </c>
      <c r="F409" s="15" t="s">
        <v>391</v>
      </c>
      <c r="G409" s="16" t="s">
        <v>384</v>
      </c>
      <c r="H409" s="13">
        <v>36159</v>
      </c>
      <c r="I409" s="14" t="s">
        <v>492</v>
      </c>
      <c r="J409" s="14" t="s">
        <v>504</v>
      </c>
      <c r="K409" s="13">
        <v>44326</v>
      </c>
      <c r="L409" s="17">
        <v>60</v>
      </c>
      <c r="M409" s="13">
        <f t="shared" si="6"/>
        <v>44386</v>
      </c>
      <c r="N409" s="14"/>
      <c r="O409" s="14" t="s">
        <v>539</v>
      </c>
      <c r="P409" s="14"/>
      <c r="Q409" s="14"/>
      <c r="R409" s="13">
        <v>44842</v>
      </c>
      <c r="S409" s="13" t="s">
        <v>975</v>
      </c>
      <c r="T409" s="18"/>
    </row>
    <row r="410" spans="1:20" s="19" customFormat="1" ht="21" customHeight="1" x14ac:dyDescent="0.25">
      <c r="A410" s="12">
        <f>IF(B410="","",COUNTA($B$2:B410))</f>
        <v>409</v>
      </c>
      <c r="B410" s="13" t="s">
        <v>649</v>
      </c>
      <c r="C410" s="14"/>
      <c r="D410" s="14" t="s">
        <v>299</v>
      </c>
      <c r="E410" s="14" t="s">
        <v>311</v>
      </c>
      <c r="F410" s="22" t="s">
        <v>318</v>
      </c>
      <c r="G410" s="16" t="s">
        <v>320</v>
      </c>
      <c r="H410" s="13">
        <v>35718</v>
      </c>
      <c r="I410" s="14" t="s">
        <v>492</v>
      </c>
      <c r="J410" s="14" t="s">
        <v>504</v>
      </c>
      <c r="K410" s="13">
        <v>44326</v>
      </c>
      <c r="L410" s="17">
        <v>60</v>
      </c>
      <c r="M410" s="13">
        <f t="shared" si="6"/>
        <v>44386</v>
      </c>
      <c r="N410" s="14"/>
      <c r="O410" s="14"/>
      <c r="P410" s="14"/>
      <c r="Q410" s="14"/>
      <c r="R410" s="13">
        <v>44503</v>
      </c>
      <c r="S410" s="13" t="s">
        <v>973</v>
      </c>
      <c r="T410" s="18"/>
    </row>
    <row r="411" spans="1:20" s="19" customFormat="1" ht="21" customHeight="1" x14ac:dyDescent="0.25">
      <c r="A411" s="12">
        <f>IF(B411="","",COUNTA($B$2:B411))</f>
        <v>410</v>
      </c>
      <c r="B411" s="13" t="s">
        <v>194</v>
      </c>
      <c r="C411" s="14"/>
      <c r="D411" s="14" t="s">
        <v>299</v>
      </c>
      <c r="E411" s="14" t="s">
        <v>311</v>
      </c>
      <c r="F411" s="22" t="s">
        <v>318</v>
      </c>
      <c r="G411" s="16" t="s">
        <v>320</v>
      </c>
      <c r="H411" s="13">
        <v>35865</v>
      </c>
      <c r="I411" s="14" t="s">
        <v>491</v>
      </c>
      <c r="J411" s="14" t="s">
        <v>504</v>
      </c>
      <c r="K411" s="13">
        <v>44328</v>
      </c>
      <c r="L411" s="17">
        <v>60</v>
      </c>
      <c r="M411" s="13">
        <f t="shared" si="6"/>
        <v>44388</v>
      </c>
      <c r="N411" s="14"/>
      <c r="O411" s="14"/>
      <c r="P411" s="14"/>
      <c r="Q411" s="14"/>
      <c r="R411" s="13">
        <v>44866</v>
      </c>
      <c r="S411" s="13" t="s">
        <v>977</v>
      </c>
      <c r="T411" s="18"/>
    </row>
    <row r="412" spans="1:20" s="19" customFormat="1" ht="21" customHeight="1" x14ac:dyDescent="0.25">
      <c r="A412" s="12">
        <f>IF(B412="","",COUNTA($B$2:B412))</f>
        <v>411</v>
      </c>
      <c r="B412" s="13" t="s">
        <v>653</v>
      </c>
      <c r="C412" s="14"/>
      <c r="D412" s="14" t="s">
        <v>298</v>
      </c>
      <c r="E412" s="14" t="s">
        <v>304</v>
      </c>
      <c r="F412" s="22" t="s">
        <v>368</v>
      </c>
      <c r="G412" s="16" t="s">
        <v>378</v>
      </c>
      <c r="H412" s="13">
        <v>36419</v>
      </c>
      <c r="I412" s="14" t="s">
        <v>491</v>
      </c>
      <c r="J412" s="14" t="s">
        <v>504</v>
      </c>
      <c r="K412" s="13">
        <v>44328</v>
      </c>
      <c r="L412" s="17">
        <v>60</v>
      </c>
      <c r="M412" s="13">
        <f t="shared" si="6"/>
        <v>44388</v>
      </c>
      <c r="N412" s="14"/>
      <c r="O412" s="14" t="s">
        <v>540</v>
      </c>
      <c r="P412" s="14"/>
      <c r="Q412" s="14"/>
      <c r="R412" s="13">
        <v>44513</v>
      </c>
      <c r="S412" s="13" t="s">
        <v>972</v>
      </c>
      <c r="T412" s="18"/>
    </row>
    <row r="413" spans="1:20" s="19" customFormat="1" ht="21" customHeight="1" x14ac:dyDescent="0.25">
      <c r="A413" s="12">
        <f>IF(B413="","",COUNTA($B$2:B413))</f>
        <v>412</v>
      </c>
      <c r="B413" s="13" t="s">
        <v>752</v>
      </c>
      <c r="C413" s="14"/>
      <c r="D413" s="14" t="s">
        <v>934</v>
      </c>
      <c r="E413" s="14" t="s">
        <v>313</v>
      </c>
      <c r="F413" s="15" t="s">
        <v>942</v>
      </c>
      <c r="G413" s="14" t="s">
        <v>960</v>
      </c>
      <c r="H413" s="13">
        <v>31159</v>
      </c>
      <c r="I413" s="14" t="s">
        <v>492</v>
      </c>
      <c r="J413" s="14" t="s">
        <v>504</v>
      </c>
      <c r="K413" s="13">
        <v>44330</v>
      </c>
      <c r="L413" s="17">
        <v>60</v>
      </c>
      <c r="M413" s="13">
        <f t="shared" si="6"/>
        <v>44390</v>
      </c>
      <c r="N413" s="14"/>
      <c r="O413" s="14"/>
      <c r="P413" s="14"/>
      <c r="Q413" s="14"/>
      <c r="R413" s="13">
        <v>44682</v>
      </c>
      <c r="S413" s="13" t="s">
        <v>973</v>
      </c>
      <c r="T413" s="18"/>
    </row>
    <row r="414" spans="1:20" s="19" customFormat="1" ht="21" customHeight="1" x14ac:dyDescent="0.25">
      <c r="A414" s="12">
        <f>IF(B414="","",COUNTA($B$2:B414))</f>
        <v>413</v>
      </c>
      <c r="B414" s="13" t="s">
        <v>655</v>
      </c>
      <c r="C414" s="14"/>
      <c r="D414" s="14" t="s">
        <v>934</v>
      </c>
      <c r="E414" s="14" t="s">
        <v>313</v>
      </c>
      <c r="F414" s="15" t="s">
        <v>942</v>
      </c>
      <c r="G414" s="14" t="s">
        <v>315</v>
      </c>
      <c r="H414" s="13">
        <v>35374</v>
      </c>
      <c r="I414" s="14" t="s">
        <v>491</v>
      </c>
      <c r="J414" s="14" t="s">
        <v>504</v>
      </c>
      <c r="K414" s="13">
        <v>44330</v>
      </c>
      <c r="L414" s="17">
        <v>60</v>
      </c>
      <c r="M414" s="13">
        <f t="shared" si="6"/>
        <v>44390</v>
      </c>
      <c r="N414" s="14"/>
      <c r="O414" s="14"/>
      <c r="P414" s="14"/>
      <c r="Q414" s="14"/>
      <c r="R414" s="13">
        <v>44520</v>
      </c>
      <c r="S414" s="13" t="s">
        <v>972</v>
      </c>
      <c r="T414" s="18"/>
    </row>
    <row r="415" spans="1:20" s="19" customFormat="1" ht="21" customHeight="1" x14ac:dyDescent="0.25">
      <c r="A415" s="12">
        <f>IF(B415="","",COUNTA($B$2:B415))</f>
        <v>414</v>
      </c>
      <c r="B415" s="13" t="s">
        <v>622</v>
      </c>
      <c r="C415" s="14"/>
      <c r="D415" s="14" t="s">
        <v>934</v>
      </c>
      <c r="E415" s="14" t="s">
        <v>311</v>
      </c>
      <c r="F415" s="22" t="s">
        <v>939</v>
      </c>
      <c r="G415" s="16" t="s">
        <v>964</v>
      </c>
      <c r="H415" s="13">
        <v>34174</v>
      </c>
      <c r="I415" s="14" t="s">
        <v>492</v>
      </c>
      <c r="J415" s="14" t="s">
        <v>504</v>
      </c>
      <c r="K415" s="13">
        <v>44330</v>
      </c>
      <c r="L415" s="17">
        <v>60</v>
      </c>
      <c r="M415" s="13">
        <f t="shared" si="6"/>
        <v>44390</v>
      </c>
      <c r="N415" s="14"/>
      <c r="O415" s="14"/>
      <c r="P415" s="14"/>
      <c r="Q415" s="14"/>
      <c r="R415" s="13">
        <v>44330</v>
      </c>
      <c r="S415" s="13" t="s">
        <v>972</v>
      </c>
      <c r="T415" s="18"/>
    </row>
    <row r="416" spans="1:20" s="19" customFormat="1" ht="21" customHeight="1" x14ac:dyDescent="0.25">
      <c r="A416" s="12">
        <f>IF(B416="","",COUNTA($B$2:B416))</f>
        <v>415</v>
      </c>
      <c r="B416" s="20" t="s">
        <v>39</v>
      </c>
      <c r="C416" s="14"/>
      <c r="D416" s="14" t="s">
        <v>298</v>
      </c>
      <c r="E416" s="21" t="s">
        <v>304</v>
      </c>
      <c r="F416" s="22" t="s">
        <v>367</v>
      </c>
      <c r="G416" s="16" t="s">
        <v>375</v>
      </c>
      <c r="H416" s="13">
        <v>35154</v>
      </c>
      <c r="I416" s="20" t="s">
        <v>491</v>
      </c>
      <c r="J416" s="14" t="s">
        <v>504</v>
      </c>
      <c r="K416" s="13">
        <v>44332</v>
      </c>
      <c r="L416" s="17">
        <v>59</v>
      </c>
      <c r="M416" s="13">
        <f t="shared" si="6"/>
        <v>44391</v>
      </c>
      <c r="N416" s="14" t="s">
        <v>495</v>
      </c>
      <c r="O416" s="16" t="s">
        <v>538</v>
      </c>
      <c r="P416" s="16">
        <v>3</v>
      </c>
      <c r="Q416" s="14" t="s">
        <v>501</v>
      </c>
      <c r="R416" s="23"/>
      <c r="S416" s="23"/>
      <c r="T416" s="24"/>
    </row>
    <row r="417" spans="1:20" s="19" customFormat="1" ht="21" customHeight="1" x14ac:dyDescent="0.25">
      <c r="A417" s="12">
        <f>IF(B417="","",COUNTA($B$2:B417))</f>
        <v>416</v>
      </c>
      <c r="B417" s="13" t="s">
        <v>659</v>
      </c>
      <c r="C417" s="14"/>
      <c r="D417" s="14" t="s">
        <v>298</v>
      </c>
      <c r="E417" s="14" t="s">
        <v>305</v>
      </c>
      <c r="F417" s="22" t="s">
        <v>391</v>
      </c>
      <c r="G417" s="16" t="s">
        <v>384</v>
      </c>
      <c r="H417" s="13">
        <v>34553</v>
      </c>
      <c r="I417" s="14" t="s">
        <v>491</v>
      </c>
      <c r="J417" s="14" t="s">
        <v>504</v>
      </c>
      <c r="K417" s="13">
        <v>44333</v>
      </c>
      <c r="L417" s="17">
        <v>60</v>
      </c>
      <c r="M417" s="13">
        <f t="shared" si="6"/>
        <v>44393</v>
      </c>
      <c r="N417" s="14"/>
      <c r="O417" s="14"/>
      <c r="P417" s="14"/>
      <c r="Q417" s="14"/>
      <c r="R417" s="13">
        <v>44531</v>
      </c>
      <c r="S417" s="13" t="s">
        <v>976</v>
      </c>
      <c r="T417" s="18"/>
    </row>
    <row r="418" spans="1:20" s="19" customFormat="1" ht="21" customHeight="1" x14ac:dyDescent="0.25">
      <c r="A418" s="12">
        <f>IF(B418="","",COUNTA($B$2:B418))</f>
        <v>417</v>
      </c>
      <c r="B418" s="13" t="s">
        <v>625</v>
      </c>
      <c r="C418" s="14"/>
      <c r="D418" s="14" t="s">
        <v>298</v>
      </c>
      <c r="E418" s="14" t="s">
        <v>311</v>
      </c>
      <c r="F418" s="15" t="s">
        <v>311</v>
      </c>
      <c r="G418" s="26" t="s">
        <v>963</v>
      </c>
      <c r="H418" s="13">
        <v>27017</v>
      </c>
      <c r="I418" s="14" t="s">
        <v>492</v>
      </c>
      <c r="J418" s="14" t="s">
        <v>504</v>
      </c>
      <c r="K418" s="13">
        <v>44333</v>
      </c>
      <c r="L418" s="17">
        <v>60</v>
      </c>
      <c r="M418" s="13">
        <f t="shared" si="6"/>
        <v>44393</v>
      </c>
      <c r="N418" s="14"/>
      <c r="O418" s="14"/>
      <c r="P418" s="14"/>
      <c r="Q418" s="14"/>
      <c r="R418" s="13">
        <v>44409</v>
      </c>
      <c r="S418" s="13" t="s">
        <v>976</v>
      </c>
      <c r="T418" s="18"/>
    </row>
    <row r="419" spans="1:20" s="19" customFormat="1" ht="21" customHeight="1" x14ac:dyDescent="0.25">
      <c r="A419" s="12">
        <f>IF(B419="","",COUNTA($B$2:B419))</f>
        <v>418</v>
      </c>
      <c r="B419" s="13" t="s">
        <v>586</v>
      </c>
      <c r="C419" s="14"/>
      <c r="D419" s="14" t="s">
        <v>299</v>
      </c>
      <c r="E419" s="14" t="s">
        <v>311</v>
      </c>
      <c r="F419" s="22" t="s">
        <v>939</v>
      </c>
      <c r="G419" s="16" t="s">
        <v>964</v>
      </c>
      <c r="H419" s="26">
        <v>34022</v>
      </c>
      <c r="I419" s="14" t="s">
        <v>492</v>
      </c>
      <c r="J419" s="14" t="s">
        <v>504</v>
      </c>
      <c r="K419" s="13">
        <v>44333</v>
      </c>
      <c r="L419" s="17">
        <v>60</v>
      </c>
      <c r="M419" s="13">
        <f t="shared" si="6"/>
        <v>44393</v>
      </c>
      <c r="N419" s="14"/>
      <c r="O419" s="14"/>
      <c r="P419" s="14"/>
      <c r="Q419" s="14"/>
      <c r="R419" s="13">
        <v>44394</v>
      </c>
      <c r="S419" s="13" t="s">
        <v>977</v>
      </c>
      <c r="T419" s="18"/>
    </row>
    <row r="420" spans="1:20" s="19" customFormat="1" ht="21" customHeight="1" x14ac:dyDescent="0.25">
      <c r="A420" s="12">
        <f>IF(B420="","",COUNTA($B$2:B420))</f>
        <v>419</v>
      </c>
      <c r="B420" s="20" t="s">
        <v>68</v>
      </c>
      <c r="C420" s="14"/>
      <c r="D420" s="14" t="s">
        <v>298</v>
      </c>
      <c r="E420" s="21" t="s">
        <v>307</v>
      </c>
      <c r="F420" s="22" t="s">
        <v>434</v>
      </c>
      <c r="G420" s="16" t="s">
        <v>439</v>
      </c>
      <c r="H420" s="13">
        <v>34404</v>
      </c>
      <c r="I420" s="20" t="s">
        <v>491</v>
      </c>
      <c r="J420" s="14" t="s">
        <v>504</v>
      </c>
      <c r="K420" s="13">
        <v>44335</v>
      </c>
      <c r="L420" s="17">
        <v>59</v>
      </c>
      <c r="M420" s="13">
        <f t="shared" si="6"/>
        <v>44394</v>
      </c>
      <c r="N420" s="14" t="s">
        <v>495</v>
      </c>
      <c r="O420" s="16" t="s">
        <v>539</v>
      </c>
      <c r="P420" s="16">
        <v>3</v>
      </c>
      <c r="Q420" s="14" t="s">
        <v>501</v>
      </c>
      <c r="R420" s="23"/>
      <c r="S420" s="23"/>
      <c r="T420" s="24"/>
    </row>
    <row r="421" spans="1:20" s="19" customFormat="1" ht="21" customHeight="1" x14ac:dyDescent="0.25">
      <c r="A421" s="12">
        <f>IF(B421="","",COUNTA($B$2:B421))</f>
        <v>420</v>
      </c>
      <c r="B421" s="20" t="s">
        <v>168</v>
      </c>
      <c r="C421" s="14"/>
      <c r="D421" s="14" t="s">
        <v>298</v>
      </c>
      <c r="E421" s="21" t="s">
        <v>311</v>
      </c>
      <c r="F421" s="22" t="s">
        <v>318</v>
      </c>
      <c r="G421" s="21" t="s">
        <v>320</v>
      </c>
      <c r="H421" s="13">
        <v>30620</v>
      </c>
      <c r="I421" s="20" t="s">
        <v>492</v>
      </c>
      <c r="J421" s="14" t="s">
        <v>935</v>
      </c>
      <c r="K421" s="13">
        <v>44335</v>
      </c>
      <c r="L421" s="17">
        <v>59</v>
      </c>
      <c r="M421" s="13">
        <f t="shared" si="6"/>
        <v>44394</v>
      </c>
      <c r="N421" s="14" t="s">
        <v>495</v>
      </c>
      <c r="O421" s="16" t="s">
        <v>538</v>
      </c>
      <c r="P421" s="16">
        <v>3</v>
      </c>
      <c r="Q421" s="14" t="s">
        <v>501</v>
      </c>
      <c r="R421" s="23"/>
      <c r="S421" s="23"/>
      <c r="T421" s="24"/>
    </row>
    <row r="422" spans="1:20" s="19" customFormat="1" ht="21" customHeight="1" x14ac:dyDescent="0.25">
      <c r="A422" s="12">
        <f>IF(B422="","",COUNTA($B$2:B422))</f>
        <v>421</v>
      </c>
      <c r="B422" s="20" t="s">
        <v>220</v>
      </c>
      <c r="C422" s="14"/>
      <c r="D422" s="14" t="s">
        <v>300</v>
      </c>
      <c r="E422" s="21" t="s">
        <v>313</v>
      </c>
      <c r="F422" s="22" t="s">
        <v>450</v>
      </c>
      <c r="G422" s="16" t="s">
        <v>458</v>
      </c>
      <c r="H422" s="13">
        <v>34766</v>
      </c>
      <c r="I422" s="20" t="s">
        <v>492</v>
      </c>
      <c r="J422" s="14" t="s">
        <v>504</v>
      </c>
      <c r="K422" s="13">
        <v>44336</v>
      </c>
      <c r="L422" s="17">
        <v>59</v>
      </c>
      <c r="M422" s="13">
        <f t="shared" si="6"/>
        <v>44395</v>
      </c>
      <c r="N422" s="14" t="s">
        <v>495</v>
      </c>
      <c r="O422" s="16" t="s">
        <v>539</v>
      </c>
      <c r="P422" s="16">
        <v>3</v>
      </c>
      <c r="Q422" s="14" t="s">
        <v>501</v>
      </c>
      <c r="R422" s="23"/>
      <c r="S422" s="23"/>
      <c r="T422" s="24"/>
    </row>
    <row r="423" spans="1:20" s="19" customFormat="1" ht="21" customHeight="1" x14ac:dyDescent="0.25">
      <c r="A423" s="12">
        <f>IF(B423="","",COUNTA($B$2:B423))</f>
        <v>422</v>
      </c>
      <c r="B423" s="13" t="s">
        <v>642</v>
      </c>
      <c r="C423" s="14"/>
      <c r="D423" s="14" t="s">
        <v>298</v>
      </c>
      <c r="E423" s="14" t="s">
        <v>314</v>
      </c>
      <c r="F423" s="15" t="s">
        <v>327</v>
      </c>
      <c r="G423" s="16" t="s">
        <v>341</v>
      </c>
      <c r="H423" s="13">
        <v>33293</v>
      </c>
      <c r="I423" s="14" t="s">
        <v>492</v>
      </c>
      <c r="J423" s="14" t="s">
        <v>507</v>
      </c>
      <c r="K423" s="13">
        <v>44337</v>
      </c>
      <c r="L423" s="17">
        <v>60</v>
      </c>
      <c r="M423" s="13">
        <f t="shared" si="6"/>
        <v>44397</v>
      </c>
      <c r="N423" s="14"/>
      <c r="O423" s="14"/>
      <c r="P423" s="14"/>
      <c r="Q423" s="14"/>
      <c r="R423" s="13">
        <v>44479</v>
      </c>
      <c r="S423" s="13" t="s">
        <v>973</v>
      </c>
      <c r="T423" s="18"/>
    </row>
    <row r="424" spans="1:20" s="19" customFormat="1" ht="21" customHeight="1" x14ac:dyDescent="0.25">
      <c r="A424" s="12">
        <f>IF(B424="","",COUNTA($B$2:B424))</f>
        <v>423</v>
      </c>
      <c r="B424" s="20" t="s">
        <v>265</v>
      </c>
      <c r="C424" s="14"/>
      <c r="D424" s="14" t="s">
        <v>299</v>
      </c>
      <c r="E424" s="21" t="s">
        <v>314</v>
      </c>
      <c r="F424" s="22" t="s">
        <v>328</v>
      </c>
      <c r="G424" s="16" t="s">
        <v>347</v>
      </c>
      <c r="H424" s="13">
        <v>34203</v>
      </c>
      <c r="I424" s="20" t="s">
        <v>491</v>
      </c>
      <c r="J424" s="14" t="s">
        <v>504</v>
      </c>
      <c r="K424" s="13">
        <v>44340</v>
      </c>
      <c r="L424" s="17">
        <v>59</v>
      </c>
      <c r="M424" s="13">
        <f t="shared" si="6"/>
        <v>44399</v>
      </c>
      <c r="N424" s="14" t="s">
        <v>495</v>
      </c>
      <c r="O424" s="16" t="s">
        <v>539</v>
      </c>
      <c r="P424" s="16">
        <v>3</v>
      </c>
      <c r="Q424" s="14" t="s">
        <v>501</v>
      </c>
      <c r="R424" s="23"/>
      <c r="S424" s="23"/>
      <c r="T424" s="24"/>
    </row>
    <row r="425" spans="1:20" s="19" customFormat="1" ht="21" customHeight="1" x14ac:dyDescent="0.25">
      <c r="A425" s="12">
        <f>IF(B425="","",COUNTA($B$2:B425))</f>
        <v>424</v>
      </c>
      <c r="B425" s="20" t="s">
        <v>521</v>
      </c>
      <c r="C425" s="14"/>
      <c r="D425" s="14" t="s">
        <v>300</v>
      </c>
      <c r="E425" s="21" t="s">
        <v>314</v>
      </c>
      <c r="F425" s="22" t="s">
        <v>327</v>
      </c>
      <c r="G425" s="16" t="s">
        <v>529</v>
      </c>
      <c r="H425" s="13">
        <v>36149</v>
      </c>
      <c r="I425" s="20" t="s">
        <v>492</v>
      </c>
      <c r="J425" s="14" t="s">
        <v>507</v>
      </c>
      <c r="K425" s="13">
        <v>44340</v>
      </c>
      <c r="L425" s="17">
        <v>60</v>
      </c>
      <c r="M425" s="13">
        <f t="shared" si="6"/>
        <v>44400</v>
      </c>
      <c r="N425" s="14" t="s">
        <v>495</v>
      </c>
      <c r="O425" s="16" t="s">
        <v>538</v>
      </c>
      <c r="P425" s="16">
        <v>3</v>
      </c>
      <c r="Q425" s="14" t="s">
        <v>501</v>
      </c>
      <c r="R425" s="13">
        <v>45215</v>
      </c>
      <c r="S425" s="13" t="s">
        <v>975</v>
      </c>
      <c r="T425" s="24"/>
    </row>
    <row r="426" spans="1:20" s="19" customFormat="1" ht="21" customHeight="1" x14ac:dyDescent="0.25">
      <c r="A426" s="12">
        <f>IF(B426="","",COUNTA($B$2:B426))</f>
        <v>425</v>
      </c>
      <c r="B426" s="13" t="s">
        <v>882</v>
      </c>
      <c r="C426" s="14"/>
      <c r="D426" s="14" t="s">
        <v>300</v>
      </c>
      <c r="E426" s="14" t="s">
        <v>309</v>
      </c>
      <c r="F426" s="15" t="s">
        <v>329</v>
      </c>
      <c r="G426" s="16" t="s">
        <v>407</v>
      </c>
      <c r="H426" s="13">
        <v>32179</v>
      </c>
      <c r="I426" s="14" t="s">
        <v>492</v>
      </c>
      <c r="J426" s="14" t="s">
        <v>504</v>
      </c>
      <c r="K426" s="13">
        <v>44340</v>
      </c>
      <c r="L426" s="17">
        <v>60</v>
      </c>
      <c r="M426" s="13">
        <f t="shared" si="6"/>
        <v>44400</v>
      </c>
      <c r="N426" s="14"/>
      <c r="O426" s="14"/>
      <c r="P426" s="14"/>
      <c r="Q426" s="14"/>
      <c r="R426" s="13">
        <v>44986</v>
      </c>
      <c r="S426" s="13" t="s">
        <v>975</v>
      </c>
      <c r="T426" s="18"/>
    </row>
    <row r="427" spans="1:20" s="19" customFormat="1" ht="21" customHeight="1" x14ac:dyDescent="0.25">
      <c r="A427" s="12">
        <f>IF(B427="","",COUNTA($B$2:B427))</f>
        <v>426</v>
      </c>
      <c r="B427" s="13" t="s">
        <v>815</v>
      </c>
      <c r="C427" s="14"/>
      <c r="D427" s="14" t="s">
        <v>300</v>
      </c>
      <c r="E427" s="14" t="s">
        <v>314</v>
      </c>
      <c r="F427" s="15" t="s">
        <v>327</v>
      </c>
      <c r="G427" s="16" t="s">
        <v>341</v>
      </c>
      <c r="H427" s="13">
        <v>35894</v>
      </c>
      <c r="I427" s="14" t="s">
        <v>492</v>
      </c>
      <c r="J427" s="14" t="s">
        <v>504</v>
      </c>
      <c r="K427" s="13">
        <v>44340</v>
      </c>
      <c r="L427" s="17">
        <v>60</v>
      </c>
      <c r="M427" s="13">
        <f t="shared" si="6"/>
        <v>44400</v>
      </c>
      <c r="N427" s="14"/>
      <c r="O427" s="14"/>
      <c r="P427" s="14"/>
      <c r="Q427" s="14"/>
      <c r="R427" s="13">
        <v>44774</v>
      </c>
      <c r="S427" s="13" t="s">
        <v>972</v>
      </c>
      <c r="T427" s="18"/>
    </row>
    <row r="428" spans="1:20" s="19" customFormat="1" ht="21" customHeight="1" x14ac:dyDescent="0.25">
      <c r="A428" s="12">
        <f>IF(B428="","",COUNTA($B$2:B428))</f>
        <v>427</v>
      </c>
      <c r="B428" s="13" t="s">
        <v>606</v>
      </c>
      <c r="C428" s="14"/>
      <c r="D428" s="14" t="s">
        <v>298</v>
      </c>
      <c r="E428" s="14" t="s">
        <v>301</v>
      </c>
      <c r="F428" s="15" t="s">
        <v>464</v>
      </c>
      <c r="G428" s="16" t="s">
        <v>483</v>
      </c>
      <c r="H428" s="13">
        <v>34257</v>
      </c>
      <c r="I428" s="14" t="s">
        <v>491</v>
      </c>
      <c r="J428" s="14" t="s">
        <v>504</v>
      </c>
      <c r="K428" s="13">
        <v>44340</v>
      </c>
      <c r="L428" s="17">
        <v>60</v>
      </c>
      <c r="M428" s="13">
        <f t="shared" si="6"/>
        <v>44400</v>
      </c>
      <c r="N428" s="14"/>
      <c r="O428" s="14"/>
      <c r="P428" s="14"/>
      <c r="Q428" s="14"/>
      <c r="R428" s="13">
        <v>44256</v>
      </c>
      <c r="S428" s="13" t="s">
        <v>973</v>
      </c>
      <c r="T428" s="18"/>
    </row>
    <row r="429" spans="1:20" s="19" customFormat="1" ht="21" customHeight="1" x14ac:dyDescent="0.25">
      <c r="A429" s="12">
        <f>IF(B429="","",COUNTA($B$2:B429))</f>
        <v>428</v>
      </c>
      <c r="B429" s="13" t="s">
        <v>832</v>
      </c>
      <c r="C429" s="14"/>
      <c r="D429" s="14" t="s">
        <v>300</v>
      </c>
      <c r="E429" s="14" t="s">
        <v>311</v>
      </c>
      <c r="F429" s="22" t="s">
        <v>318</v>
      </c>
      <c r="G429" s="16" t="s">
        <v>320</v>
      </c>
      <c r="H429" s="13">
        <v>34214</v>
      </c>
      <c r="I429" s="14" t="s">
        <v>491</v>
      </c>
      <c r="J429" s="14" t="s">
        <v>504</v>
      </c>
      <c r="K429" s="13">
        <v>44341</v>
      </c>
      <c r="L429" s="17">
        <v>60</v>
      </c>
      <c r="M429" s="13">
        <f t="shared" si="6"/>
        <v>44401</v>
      </c>
      <c r="N429" s="14"/>
      <c r="O429" s="14" t="s">
        <v>538</v>
      </c>
      <c r="P429" s="14"/>
      <c r="Q429" s="14"/>
      <c r="R429" s="13">
        <v>44816</v>
      </c>
      <c r="S429" s="13" t="s">
        <v>972</v>
      </c>
      <c r="T429" s="18"/>
    </row>
    <row r="430" spans="1:20" s="19" customFormat="1" ht="21" customHeight="1" x14ac:dyDescent="0.25">
      <c r="A430" s="12">
        <f>IF(B430="","",COUNTA($B$2:B430))</f>
        <v>429</v>
      </c>
      <c r="B430" s="13" t="s">
        <v>624</v>
      </c>
      <c r="C430" s="14"/>
      <c r="D430" s="14" t="s">
        <v>299</v>
      </c>
      <c r="E430" s="14" t="s">
        <v>311</v>
      </c>
      <c r="F430" s="22" t="s">
        <v>939</v>
      </c>
      <c r="G430" s="16" t="s">
        <v>964</v>
      </c>
      <c r="H430" s="26">
        <v>33827</v>
      </c>
      <c r="I430" s="14" t="s">
        <v>492</v>
      </c>
      <c r="J430" s="14" t="s">
        <v>504</v>
      </c>
      <c r="K430" s="13">
        <v>44342</v>
      </c>
      <c r="L430" s="17">
        <v>60</v>
      </c>
      <c r="M430" s="13">
        <f t="shared" si="6"/>
        <v>44402</v>
      </c>
      <c r="N430" s="14"/>
      <c r="O430" s="14"/>
      <c r="P430" s="14"/>
      <c r="Q430" s="14"/>
      <c r="R430" s="13">
        <v>44403</v>
      </c>
      <c r="S430" s="13" t="s">
        <v>972</v>
      </c>
      <c r="T430" s="18"/>
    </row>
    <row r="431" spans="1:20" s="19" customFormat="1" ht="21" customHeight="1" x14ac:dyDescent="0.25">
      <c r="A431" s="12">
        <f>IF(B431="","",COUNTA($B$2:B431))</f>
        <v>430</v>
      </c>
      <c r="B431" s="20" t="s">
        <v>165</v>
      </c>
      <c r="C431" s="14"/>
      <c r="D431" s="14" t="s">
        <v>298</v>
      </c>
      <c r="E431" s="21" t="s">
        <v>311</v>
      </c>
      <c r="F431" s="22" t="s">
        <v>318</v>
      </c>
      <c r="G431" s="16" t="s">
        <v>320</v>
      </c>
      <c r="H431" s="13">
        <v>34552</v>
      </c>
      <c r="I431" s="20" t="s">
        <v>492</v>
      </c>
      <c r="J431" s="14" t="s">
        <v>935</v>
      </c>
      <c r="K431" s="13">
        <v>44344</v>
      </c>
      <c r="L431" s="17">
        <v>59</v>
      </c>
      <c r="M431" s="13">
        <f t="shared" si="6"/>
        <v>44403</v>
      </c>
      <c r="N431" s="14" t="s">
        <v>495</v>
      </c>
      <c r="O431" s="16" t="s">
        <v>539</v>
      </c>
      <c r="P431" s="16">
        <v>3</v>
      </c>
      <c r="Q431" s="14" t="s">
        <v>501</v>
      </c>
      <c r="R431" s="23"/>
      <c r="S431" s="23"/>
      <c r="T431" s="24"/>
    </row>
    <row r="432" spans="1:20" s="19" customFormat="1" ht="21" customHeight="1" x14ac:dyDescent="0.25">
      <c r="A432" s="12">
        <f>IF(B432="","",COUNTA($B$2:B432))</f>
        <v>431</v>
      </c>
      <c r="B432" s="13" t="s">
        <v>789</v>
      </c>
      <c r="C432" s="14"/>
      <c r="D432" s="14" t="s">
        <v>298</v>
      </c>
      <c r="E432" s="14" t="s">
        <v>310</v>
      </c>
      <c r="F432" s="15" t="s">
        <v>943</v>
      </c>
      <c r="G432" s="14" t="s">
        <v>445</v>
      </c>
      <c r="H432" s="13">
        <v>35356</v>
      </c>
      <c r="I432" s="14" t="s">
        <v>491</v>
      </c>
      <c r="J432" s="14" t="s">
        <v>504</v>
      </c>
      <c r="K432" s="13">
        <v>44347</v>
      </c>
      <c r="L432" s="17">
        <v>60</v>
      </c>
      <c r="M432" s="13">
        <f t="shared" si="6"/>
        <v>44407</v>
      </c>
      <c r="N432" s="14"/>
      <c r="O432" s="14" t="s">
        <v>539</v>
      </c>
      <c r="P432" s="14"/>
      <c r="Q432" s="14"/>
      <c r="R432" s="13">
        <v>44701</v>
      </c>
      <c r="S432" s="13" t="s">
        <v>975</v>
      </c>
      <c r="T432" s="18"/>
    </row>
    <row r="433" spans="1:20" s="19" customFormat="1" ht="21" customHeight="1" x14ac:dyDescent="0.25">
      <c r="A433" s="12">
        <f>IF(B433="","",COUNTA($B$2:B433))</f>
        <v>432</v>
      </c>
      <c r="B433" s="13" t="s">
        <v>690</v>
      </c>
      <c r="C433" s="14"/>
      <c r="D433" s="14" t="s">
        <v>298</v>
      </c>
      <c r="E433" s="14" t="s">
        <v>314</v>
      </c>
      <c r="F433" s="15" t="s">
        <v>330</v>
      </c>
      <c r="G433" s="16" t="s">
        <v>364</v>
      </c>
      <c r="H433" s="13">
        <v>35686</v>
      </c>
      <c r="I433" s="14" t="s">
        <v>492</v>
      </c>
      <c r="J433" s="14" t="s">
        <v>507</v>
      </c>
      <c r="K433" s="13">
        <v>44347</v>
      </c>
      <c r="L433" s="17">
        <v>60</v>
      </c>
      <c r="M433" s="13">
        <f t="shared" si="6"/>
        <v>44407</v>
      </c>
      <c r="N433" s="14"/>
      <c r="O433" s="14" t="s">
        <v>539</v>
      </c>
      <c r="P433" s="14"/>
      <c r="Q433" s="14"/>
      <c r="R433" s="13">
        <v>44612</v>
      </c>
      <c r="S433" s="13" t="s">
        <v>972</v>
      </c>
      <c r="T433" s="18"/>
    </row>
    <row r="434" spans="1:20" s="19" customFormat="1" ht="21" customHeight="1" x14ac:dyDescent="0.25">
      <c r="A434" s="12">
        <f>IF(B434="","",COUNTA($B$2:B434))</f>
        <v>433</v>
      </c>
      <c r="B434" s="13" t="s">
        <v>753</v>
      </c>
      <c r="C434" s="14"/>
      <c r="D434" s="14" t="s">
        <v>299</v>
      </c>
      <c r="E434" s="14" t="s">
        <v>313</v>
      </c>
      <c r="F434" s="15" t="s">
        <v>942</v>
      </c>
      <c r="G434" s="14" t="s">
        <v>960</v>
      </c>
      <c r="H434" s="13">
        <v>31778</v>
      </c>
      <c r="I434" s="14" t="s">
        <v>492</v>
      </c>
      <c r="J434" s="14" t="s">
        <v>504</v>
      </c>
      <c r="K434" s="13">
        <v>44348</v>
      </c>
      <c r="L434" s="17">
        <v>60</v>
      </c>
      <c r="M434" s="13">
        <f t="shared" si="6"/>
        <v>44408</v>
      </c>
      <c r="N434" s="14"/>
      <c r="O434" s="14"/>
      <c r="P434" s="14"/>
      <c r="Q434" s="14"/>
      <c r="R434" s="13">
        <v>44682</v>
      </c>
      <c r="S434" s="13" t="s">
        <v>977</v>
      </c>
      <c r="T434" s="18"/>
    </row>
    <row r="435" spans="1:20" s="19" customFormat="1" ht="21" customHeight="1" x14ac:dyDescent="0.25">
      <c r="A435" s="12">
        <f>IF(B435="","",COUNTA($B$2:B435))</f>
        <v>434</v>
      </c>
      <c r="B435" s="13" t="s">
        <v>774</v>
      </c>
      <c r="C435" s="14"/>
      <c r="D435" s="14" t="s">
        <v>299</v>
      </c>
      <c r="E435" s="14" t="s">
        <v>313</v>
      </c>
      <c r="F435" s="15" t="s">
        <v>942</v>
      </c>
      <c r="G435" s="14" t="s">
        <v>960</v>
      </c>
      <c r="H435" s="13">
        <v>33018</v>
      </c>
      <c r="I435" s="14" t="s">
        <v>492</v>
      </c>
      <c r="J435" s="14" t="s">
        <v>504</v>
      </c>
      <c r="K435" s="13">
        <v>44348</v>
      </c>
      <c r="L435" s="17">
        <v>60</v>
      </c>
      <c r="M435" s="13">
        <f t="shared" si="6"/>
        <v>44408</v>
      </c>
      <c r="N435" s="14"/>
      <c r="O435" s="14"/>
      <c r="P435" s="14"/>
      <c r="Q435" s="14"/>
      <c r="R435" s="13">
        <v>44682</v>
      </c>
      <c r="S435" s="13" t="s">
        <v>976</v>
      </c>
      <c r="T435" s="18"/>
    </row>
    <row r="436" spans="1:20" s="19" customFormat="1" ht="21" customHeight="1" x14ac:dyDescent="0.25">
      <c r="A436" s="12">
        <f>IF(B436="","",COUNTA($B$2:B436))</f>
        <v>435</v>
      </c>
      <c r="B436" s="13" t="s">
        <v>724</v>
      </c>
      <c r="C436" s="14"/>
      <c r="D436" s="14" t="s">
        <v>298</v>
      </c>
      <c r="E436" s="14" t="s">
        <v>311</v>
      </c>
      <c r="F436" s="22" t="s">
        <v>318</v>
      </c>
      <c r="G436" s="16" t="s">
        <v>320</v>
      </c>
      <c r="H436" s="13">
        <v>33217</v>
      </c>
      <c r="I436" s="14" t="s">
        <v>492</v>
      </c>
      <c r="J436" s="14" t="s">
        <v>504</v>
      </c>
      <c r="K436" s="13">
        <v>44348</v>
      </c>
      <c r="L436" s="17">
        <v>60</v>
      </c>
      <c r="M436" s="13">
        <f t="shared" si="6"/>
        <v>44408</v>
      </c>
      <c r="N436" s="14"/>
      <c r="O436" s="14"/>
      <c r="P436" s="14"/>
      <c r="Q436" s="14"/>
      <c r="R436" s="13">
        <v>44652</v>
      </c>
      <c r="S436" s="13" t="s">
        <v>977</v>
      </c>
      <c r="T436" s="18"/>
    </row>
    <row r="437" spans="1:20" s="19" customFormat="1" ht="21" customHeight="1" x14ac:dyDescent="0.25">
      <c r="A437" s="12">
        <f>IF(B437="","",COUNTA($B$2:B437))</f>
        <v>436</v>
      </c>
      <c r="B437" s="13" t="s">
        <v>607</v>
      </c>
      <c r="C437" s="14"/>
      <c r="D437" s="14" t="s">
        <v>299</v>
      </c>
      <c r="E437" s="14" t="s">
        <v>311</v>
      </c>
      <c r="F437" s="22" t="s">
        <v>939</v>
      </c>
      <c r="G437" s="16" t="s">
        <v>964</v>
      </c>
      <c r="H437" s="13">
        <v>33061</v>
      </c>
      <c r="I437" s="14" t="s">
        <v>492</v>
      </c>
      <c r="J437" s="14" t="s">
        <v>504</v>
      </c>
      <c r="K437" s="13">
        <v>44348</v>
      </c>
      <c r="L437" s="17">
        <v>60</v>
      </c>
      <c r="M437" s="13">
        <f t="shared" si="6"/>
        <v>44408</v>
      </c>
      <c r="N437" s="14"/>
      <c r="O437" s="14"/>
      <c r="P437" s="14"/>
      <c r="Q437" s="14"/>
      <c r="R437" s="13">
        <v>44353</v>
      </c>
      <c r="S437" s="13" t="s">
        <v>977</v>
      </c>
      <c r="T437" s="18"/>
    </row>
    <row r="438" spans="1:20" s="19" customFormat="1" ht="21" customHeight="1" x14ac:dyDescent="0.25">
      <c r="A438" s="12">
        <f>IF(B438="","",COUNTA($B$2:B438))</f>
        <v>437</v>
      </c>
      <c r="B438" s="13" t="s">
        <v>809</v>
      </c>
      <c r="C438" s="14"/>
      <c r="D438" s="14" t="s">
        <v>298</v>
      </c>
      <c r="E438" s="14" t="s">
        <v>304</v>
      </c>
      <c r="F438" s="15" t="s">
        <v>315</v>
      </c>
      <c r="G438" s="16" t="s">
        <v>381</v>
      </c>
      <c r="H438" s="13">
        <v>36369</v>
      </c>
      <c r="I438" s="14" t="s">
        <v>491</v>
      </c>
      <c r="J438" s="14" t="s">
        <v>504</v>
      </c>
      <c r="K438" s="13">
        <v>44350</v>
      </c>
      <c r="L438" s="17">
        <v>60</v>
      </c>
      <c r="M438" s="13">
        <f t="shared" si="6"/>
        <v>44410</v>
      </c>
      <c r="N438" s="14"/>
      <c r="O438" s="14" t="s">
        <v>539</v>
      </c>
      <c r="P438" s="14"/>
      <c r="Q438" s="14"/>
      <c r="R438" s="13">
        <v>44745</v>
      </c>
      <c r="S438" s="13" t="s">
        <v>973</v>
      </c>
      <c r="T438" s="18"/>
    </row>
    <row r="439" spans="1:20" s="19" customFormat="1" ht="21" customHeight="1" x14ac:dyDescent="0.25">
      <c r="A439" s="12">
        <f>IF(B439="","",COUNTA($B$2:B439))</f>
        <v>438</v>
      </c>
      <c r="B439" s="13" t="s">
        <v>608</v>
      </c>
      <c r="C439" s="14"/>
      <c r="D439" s="14" t="s">
        <v>298</v>
      </c>
      <c r="E439" s="14" t="s">
        <v>304</v>
      </c>
      <c r="F439" s="22" t="s">
        <v>368</v>
      </c>
      <c r="G439" s="16" t="s">
        <v>378</v>
      </c>
      <c r="H439" s="13">
        <v>34221</v>
      </c>
      <c r="I439" s="14" t="s">
        <v>491</v>
      </c>
      <c r="J439" s="14" t="s">
        <v>504</v>
      </c>
      <c r="K439" s="13">
        <v>44354</v>
      </c>
      <c r="L439" s="17">
        <v>60</v>
      </c>
      <c r="M439" s="13">
        <f t="shared" si="6"/>
        <v>44414</v>
      </c>
      <c r="N439" s="14"/>
      <c r="O439" s="14"/>
      <c r="P439" s="14"/>
      <c r="Q439" s="14"/>
      <c r="R439" s="13">
        <v>44358</v>
      </c>
      <c r="S439" s="13" t="s">
        <v>972</v>
      </c>
      <c r="T439" s="18"/>
    </row>
    <row r="440" spans="1:20" s="19" customFormat="1" ht="21" customHeight="1" x14ac:dyDescent="0.25">
      <c r="A440" s="12">
        <f>IF(B440="","",COUNTA($B$2:B440))</f>
        <v>439</v>
      </c>
      <c r="B440" s="20" t="s">
        <v>13</v>
      </c>
      <c r="C440" s="14"/>
      <c r="D440" s="14" t="s">
        <v>298</v>
      </c>
      <c r="E440" s="21" t="s">
        <v>301</v>
      </c>
      <c r="F440" s="22" t="s">
        <v>464</v>
      </c>
      <c r="G440" s="16" t="s">
        <v>468</v>
      </c>
      <c r="H440" s="13">
        <v>33308</v>
      </c>
      <c r="I440" s="20" t="s">
        <v>491</v>
      </c>
      <c r="J440" s="14" t="s">
        <v>504</v>
      </c>
      <c r="K440" s="13">
        <v>44368</v>
      </c>
      <c r="L440" s="17">
        <v>59</v>
      </c>
      <c r="M440" s="13">
        <f t="shared" si="6"/>
        <v>44427</v>
      </c>
      <c r="N440" s="14" t="s">
        <v>495</v>
      </c>
      <c r="O440" s="16" t="s">
        <v>538</v>
      </c>
      <c r="P440" s="16">
        <v>3</v>
      </c>
      <c r="Q440" s="14" t="s">
        <v>501</v>
      </c>
      <c r="R440" s="23"/>
      <c r="S440" s="23"/>
      <c r="T440" s="24"/>
    </row>
    <row r="441" spans="1:20" s="19" customFormat="1" ht="21" customHeight="1" x14ac:dyDescent="0.25">
      <c r="A441" s="12">
        <f>IF(B441="","",COUNTA($B$2:B441))</f>
        <v>440</v>
      </c>
      <c r="B441" s="20" t="s">
        <v>231</v>
      </c>
      <c r="C441" s="20"/>
      <c r="D441" s="20" t="s">
        <v>298</v>
      </c>
      <c r="E441" s="20" t="s">
        <v>314</v>
      </c>
      <c r="F441" s="25" t="s">
        <v>327</v>
      </c>
      <c r="G441" s="16" t="s">
        <v>333</v>
      </c>
      <c r="H441" s="13">
        <v>31117</v>
      </c>
      <c r="I441" s="20" t="s">
        <v>492</v>
      </c>
      <c r="J441" s="14" t="s">
        <v>504</v>
      </c>
      <c r="K441" s="13">
        <v>44368</v>
      </c>
      <c r="L441" s="17">
        <v>59</v>
      </c>
      <c r="M441" s="13">
        <f t="shared" si="6"/>
        <v>44427</v>
      </c>
      <c r="N441" s="14" t="s">
        <v>495</v>
      </c>
      <c r="O441" s="16" t="s">
        <v>538</v>
      </c>
      <c r="P441" s="16">
        <v>3</v>
      </c>
      <c r="Q441" s="14" t="s">
        <v>501</v>
      </c>
      <c r="R441" s="23"/>
      <c r="S441" s="23"/>
      <c r="T441" s="24"/>
    </row>
    <row r="442" spans="1:20" s="19" customFormat="1" ht="21" customHeight="1" x14ac:dyDescent="0.25">
      <c r="A442" s="12">
        <f>IF(B442="","",COUNTA($B$2:B442))</f>
        <v>441</v>
      </c>
      <c r="B442" s="13" t="s">
        <v>755</v>
      </c>
      <c r="C442" s="14"/>
      <c r="D442" s="14" t="s">
        <v>300</v>
      </c>
      <c r="E442" s="14" t="s">
        <v>313</v>
      </c>
      <c r="F442" s="15" t="s">
        <v>942</v>
      </c>
      <c r="G442" s="14" t="s">
        <v>960</v>
      </c>
      <c r="H442" s="13">
        <v>34590</v>
      </c>
      <c r="I442" s="14" t="s">
        <v>492</v>
      </c>
      <c r="J442" s="14" t="s">
        <v>504</v>
      </c>
      <c r="K442" s="13">
        <v>44375</v>
      </c>
      <c r="L442" s="17">
        <v>60</v>
      </c>
      <c r="M442" s="13">
        <f t="shared" si="6"/>
        <v>44435</v>
      </c>
      <c r="N442" s="14"/>
      <c r="O442" s="14"/>
      <c r="P442" s="14"/>
      <c r="Q442" s="14"/>
      <c r="R442" s="13">
        <v>44682</v>
      </c>
      <c r="S442" s="13" t="s">
        <v>975</v>
      </c>
      <c r="T442" s="18"/>
    </row>
    <row r="443" spans="1:20" s="19" customFormat="1" ht="21" customHeight="1" x14ac:dyDescent="0.25">
      <c r="A443" s="12">
        <f>IF(B443="","",COUNTA($B$2:B443))</f>
        <v>442</v>
      </c>
      <c r="B443" s="13" t="s">
        <v>640</v>
      </c>
      <c r="C443" s="14"/>
      <c r="D443" s="14" t="s">
        <v>298</v>
      </c>
      <c r="E443" s="14" t="s">
        <v>311</v>
      </c>
      <c r="F443" s="22" t="s">
        <v>317</v>
      </c>
      <c r="G443" s="16" t="s">
        <v>320</v>
      </c>
      <c r="H443" s="13">
        <v>32835</v>
      </c>
      <c r="I443" s="14" t="s">
        <v>492</v>
      </c>
      <c r="J443" s="14" t="s">
        <v>507</v>
      </c>
      <c r="K443" s="13">
        <v>44375</v>
      </c>
      <c r="L443" s="17">
        <v>60</v>
      </c>
      <c r="M443" s="13">
        <f t="shared" si="6"/>
        <v>44435</v>
      </c>
      <c r="N443" s="14"/>
      <c r="O443" s="14" t="s">
        <v>938</v>
      </c>
      <c r="P443" s="14"/>
      <c r="Q443" s="14"/>
      <c r="R443" s="13">
        <v>44470</v>
      </c>
      <c r="S443" s="13" t="s">
        <v>973</v>
      </c>
      <c r="T443" s="18"/>
    </row>
    <row r="444" spans="1:20" s="19" customFormat="1" ht="21" customHeight="1" x14ac:dyDescent="0.25">
      <c r="A444" s="12">
        <f>IF(B444="","",COUNTA($B$2:B444))</f>
        <v>443</v>
      </c>
      <c r="B444" s="20" t="s">
        <v>225</v>
      </c>
      <c r="C444" s="14"/>
      <c r="D444" s="14" t="s">
        <v>299</v>
      </c>
      <c r="E444" s="21" t="s">
        <v>313</v>
      </c>
      <c r="F444" s="22" t="s">
        <v>450</v>
      </c>
      <c r="G444" s="16" t="s">
        <v>460</v>
      </c>
      <c r="H444" s="13">
        <v>34215</v>
      </c>
      <c r="I444" s="20" t="s">
        <v>492</v>
      </c>
      <c r="J444" s="14" t="s">
        <v>504</v>
      </c>
      <c r="K444" s="13">
        <v>44378</v>
      </c>
      <c r="L444" s="17">
        <v>59</v>
      </c>
      <c r="M444" s="13">
        <f t="shared" si="6"/>
        <v>44437</v>
      </c>
      <c r="N444" s="14" t="s">
        <v>495</v>
      </c>
      <c r="O444" s="16" t="s">
        <v>538</v>
      </c>
      <c r="P444" s="16">
        <v>3</v>
      </c>
      <c r="Q444" s="14" t="s">
        <v>501</v>
      </c>
      <c r="R444" s="23"/>
      <c r="S444" s="23"/>
      <c r="T444" s="24"/>
    </row>
    <row r="445" spans="1:20" s="19" customFormat="1" ht="21" customHeight="1" x14ac:dyDescent="0.25">
      <c r="A445" s="12">
        <f>IF(B445="","",COUNTA($B$2:B445))</f>
        <v>444</v>
      </c>
      <c r="B445" s="13" t="s">
        <v>890</v>
      </c>
      <c r="C445" s="14"/>
      <c r="D445" s="14" t="s">
        <v>299</v>
      </c>
      <c r="E445" s="14" t="s">
        <v>311</v>
      </c>
      <c r="F445" s="22" t="s">
        <v>316</v>
      </c>
      <c r="G445" s="16" t="s">
        <v>320</v>
      </c>
      <c r="H445" s="13">
        <v>34203</v>
      </c>
      <c r="I445" s="14" t="s">
        <v>492</v>
      </c>
      <c r="J445" s="14" t="s">
        <v>504</v>
      </c>
      <c r="K445" s="13">
        <v>44378</v>
      </c>
      <c r="L445" s="17">
        <v>60</v>
      </c>
      <c r="M445" s="13">
        <f t="shared" si="6"/>
        <v>44438</v>
      </c>
      <c r="N445" s="14"/>
      <c r="O445" s="14"/>
      <c r="P445" s="14"/>
      <c r="Q445" s="14"/>
      <c r="R445" s="13">
        <v>45001</v>
      </c>
      <c r="S445" s="13" t="s">
        <v>975</v>
      </c>
      <c r="T445" s="24"/>
    </row>
    <row r="446" spans="1:20" s="19" customFormat="1" ht="21" customHeight="1" x14ac:dyDescent="0.25">
      <c r="A446" s="12">
        <f>IF(B446="","",COUNTA($B$2:B446))</f>
        <v>445</v>
      </c>
      <c r="B446" s="13" t="s">
        <v>812</v>
      </c>
      <c r="C446" s="14"/>
      <c r="D446" s="14" t="s">
        <v>298</v>
      </c>
      <c r="E446" s="14" t="s">
        <v>314</v>
      </c>
      <c r="F446" s="15" t="s">
        <v>328</v>
      </c>
      <c r="G446" s="16" t="s">
        <v>349</v>
      </c>
      <c r="H446" s="13">
        <v>34520</v>
      </c>
      <c r="I446" s="14" t="s">
        <v>491</v>
      </c>
      <c r="J446" s="14" t="s">
        <v>504</v>
      </c>
      <c r="K446" s="13">
        <v>44378</v>
      </c>
      <c r="L446" s="17">
        <v>60</v>
      </c>
      <c r="M446" s="13">
        <f t="shared" si="6"/>
        <v>44438</v>
      </c>
      <c r="N446" s="14"/>
      <c r="O446" s="14" t="s">
        <v>538</v>
      </c>
      <c r="P446" s="14"/>
      <c r="Q446" s="14"/>
      <c r="R446" s="13">
        <v>44756</v>
      </c>
      <c r="S446" s="13" t="s">
        <v>973</v>
      </c>
      <c r="T446" s="18"/>
    </row>
    <row r="447" spans="1:20" s="19" customFormat="1" ht="21" customHeight="1" x14ac:dyDescent="0.25">
      <c r="A447" s="12">
        <f>IF(B447="","",COUNTA($B$2:B447))</f>
        <v>446</v>
      </c>
      <c r="B447" s="13" t="s">
        <v>644</v>
      </c>
      <c r="C447" s="14"/>
      <c r="D447" s="14" t="s">
        <v>300</v>
      </c>
      <c r="E447" s="14" t="s">
        <v>311</v>
      </c>
      <c r="F447" s="22" t="s">
        <v>318</v>
      </c>
      <c r="G447" s="16" t="s">
        <v>320</v>
      </c>
      <c r="H447" s="13">
        <v>35065</v>
      </c>
      <c r="I447" s="14" t="s">
        <v>492</v>
      </c>
      <c r="J447" s="14" t="s">
        <v>504</v>
      </c>
      <c r="K447" s="13">
        <v>44378</v>
      </c>
      <c r="L447" s="17">
        <v>60</v>
      </c>
      <c r="M447" s="13">
        <f t="shared" si="6"/>
        <v>44438</v>
      </c>
      <c r="N447" s="14"/>
      <c r="O447" s="14"/>
      <c r="P447" s="14"/>
      <c r="Q447" s="14"/>
      <c r="R447" s="13">
        <v>44500</v>
      </c>
      <c r="S447" s="13" t="s">
        <v>973</v>
      </c>
      <c r="T447" s="18"/>
    </row>
    <row r="448" spans="1:20" s="19" customFormat="1" ht="21" customHeight="1" x14ac:dyDescent="0.25">
      <c r="A448" s="12">
        <f>IF(B448="","",COUNTA($B$2:B448))</f>
        <v>447</v>
      </c>
      <c r="B448" s="13" t="s">
        <v>620</v>
      </c>
      <c r="C448" s="14"/>
      <c r="D448" s="14" t="s">
        <v>299</v>
      </c>
      <c r="E448" s="14" t="s">
        <v>309</v>
      </c>
      <c r="F448" s="15" t="s">
        <v>940</v>
      </c>
      <c r="G448" s="16" t="s">
        <v>407</v>
      </c>
      <c r="H448" s="26">
        <v>33239</v>
      </c>
      <c r="I448" s="14" t="s">
        <v>491</v>
      </c>
      <c r="J448" s="14" t="s">
        <v>504</v>
      </c>
      <c r="K448" s="13">
        <v>44378</v>
      </c>
      <c r="L448" s="17">
        <v>60</v>
      </c>
      <c r="M448" s="13">
        <f t="shared" si="6"/>
        <v>44438</v>
      </c>
      <c r="N448" s="14"/>
      <c r="O448" s="14"/>
      <c r="P448" s="14"/>
      <c r="Q448" s="14"/>
      <c r="R448" s="13">
        <v>44403</v>
      </c>
      <c r="S448" s="13" t="s">
        <v>977</v>
      </c>
      <c r="T448" s="18"/>
    </row>
    <row r="449" spans="1:20" s="19" customFormat="1" ht="21" customHeight="1" x14ac:dyDescent="0.25">
      <c r="A449" s="12">
        <f>IF(B449="","",COUNTA($B$2:B449))</f>
        <v>448</v>
      </c>
      <c r="B449" s="13" t="s">
        <v>621</v>
      </c>
      <c r="C449" s="14"/>
      <c r="D449" s="14" t="s">
        <v>298</v>
      </c>
      <c r="E449" s="14" t="s">
        <v>311</v>
      </c>
      <c r="F449" s="22" t="s">
        <v>315</v>
      </c>
      <c r="G449" s="16" t="s">
        <v>315</v>
      </c>
      <c r="H449" s="13">
        <v>33789</v>
      </c>
      <c r="I449" s="14" t="s">
        <v>491</v>
      </c>
      <c r="J449" s="14" t="s">
        <v>504</v>
      </c>
      <c r="K449" s="13">
        <v>44378</v>
      </c>
      <c r="L449" s="17">
        <v>60</v>
      </c>
      <c r="M449" s="13">
        <f t="shared" si="6"/>
        <v>44438</v>
      </c>
      <c r="N449" s="14"/>
      <c r="O449" s="14"/>
      <c r="P449" s="14"/>
      <c r="Q449" s="14"/>
      <c r="R449" s="13">
        <v>44384</v>
      </c>
      <c r="S449" s="13" t="s">
        <v>977</v>
      </c>
      <c r="T449" s="18"/>
    </row>
    <row r="450" spans="1:20" s="19" customFormat="1" ht="21" customHeight="1" x14ac:dyDescent="0.25">
      <c r="A450" s="12">
        <f>IF(B450="","",COUNTA($B$2:B450))</f>
        <v>449</v>
      </c>
      <c r="B450" s="13" t="s">
        <v>652</v>
      </c>
      <c r="C450" s="14"/>
      <c r="D450" s="14" t="s">
        <v>298</v>
      </c>
      <c r="E450" s="14" t="s">
        <v>314</v>
      </c>
      <c r="F450" s="22" t="s">
        <v>330</v>
      </c>
      <c r="G450" s="16" t="s">
        <v>361</v>
      </c>
      <c r="H450" s="13">
        <v>35250</v>
      </c>
      <c r="I450" s="14" t="s">
        <v>491</v>
      </c>
      <c r="J450" s="14" t="s">
        <v>504</v>
      </c>
      <c r="K450" s="13">
        <v>44382</v>
      </c>
      <c r="L450" s="17">
        <v>60</v>
      </c>
      <c r="M450" s="13">
        <f t="shared" ref="M450:M513" si="7">K450+L450</f>
        <v>44442</v>
      </c>
      <c r="N450" s="14"/>
      <c r="O450" s="14"/>
      <c r="P450" s="14"/>
      <c r="Q450" s="14"/>
      <c r="R450" s="13">
        <v>44511</v>
      </c>
      <c r="S450" s="13" t="s">
        <v>975</v>
      </c>
      <c r="T450" s="18"/>
    </row>
    <row r="451" spans="1:20" s="19" customFormat="1" ht="21" customHeight="1" x14ac:dyDescent="0.25">
      <c r="A451" s="12">
        <f>IF(B451="","",COUNTA($B$2:B451))</f>
        <v>450</v>
      </c>
      <c r="B451" s="20" t="s">
        <v>41</v>
      </c>
      <c r="C451" s="14"/>
      <c r="D451" s="14" t="s">
        <v>298</v>
      </c>
      <c r="E451" s="21" t="s">
        <v>304</v>
      </c>
      <c r="F451" s="22" t="s">
        <v>368</v>
      </c>
      <c r="G451" s="16" t="s">
        <v>377</v>
      </c>
      <c r="H451" s="13">
        <v>31653</v>
      </c>
      <c r="I451" s="20" t="s">
        <v>491</v>
      </c>
      <c r="J451" s="14" t="s">
        <v>504</v>
      </c>
      <c r="K451" s="13">
        <v>44384</v>
      </c>
      <c r="L451" s="17">
        <v>61</v>
      </c>
      <c r="M451" s="13">
        <f t="shared" si="7"/>
        <v>44445</v>
      </c>
      <c r="N451" s="14" t="s">
        <v>495</v>
      </c>
      <c r="O451" s="16" t="s">
        <v>538</v>
      </c>
      <c r="P451" s="16">
        <v>3</v>
      </c>
      <c r="Q451" s="14" t="s">
        <v>501</v>
      </c>
      <c r="R451" s="23"/>
      <c r="S451" s="23"/>
      <c r="T451" s="24"/>
    </row>
    <row r="452" spans="1:20" s="19" customFormat="1" ht="21" customHeight="1" x14ac:dyDescent="0.25">
      <c r="A452" s="12">
        <f>IF(B452="","",COUNTA($B$2:B452))</f>
        <v>451</v>
      </c>
      <c r="B452" s="13" t="s">
        <v>619</v>
      </c>
      <c r="C452" s="14"/>
      <c r="D452" s="14" t="s">
        <v>298</v>
      </c>
      <c r="E452" s="14" t="s">
        <v>304</v>
      </c>
      <c r="F452" s="22" t="s">
        <v>368</v>
      </c>
      <c r="G452" s="16" t="s">
        <v>378</v>
      </c>
      <c r="H452" s="13">
        <v>34855</v>
      </c>
      <c r="I452" s="14" t="s">
        <v>492</v>
      </c>
      <c r="J452" s="14" t="s">
        <v>504</v>
      </c>
      <c r="K452" s="13">
        <v>44384</v>
      </c>
      <c r="L452" s="17">
        <v>60</v>
      </c>
      <c r="M452" s="13">
        <f t="shared" si="7"/>
        <v>44444</v>
      </c>
      <c r="N452" s="14"/>
      <c r="O452" s="14" t="s">
        <v>539</v>
      </c>
      <c r="P452" s="14"/>
      <c r="Q452" s="14"/>
      <c r="R452" s="13">
        <v>44385</v>
      </c>
      <c r="S452" s="13" t="s">
        <v>973</v>
      </c>
      <c r="T452" s="18"/>
    </row>
    <row r="453" spans="1:20" s="19" customFormat="1" ht="21" customHeight="1" x14ac:dyDescent="0.25">
      <c r="A453" s="12">
        <f>IF(B453="","",COUNTA($B$2:B453))</f>
        <v>452</v>
      </c>
      <c r="B453" s="20" t="s">
        <v>42</v>
      </c>
      <c r="C453" s="14"/>
      <c r="D453" s="14" t="s">
        <v>298</v>
      </c>
      <c r="E453" s="21" t="s">
        <v>304</v>
      </c>
      <c r="F453" s="22" t="s">
        <v>368</v>
      </c>
      <c r="G453" s="16" t="s">
        <v>378</v>
      </c>
      <c r="H453" s="13">
        <v>34156</v>
      </c>
      <c r="I453" s="20" t="s">
        <v>491</v>
      </c>
      <c r="J453" s="14" t="s">
        <v>504</v>
      </c>
      <c r="K453" s="13">
        <v>44389</v>
      </c>
      <c r="L453" s="17">
        <v>61</v>
      </c>
      <c r="M453" s="13">
        <f t="shared" si="7"/>
        <v>44450</v>
      </c>
      <c r="N453" s="14" t="s">
        <v>495</v>
      </c>
      <c r="O453" s="16" t="s">
        <v>539</v>
      </c>
      <c r="P453" s="16">
        <v>3</v>
      </c>
      <c r="Q453" s="14" t="s">
        <v>501</v>
      </c>
      <c r="R453" s="23"/>
      <c r="S453" s="23"/>
      <c r="T453" s="24"/>
    </row>
    <row r="454" spans="1:20" s="19" customFormat="1" ht="21" customHeight="1" x14ac:dyDescent="0.25">
      <c r="A454" s="12">
        <f>IF(B454="","",COUNTA($B$2:B454))</f>
        <v>453</v>
      </c>
      <c r="B454" s="20" t="s">
        <v>259</v>
      </c>
      <c r="C454" s="14"/>
      <c r="D454" s="14" t="s">
        <v>298</v>
      </c>
      <c r="E454" s="21" t="s">
        <v>314</v>
      </c>
      <c r="F454" s="22" t="s">
        <v>328</v>
      </c>
      <c r="G454" s="16" t="s">
        <v>346</v>
      </c>
      <c r="H454" s="13">
        <v>32940</v>
      </c>
      <c r="I454" s="20" t="s">
        <v>491</v>
      </c>
      <c r="J454" s="14" t="s">
        <v>504</v>
      </c>
      <c r="K454" s="13">
        <v>44389</v>
      </c>
      <c r="L454" s="17">
        <v>61</v>
      </c>
      <c r="M454" s="13">
        <f t="shared" si="7"/>
        <v>44450</v>
      </c>
      <c r="N454" s="14" t="s">
        <v>495</v>
      </c>
      <c r="O454" s="16" t="s">
        <v>538</v>
      </c>
      <c r="P454" s="16">
        <v>3</v>
      </c>
      <c r="Q454" s="14" t="s">
        <v>501</v>
      </c>
      <c r="R454" s="23"/>
      <c r="S454" s="23"/>
      <c r="T454" s="24"/>
    </row>
    <row r="455" spans="1:20" s="19" customFormat="1" ht="21" customHeight="1" x14ac:dyDescent="0.25">
      <c r="A455" s="12">
        <f>IF(B455="","",COUNTA($B$2:B455))</f>
        <v>454</v>
      </c>
      <c r="B455" s="13" t="s">
        <v>682</v>
      </c>
      <c r="C455" s="14"/>
      <c r="D455" s="14" t="s">
        <v>298</v>
      </c>
      <c r="E455" s="14" t="s">
        <v>314</v>
      </c>
      <c r="F455" s="22" t="s">
        <v>330</v>
      </c>
      <c r="G455" s="16" t="s">
        <v>361</v>
      </c>
      <c r="H455" s="13">
        <v>35936</v>
      </c>
      <c r="I455" s="14" t="s">
        <v>491</v>
      </c>
      <c r="J455" s="14" t="s">
        <v>504</v>
      </c>
      <c r="K455" s="13">
        <v>44389</v>
      </c>
      <c r="L455" s="17">
        <v>60</v>
      </c>
      <c r="M455" s="13">
        <f t="shared" si="7"/>
        <v>44449</v>
      </c>
      <c r="N455" s="14"/>
      <c r="O455" s="14"/>
      <c r="P455" s="14"/>
      <c r="Q455" s="14"/>
      <c r="R455" s="13">
        <v>44593</v>
      </c>
      <c r="S455" s="13" t="s">
        <v>972</v>
      </c>
      <c r="T455" s="18"/>
    </row>
    <row r="456" spans="1:20" s="19" customFormat="1" ht="21" customHeight="1" x14ac:dyDescent="0.25">
      <c r="A456" s="12">
        <f>IF(B456="","",COUNTA($B$2:B456))</f>
        <v>455</v>
      </c>
      <c r="B456" s="13" t="s">
        <v>750</v>
      </c>
      <c r="C456" s="14"/>
      <c r="D456" s="14" t="s">
        <v>298</v>
      </c>
      <c r="E456" s="14" t="s">
        <v>313</v>
      </c>
      <c r="F456" s="15" t="s">
        <v>942</v>
      </c>
      <c r="G456" s="14" t="s">
        <v>960</v>
      </c>
      <c r="H456" s="13">
        <v>33284</v>
      </c>
      <c r="I456" s="14" t="s">
        <v>492</v>
      </c>
      <c r="J456" s="14" t="s">
        <v>507</v>
      </c>
      <c r="K456" s="13">
        <v>44392</v>
      </c>
      <c r="L456" s="17">
        <v>60</v>
      </c>
      <c r="M456" s="13">
        <f t="shared" si="7"/>
        <v>44452</v>
      </c>
      <c r="N456" s="14"/>
      <c r="O456" s="14"/>
      <c r="P456" s="14"/>
      <c r="Q456" s="14"/>
      <c r="R456" s="13">
        <v>44682</v>
      </c>
      <c r="S456" s="13" t="s">
        <v>977</v>
      </c>
      <c r="T456" s="18"/>
    </row>
    <row r="457" spans="1:20" s="19" customFormat="1" ht="21" customHeight="1" x14ac:dyDescent="0.25">
      <c r="A457" s="12">
        <f>IF(B457="","",COUNTA($B$2:B457))</f>
        <v>456</v>
      </c>
      <c r="B457" s="13" t="s">
        <v>751</v>
      </c>
      <c r="C457" s="14"/>
      <c r="D457" s="14" t="s">
        <v>298</v>
      </c>
      <c r="E457" s="14" t="s">
        <v>313</v>
      </c>
      <c r="F457" s="15" t="s">
        <v>942</v>
      </c>
      <c r="G457" s="14" t="s">
        <v>960</v>
      </c>
      <c r="H457" s="13">
        <v>31552</v>
      </c>
      <c r="I457" s="14" t="s">
        <v>492</v>
      </c>
      <c r="J457" s="14" t="s">
        <v>504</v>
      </c>
      <c r="K457" s="13">
        <v>44396</v>
      </c>
      <c r="L457" s="17">
        <v>60</v>
      </c>
      <c r="M457" s="13">
        <f t="shared" si="7"/>
        <v>44456</v>
      </c>
      <c r="N457" s="14"/>
      <c r="O457" s="14" t="s">
        <v>538</v>
      </c>
      <c r="P457" s="14"/>
      <c r="Q457" s="14"/>
      <c r="R457" s="13">
        <v>44682</v>
      </c>
      <c r="S457" s="13" t="s">
        <v>972</v>
      </c>
      <c r="T457" s="18"/>
    </row>
    <row r="458" spans="1:20" s="19" customFormat="1" ht="21" customHeight="1" x14ac:dyDescent="0.25">
      <c r="A458" s="12">
        <f>IF(B458="","",COUNTA($B$2:B458))</f>
        <v>457</v>
      </c>
      <c r="B458" s="20" t="s">
        <v>75</v>
      </c>
      <c r="C458" s="14"/>
      <c r="D458" s="14" t="s">
        <v>298</v>
      </c>
      <c r="E458" s="21" t="s">
        <v>308</v>
      </c>
      <c r="F458" s="22" t="s">
        <v>441</v>
      </c>
      <c r="G458" s="16" t="s">
        <v>443</v>
      </c>
      <c r="H458" s="13">
        <v>29755</v>
      </c>
      <c r="I458" s="20" t="s">
        <v>492</v>
      </c>
      <c r="J458" s="14" t="s">
        <v>504</v>
      </c>
      <c r="K458" s="13">
        <v>44397</v>
      </c>
      <c r="L458" s="17">
        <v>61</v>
      </c>
      <c r="M458" s="13">
        <f t="shared" si="7"/>
        <v>44458</v>
      </c>
      <c r="N458" s="14" t="s">
        <v>495</v>
      </c>
      <c r="O458" s="16" t="s">
        <v>538</v>
      </c>
      <c r="P458" s="16">
        <v>3</v>
      </c>
      <c r="Q458" s="14" t="s">
        <v>501</v>
      </c>
      <c r="R458" s="23"/>
      <c r="S458" s="23"/>
      <c r="T458" s="24"/>
    </row>
    <row r="459" spans="1:20" s="19" customFormat="1" ht="21" customHeight="1" x14ac:dyDescent="0.25">
      <c r="A459" s="12">
        <f>IF(B459="","",COUNTA($B$2:B459))</f>
        <v>458</v>
      </c>
      <c r="B459" s="13" t="s">
        <v>925</v>
      </c>
      <c r="C459" s="14"/>
      <c r="D459" s="14" t="s">
        <v>298</v>
      </c>
      <c r="E459" s="14" t="s">
        <v>313</v>
      </c>
      <c r="F459" s="15" t="s">
        <v>942</v>
      </c>
      <c r="G459" s="14" t="s">
        <v>957</v>
      </c>
      <c r="H459" s="13">
        <v>32037</v>
      </c>
      <c r="I459" s="14" t="s">
        <v>491</v>
      </c>
      <c r="J459" s="14" t="s">
        <v>504</v>
      </c>
      <c r="K459" s="13">
        <v>44417</v>
      </c>
      <c r="L459" s="17">
        <v>60</v>
      </c>
      <c r="M459" s="13">
        <f t="shared" si="7"/>
        <v>44477</v>
      </c>
      <c r="N459" s="14"/>
      <c r="O459" s="14" t="s">
        <v>538</v>
      </c>
      <c r="P459" s="14"/>
      <c r="Q459" s="14"/>
      <c r="R459" s="13">
        <v>45146</v>
      </c>
      <c r="S459" s="13" t="s">
        <v>975</v>
      </c>
      <c r="T459" s="24"/>
    </row>
    <row r="460" spans="1:20" s="19" customFormat="1" ht="21" customHeight="1" x14ac:dyDescent="0.25">
      <c r="A460" s="12">
        <f>IF(B460="","",COUNTA($B$2:B460))</f>
        <v>459</v>
      </c>
      <c r="B460" s="20" t="s">
        <v>107</v>
      </c>
      <c r="C460" s="14"/>
      <c r="D460" s="14" t="s">
        <v>298</v>
      </c>
      <c r="E460" s="21" t="s">
        <v>310</v>
      </c>
      <c r="F460" s="22" t="s">
        <v>310</v>
      </c>
      <c r="G460" s="16" t="s">
        <v>416</v>
      </c>
      <c r="H460" s="13">
        <v>32401</v>
      </c>
      <c r="I460" s="20" t="s">
        <v>491</v>
      </c>
      <c r="J460" s="14" t="s">
        <v>504</v>
      </c>
      <c r="K460" s="13">
        <v>44431</v>
      </c>
      <c r="L460" s="17">
        <v>60</v>
      </c>
      <c r="M460" s="13">
        <f t="shared" si="7"/>
        <v>44491</v>
      </c>
      <c r="N460" s="14" t="s">
        <v>495</v>
      </c>
      <c r="O460" s="16" t="s">
        <v>538</v>
      </c>
      <c r="P460" s="16">
        <v>3</v>
      </c>
      <c r="Q460" s="14" t="s">
        <v>501</v>
      </c>
      <c r="R460" s="23"/>
      <c r="S460" s="23"/>
      <c r="T460" s="24"/>
    </row>
    <row r="461" spans="1:20" s="19" customFormat="1" ht="21" customHeight="1" x14ac:dyDescent="0.25">
      <c r="A461" s="12">
        <f>IF(B461="","",COUNTA($B$2:B461))</f>
        <v>460</v>
      </c>
      <c r="B461" s="20" t="s">
        <v>55</v>
      </c>
      <c r="C461" s="14"/>
      <c r="D461" s="14" t="s">
        <v>298</v>
      </c>
      <c r="E461" s="21" t="s">
        <v>305</v>
      </c>
      <c r="F461" s="22" t="s">
        <v>392</v>
      </c>
      <c r="G461" s="16" t="s">
        <v>385</v>
      </c>
      <c r="H461" s="13">
        <v>33836</v>
      </c>
      <c r="I461" s="20" t="s">
        <v>492</v>
      </c>
      <c r="J461" s="14" t="s">
        <v>504</v>
      </c>
      <c r="K461" s="13">
        <v>44433</v>
      </c>
      <c r="L461" s="17">
        <v>60</v>
      </c>
      <c r="M461" s="13">
        <f t="shared" si="7"/>
        <v>44493</v>
      </c>
      <c r="N461" s="14" t="s">
        <v>495</v>
      </c>
      <c r="O461" s="16" t="s">
        <v>538</v>
      </c>
      <c r="P461" s="16">
        <v>3</v>
      </c>
      <c r="Q461" s="14" t="s">
        <v>501</v>
      </c>
      <c r="R461" s="23"/>
      <c r="S461" s="23"/>
      <c r="T461" s="24"/>
    </row>
    <row r="462" spans="1:20" s="19" customFormat="1" ht="21" customHeight="1" x14ac:dyDescent="0.25">
      <c r="A462" s="12">
        <f>IF(B462="","",COUNTA($B$2:B462))</f>
        <v>461</v>
      </c>
      <c r="B462" s="13" t="s">
        <v>620</v>
      </c>
      <c r="C462" s="14"/>
      <c r="D462" s="14" t="s">
        <v>299</v>
      </c>
      <c r="E462" s="14" t="s">
        <v>314</v>
      </c>
      <c r="F462" s="15" t="s">
        <v>327</v>
      </c>
      <c r="G462" s="16" t="s">
        <v>341</v>
      </c>
      <c r="H462" s="13">
        <v>30975</v>
      </c>
      <c r="I462" s="14" t="s">
        <v>492</v>
      </c>
      <c r="J462" s="14" t="s">
        <v>504</v>
      </c>
      <c r="K462" s="13">
        <v>44474</v>
      </c>
      <c r="L462" s="17">
        <v>60</v>
      </c>
      <c r="M462" s="13">
        <f t="shared" si="7"/>
        <v>44534</v>
      </c>
      <c r="N462" s="14"/>
      <c r="O462" s="14"/>
      <c r="P462" s="14"/>
      <c r="Q462" s="14"/>
      <c r="R462" s="13">
        <v>44552</v>
      </c>
      <c r="S462" s="13" t="s">
        <v>975</v>
      </c>
      <c r="T462" s="18"/>
    </row>
    <row r="463" spans="1:20" s="19" customFormat="1" ht="21" customHeight="1" x14ac:dyDescent="0.25">
      <c r="A463" s="12">
        <f>IF(B463="","",COUNTA($B$2:B463))</f>
        <v>462</v>
      </c>
      <c r="B463" s="20" t="s">
        <v>51</v>
      </c>
      <c r="C463" s="14"/>
      <c r="D463" s="14" t="s">
        <v>298</v>
      </c>
      <c r="E463" s="21" t="s">
        <v>305</v>
      </c>
      <c r="F463" s="22" t="s">
        <v>305</v>
      </c>
      <c r="G463" s="16" t="s">
        <v>382</v>
      </c>
      <c r="H463" s="13">
        <v>30260</v>
      </c>
      <c r="I463" s="20" t="s">
        <v>492</v>
      </c>
      <c r="J463" s="14" t="s">
        <v>504</v>
      </c>
      <c r="K463" s="13">
        <v>44480</v>
      </c>
      <c r="L463" s="17">
        <v>60</v>
      </c>
      <c r="M463" s="13">
        <f t="shared" si="7"/>
        <v>44540</v>
      </c>
      <c r="N463" s="14" t="s">
        <v>495</v>
      </c>
      <c r="O463" s="16" t="s">
        <v>538</v>
      </c>
      <c r="P463" s="16">
        <v>3</v>
      </c>
      <c r="Q463" s="14" t="s">
        <v>501</v>
      </c>
      <c r="R463" s="23"/>
      <c r="S463" s="23"/>
      <c r="T463" s="24"/>
    </row>
    <row r="464" spans="1:20" s="19" customFormat="1" ht="21" customHeight="1" x14ac:dyDescent="0.25">
      <c r="A464" s="12">
        <f>IF(B464="","",COUNTA($B$2:B464))</f>
        <v>463</v>
      </c>
      <c r="B464" s="13" t="s">
        <v>703</v>
      </c>
      <c r="C464" s="14"/>
      <c r="D464" s="14" t="s">
        <v>298</v>
      </c>
      <c r="E464" s="14" t="s">
        <v>314</v>
      </c>
      <c r="F464" s="15" t="s">
        <v>327</v>
      </c>
      <c r="G464" s="16" t="s">
        <v>341</v>
      </c>
      <c r="H464" s="13">
        <v>32522</v>
      </c>
      <c r="I464" s="14" t="s">
        <v>492</v>
      </c>
      <c r="J464" s="14" t="s">
        <v>504</v>
      </c>
      <c r="K464" s="13">
        <v>44483</v>
      </c>
      <c r="L464" s="17">
        <v>60</v>
      </c>
      <c r="M464" s="13">
        <f t="shared" si="7"/>
        <v>44543</v>
      </c>
      <c r="N464" s="14"/>
      <c r="O464" s="14" t="s">
        <v>539</v>
      </c>
      <c r="P464" s="14"/>
      <c r="Q464" s="14"/>
      <c r="R464" s="13">
        <v>44631</v>
      </c>
      <c r="S464" s="13" t="s">
        <v>976</v>
      </c>
      <c r="T464" s="18"/>
    </row>
    <row r="465" spans="1:20" s="19" customFormat="1" ht="21" customHeight="1" x14ac:dyDescent="0.25">
      <c r="A465" s="12">
        <f>IF(B465="","",COUNTA($B$2:B465))</f>
        <v>464</v>
      </c>
      <c r="B465" s="13" t="s">
        <v>843</v>
      </c>
      <c r="C465" s="14"/>
      <c r="D465" s="14" t="s">
        <v>298</v>
      </c>
      <c r="E465" s="14" t="s">
        <v>303</v>
      </c>
      <c r="F465" s="22" t="s">
        <v>303</v>
      </c>
      <c r="G465" s="16" t="s">
        <v>366</v>
      </c>
      <c r="H465" s="13">
        <v>29158</v>
      </c>
      <c r="I465" s="14" t="s">
        <v>492</v>
      </c>
      <c r="J465" s="14" t="s">
        <v>505</v>
      </c>
      <c r="K465" s="13">
        <v>44492</v>
      </c>
      <c r="L465" s="17">
        <v>60</v>
      </c>
      <c r="M465" s="13">
        <f t="shared" si="7"/>
        <v>44552</v>
      </c>
      <c r="N465" s="14"/>
      <c r="O465" s="14" t="s">
        <v>538</v>
      </c>
      <c r="P465" s="14"/>
      <c r="Q465" s="14"/>
      <c r="R465" s="13">
        <v>44845</v>
      </c>
      <c r="S465" s="13" t="s">
        <v>975</v>
      </c>
      <c r="T465" s="18"/>
    </row>
    <row r="466" spans="1:20" s="19" customFormat="1" ht="21" customHeight="1" x14ac:dyDescent="0.25">
      <c r="A466" s="12">
        <f>IF(B466="","",COUNTA($B$2:B466))</f>
        <v>465</v>
      </c>
      <c r="B466" s="20" t="s">
        <v>187</v>
      </c>
      <c r="C466" s="14"/>
      <c r="D466" s="14" t="s">
        <v>299</v>
      </c>
      <c r="E466" s="21" t="s">
        <v>311</v>
      </c>
      <c r="F466" s="22" t="s">
        <v>316</v>
      </c>
      <c r="G466" s="16" t="s">
        <v>320</v>
      </c>
      <c r="H466" s="13">
        <v>34175</v>
      </c>
      <c r="I466" s="20" t="s">
        <v>492</v>
      </c>
      <c r="J466" s="14" t="s">
        <v>507</v>
      </c>
      <c r="K466" s="13">
        <v>44494</v>
      </c>
      <c r="L466" s="17">
        <v>60</v>
      </c>
      <c r="M466" s="13">
        <f t="shared" si="7"/>
        <v>44554</v>
      </c>
      <c r="N466" s="14" t="s">
        <v>495</v>
      </c>
      <c r="O466" s="16" t="s">
        <v>539</v>
      </c>
      <c r="P466" s="16">
        <v>3</v>
      </c>
      <c r="Q466" s="14" t="s">
        <v>501</v>
      </c>
      <c r="R466" s="23"/>
      <c r="S466" s="23"/>
      <c r="T466" s="24"/>
    </row>
    <row r="467" spans="1:20" s="19" customFormat="1" ht="21" customHeight="1" x14ac:dyDescent="0.25">
      <c r="A467" s="12">
        <f>IF(B467="","",COUNTA($B$2:B467))</f>
        <v>466</v>
      </c>
      <c r="B467" s="20" t="s">
        <v>204</v>
      </c>
      <c r="C467" s="14"/>
      <c r="D467" s="14" t="s">
        <v>299</v>
      </c>
      <c r="E467" s="21" t="s">
        <v>311</v>
      </c>
      <c r="F467" s="22" t="s">
        <v>318</v>
      </c>
      <c r="G467" s="21" t="s">
        <v>320</v>
      </c>
      <c r="H467" s="13">
        <v>33153</v>
      </c>
      <c r="I467" s="20" t="s">
        <v>492</v>
      </c>
      <c r="J467" s="14" t="s">
        <v>504</v>
      </c>
      <c r="K467" s="13">
        <v>44494</v>
      </c>
      <c r="L467" s="17">
        <v>60</v>
      </c>
      <c r="M467" s="13">
        <f t="shared" si="7"/>
        <v>44554</v>
      </c>
      <c r="N467" s="14" t="s">
        <v>495</v>
      </c>
      <c r="O467" s="16" t="s">
        <v>539</v>
      </c>
      <c r="P467" s="16">
        <v>3</v>
      </c>
      <c r="Q467" s="14" t="s">
        <v>501</v>
      </c>
      <c r="R467" s="23"/>
      <c r="S467" s="23"/>
      <c r="T467" s="24"/>
    </row>
    <row r="468" spans="1:20" s="19" customFormat="1" ht="21" customHeight="1" x14ac:dyDescent="0.25">
      <c r="A468" s="12">
        <f>IF(B468="","",COUNTA($B$2:B468))</f>
        <v>467</v>
      </c>
      <c r="B468" s="13" t="s">
        <v>829</v>
      </c>
      <c r="C468" s="14"/>
      <c r="D468" s="14" t="s">
        <v>300</v>
      </c>
      <c r="E468" s="14" t="s">
        <v>311</v>
      </c>
      <c r="F468" s="22" t="s">
        <v>318</v>
      </c>
      <c r="G468" s="16" t="s">
        <v>320</v>
      </c>
      <c r="H468" s="13">
        <v>33829</v>
      </c>
      <c r="I468" s="14" t="s">
        <v>492</v>
      </c>
      <c r="J468" s="14" t="s">
        <v>507</v>
      </c>
      <c r="K468" s="13">
        <v>44494</v>
      </c>
      <c r="L468" s="17">
        <v>60</v>
      </c>
      <c r="M468" s="13">
        <f t="shared" si="7"/>
        <v>44554</v>
      </c>
      <c r="N468" s="14"/>
      <c r="O468" s="14" t="s">
        <v>539</v>
      </c>
      <c r="P468" s="14"/>
      <c r="Q468" s="14"/>
      <c r="R468" s="13">
        <v>44805</v>
      </c>
      <c r="S468" s="13" t="s">
        <v>976</v>
      </c>
      <c r="T468" s="18"/>
    </row>
    <row r="469" spans="1:20" s="19" customFormat="1" ht="21" customHeight="1" x14ac:dyDescent="0.25">
      <c r="A469" s="12">
        <f>IF(B469="","",COUNTA($B$2:B469))</f>
        <v>468</v>
      </c>
      <c r="B469" s="13" t="s">
        <v>795</v>
      </c>
      <c r="C469" s="14"/>
      <c r="D469" s="14" t="s">
        <v>299</v>
      </c>
      <c r="E469" s="14" t="s">
        <v>311</v>
      </c>
      <c r="F469" s="22" t="s">
        <v>316</v>
      </c>
      <c r="G469" s="16" t="s">
        <v>320</v>
      </c>
      <c r="H469" s="13">
        <v>33361</v>
      </c>
      <c r="I469" s="14" t="s">
        <v>492</v>
      </c>
      <c r="J469" s="14" t="s">
        <v>504</v>
      </c>
      <c r="K469" s="13">
        <v>44494</v>
      </c>
      <c r="L469" s="17">
        <v>60</v>
      </c>
      <c r="M469" s="13">
        <f t="shared" si="7"/>
        <v>44554</v>
      </c>
      <c r="N469" s="14"/>
      <c r="O469" s="14"/>
      <c r="P469" s="14"/>
      <c r="Q469" s="14"/>
      <c r="R469" s="13">
        <v>44713</v>
      </c>
      <c r="S469" s="13" t="s">
        <v>973</v>
      </c>
      <c r="T469" s="18"/>
    </row>
    <row r="470" spans="1:20" s="19" customFormat="1" ht="21" customHeight="1" x14ac:dyDescent="0.25">
      <c r="A470" s="12">
        <f>IF(B470="","",COUNTA($B$2:B470))</f>
        <v>469</v>
      </c>
      <c r="B470" s="20" t="s">
        <v>188</v>
      </c>
      <c r="C470" s="14"/>
      <c r="D470" s="14" t="s">
        <v>299</v>
      </c>
      <c r="E470" s="21" t="s">
        <v>311</v>
      </c>
      <c r="F470" s="22" t="s">
        <v>316</v>
      </c>
      <c r="G470" s="16" t="s">
        <v>320</v>
      </c>
      <c r="H470" s="13">
        <v>33552</v>
      </c>
      <c r="I470" s="20" t="s">
        <v>492</v>
      </c>
      <c r="J470" s="14" t="s">
        <v>504</v>
      </c>
      <c r="K470" s="13">
        <v>44501</v>
      </c>
      <c r="L470" s="17">
        <v>60</v>
      </c>
      <c r="M470" s="13">
        <f t="shared" si="7"/>
        <v>44561</v>
      </c>
      <c r="N470" s="14" t="s">
        <v>495</v>
      </c>
      <c r="O470" s="16" t="s">
        <v>539</v>
      </c>
      <c r="P470" s="16">
        <v>1</v>
      </c>
      <c r="Q470" s="14" t="s">
        <v>499</v>
      </c>
      <c r="R470" s="23"/>
      <c r="S470" s="23"/>
      <c r="T470" s="24"/>
    </row>
    <row r="471" spans="1:20" s="19" customFormat="1" ht="21" customHeight="1" x14ac:dyDescent="0.25">
      <c r="A471" s="12">
        <f>IF(B471="","",COUNTA($B$2:B471))</f>
        <v>470</v>
      </c>
      <c r="B471" s="20" t="s">
        <v>221</v>
      </c>
      <c r="C471" s="14"/>
      <c r="D471" s="14" t="s">
        <v>299</v>
      </c>
      <c r="E471" s="21" t="s">
        <v>313</v>
      </c>
      <c r="F471" s="22" t="s">
        <v>450</v>
      </c>
      <c r="G471" s="16" t="s">
        <v>455</v>
      </c>
      <c r="H471" s="13">
        <v>30237</v>
      </c>
      <c r="I471" s="20" t="s">
        <v>492</v>
      </c>
      <c r="J471" s="14" t="s">
        <v>504</v>
      </c>
      <c r="K471" s="13">
        <v>44501</v>
      </c>
      <c r="L471" s="17">
        <v>60</v>
      </c>
      <c r="M471" s="13">
        <f t="shared" si="7"/>
        <v>44561</v>
      </c>
      <c r="N471" s="14" t="s">
        <v>495</v>
      </c>
      <c r="O471" s="16" t="s">
        <v>539</v>
      </c>
      <c r="P471" s="16">
        <v>3</v>
      </c>
      <c r="Q471" s="14" t="s">
        <v>501</v>
      </c>
      <c r="R471" s="23"/>
      <c r="S471" s="23"/>
      <c r="T471" s="24"/>
    </row>
    <row r="472" spans="1:20" s="19" customFormat="1" ht="21" customHeight="1" x14ac:dyDescent="0.25">
      <c r="A472" s="12">
        <f>IF(B472="","",COUNTA($B$2:B472))</f>
        <v>471</v>
      </c>
      <c r="B472" s="20" t="s">
        <v>513</v>
      </c>
      <c r="C472" s="14"/>
      <c r="D472" s="14" t="s">
        <v>298</v>
      </c>
      <c r="E472" s="21" t="s">
        <v>304</v>
      </c>
      <c r="F472" s="22" t="s">
        <v>327</v>
      </c>
      <c r="G472" s="16" t="s">
        <v>528</v>
      </c>
      <c r="H472" s="13">
        <v>36632</v>
      </c>
      <c r="I472" s="20" t="s">
        <v>492</v>
      </c>
      <c r="J472" s="14" t="s">
        <v>504</v>
      </c>
      <c r="K472" s="13">
        <v>44501</v>
      </c>
      <c r="L472" s="17">
        <v>60</v>
      </c>
      <c r="M472" s="13">
        <f t="shared" si="7"/>
        <v>44561</v>
      </c>
      <c r="N472" s="14" t="s">
        <v>495</v>
      </c>
      <c r="O472" s="16" t="s">
        <v>539</v>
      </c>
      <c r="P472" s="16">
        <v>3</v>
      </c>
      <c r="Q472" s="14" t="s">
        <v>501</v>
      </c>
      <c r="R472" s="13">
        <v>45217</v>
      </c>
      <c r="S472" s="13" t="s">
        <v>972</v>
      </c>
      <c r="T472" s="24"/>
    </row>
    <row r="473" spans="1:20" s="19" customFormat="1" ht="21" customHeight="1" x14ac:dyDescent="0.25">
      <c r="A473" s="12">
        <f>IF(B473="","",COUNTA($B$2:B473))</f>
        <v>472</v>
      </c>
      <c r="B473" s="13" t="s">
        <v>865</v>
      </c>
      <c r="C473" s="14"/>
      <c r="D473" s="14" t="s">
        <v>298</v>
      </c>
      <c r="E473" s="14" t="s">
        <v>307</v>
      </c>
      <c r="F473" s="22" t="s">
        <v>433</v>
      </c>
      <c r="G473" s="16" t="s">
        <v>437</v>
      </c>
      <c r="H473" s="13">
        <v>34643</v>
      </c>
      <c r="I473" s="14" t="s">
        <v>491</v>
      </c>
      <c r="J473" s="14" t="s">
        <v>504</v>
      </c>
      <c r="K473" s="13">
        <v>44501</v>
      </c>
      <c r="L473" s="17">
        <v>60</v>
      </c>
      <c r="M473" s="13">
        <f t="shared" si="7"/>
        <v>44561</v>
      </c>
      <c r="N473" s="14"/>
      <c r="O473" s="14" t="s">
        <v>539</v>
      </c>
      <c r="P473" s="14"/>
      <c r="Q473" s="14"/>
      <c r="R473" s="13">
        <v>44927</v>
      </c>
      <c r="S473" s="13" t="s">
        <v>975</v>
      </c>
      <c r="T473" s="18"/>
    </row>
    <row r="474" spans="1:20" s="19" customFormat="1" ht="21" customHeight="1" x14ac:dyDescent="0.25">
      <c r="A474" s="12">
        <f>IF(B474="","",COUNTA($B$2:B474))</f>
        <v>473</v>
      </c>
      <c r="B474" s="13" t="s">
        <v>805</v>
      </c>
      <c r="C474" s="14"/>
      <c r="D474" s="14" t="s">
        <v>299</v>
      </c>
      <c r="E474" s="14" t="s">
        <v>311</v>
      </c>
      <c r="F474" s="22" t="s">
        <v>316</v>
      </c>
      <c r="G474" s="21" t="s">
        <v>320</v>
      </c>
      <c r="H474" s="13">
        <v>34768</v>
      </c>
      <c r="I474" s="14" t="s">
        <v>492</v>
      </c>
      <c r="J474" s="14" t="s">
        <v>504</v>
      </c>
      <c r="K474" s="13">
        <v>44501</v>
      </c>
      <c r="L474" s="17">
        <v>60</v>
      </c>
      <c r="M474" s="13">
        <f t="shared" si="7"/>
        <v>44561</v>
      </c>
      <c r="N474" s="14"/>
      <c r="O474" s="14" t="s">
        <v>539</v>
      </c>
      <c r="P474" s="14"/>
      <c r="Q474" s="14"/>
      <c r="R474" s="13">
        <v>44738</v>
      </c>
      <c r="S474" s="13" t="s">
        <v>976</v>
      </c>
      <c r="T474" s="18"/>
    </row>
    <row r="475" spans="1:20" s="19" customFormat="1" ht="21" customHeight="1" x14ac:dyDescent="0.25">
      <c r="A475" s="12">
        <f>IF(B475="","",COUNTA($B$2:B475))</f>
        <v>474</v>
      </c>
      <c r="B475" s="13" t="s">
        <v>661</v>
      </c>
      <c r="C475" s="14"/>
      <c r="D475" s="14" t="s">
        <v>300</v>
      </c>
      <c r="E475" s="14" t="s">
        <v>314</v>
      </c>
      <c r="F475" s="22" t="s">
        <v>330</v>
      </c>
      <c r="G475" s="16" t="s">
        <v>361</v>
      </c>
      <c r="H475" s="13">
        <v>32705</v>
      </c>
      <c r="I475" s="14" t="s">
        <v>491</v>
      </c>
      <c r="J475" s="14" t="s">
        <v>507</v>
      </c>
      <c r="K475" s="13">
        <v>44502</v>
      </c>
      <c r="L475" s="17">
        <v>60</v>
      </c>
      <c r="M475" s="13">
        <f t="shared" si="7"/>
        <v>44562</v>
      </c>
      <c r="N475" s="14"/>
      <c r="O475" s="14" t="s">
        <v>938</v>
      </c>
      <c r="P475" s="14"/>
      <c r="Q475" s="14"/>
      <c r="R475" s="13">
        <v>44531</v>
      </c>
      <c r="S475" s="13" t="s">
        <v>977</v>
      </c>
      <c r="T475" s="18"/>
    </row>
    <row r="476" spans="1:20" s="19" customFormat="1" ht="21" customHeight="1" x14ac:dyDescent="0.25">
      <c r="A476" s="12">
        <f>IF(B476="","",COUNTA($B$2:B476))</f>
        <v>475</v>
      </c>
      <c r="B476" s="20" t="s">
        <v>218</v>
      </c>
      <c r="C476" s="14"/>
      <c r="D476" s="14" t="s">
        <v>300</v>
      </c>
      <c r="E476" s="21" t="s">
        <v>313</v>
      </c>
      <c r="F476" s="22" t="s">
        <v>450</v>
      </c>
      <c r="G476" s="16" t="s">
        <v>455</v>
      </c>
      <c r="H476" s="13">
        <v>32917</v>
      </c>
      <c r="I476" s="20" t="s">
        <v>492</v>
      </c>
      <c r="J476" s="14" t="s">
        <v>504</v>
      </c>
      <c r="K476" s="13">
        <v>44508</v>
      </c>
      <c r="L476" s="17">
        <v>60</v>
      </c>
      <c r="M476" s="13">
        <f t="shared" si="7"/>
        <v>44568</v>
      </c>
      <c r="N476" s="14" t="s">
        <v>495</v>
      </c>
      <c r="O476" s="16" t="s">
        <v>538</v>
      </c>
      <c r="P476" s="16">
        <v>3</v>
      </c>
      <c r="Q476" s="14" t="s">
        <v>501</v>
      </c>
      <c r="R476" s="23"/>
      <c r="S476" s="23"/>
      <c r="T476" s="24"/>
    </row>
    <row r="477" spans="1:20" s="19" customFormat="1" ht="21" customHeight="1" x14ac:dyDescent="0.25">
      <c r="A477" s="12">
        <f>IF(B477="","",COUNTA($B$2:B477))</f>
        <v>476</v>
      </c>
      <c r="B477" s="13" t="s">
        <v>841</v>
      </c>
      <c r="C477" s="14"/>
      <c r="D477" s="14" t="s">
        <v>298</v>
      </c>
      <c r="E477" s="14" t="s">
        <v>313</v>
      </c>
      <c r="F477" s="22" t="s">
        <v>448</v>
      </c>
      <c r="G477" s="16" t="s">
        <v>374</v>
      </c>
      <c r="H477" s="13">
        <v>32007</v>
      </c>
      <c r="I477" s="14" t="s">
        <v>492</v>
      </c>
      <c r="J477" s="14" t="s">
        <v>504</v>
      </c>
      <c r="K477" s="13">
        <v>44508</v>
      </c>
      <c r="L477" s="17">
        <v>60</v>
      </c>
      <c r="M477" s="13">
        <f t="shared" si="7"/>
        <v>44568</v>
      </c>
      <c r="N477" s="14"/>
      <c r="O477" s="14" t="s">
        <v>538</v>
      </c>
      <c r="P477" s="14"/>
      <c r="Q477" s="14"/>
      <c r="R477" s="13">
        <v>44837</v>
      </c>
      <c r="S477" s="13" t="s">
        <v>975</v>
      </c>
      <c r="T477" s="18"/>
    </row>
    <row r="478" spans="1:20" s="19" customFormat="1" ht="21" customHeight="1" x14ac:dyDescent="0.25">
      <c r="A478" s="12">
        <f>IF(B478="","",COUNTA($B$2:B478))</f>
        <v>477</v>
      </c>
      <c r="B478" s="20" t="s">
        <v>214</v>
      </c>
      <c r="C478" s="14"/>
      <c r="D478" s="14" t="s">
        <v>298</v>
      </c>
      <c r="E478" s="21" t="s">
        <v>313</v>
      </c>
      <c r="F478" s="22" t="s">
        <v>450</v>
      </c>
      <c r="G478" s="16" t="s">
        <v>455</v>
      </c>
      <c r="H478" s="13">
        <v>30977</v>
      </c>
      <c r="I478" s="20" t="s">
        <v>491</v>
      </c>
      <c r="J478" s="14" t="s">
        <v>504</v>
      </c>
      <c r="K478" s="13">
        <v>44509</v>
      </c>
      <c r="L478" s="17">
        <v>60</v>
      </c>
      <c r="M478" s="13">
        <f t="shared" si="7"/>
        <v>44569</v>
      </c>
      <c r="N478" s="14" t="s">
        <v>495</v>
      </c>
      <c r="O478" s="16" t="s">
        <v>538</v>
      </c>
      <c r="P478" s="16">
        <v>3</v>
      </c>
      <c r="Q478" s="14" t="s">
        <v>501</v>
      </c>
      <c r="R478" s="23"/>
      <c r="S478" s="23"/>
      <c r="T478" s="24"/>
    </row>
    <row r="479" spans="1:20" s="19" customFormat="1" ht="21" customHeight="1" x14ac:dyDescent="0.25">
      <c r="A479" s="12">
        <f>IF(B479="","",COUNTA($B$2:B479))</f>
        <v>478</v>
      </c>
      <c r="B479" s="20" t="s">
        <v>212</v>
      </c>
      <c r="C479" s="14"/>
      <c r="D479" s="14" t="s">
        <v>298</v>
      </c>
      <c r="E479" s="21" t="s">
        <v>313</v>
      </c>
      <c r="F479" s="22" t="s">
        <v>449</v>
      </c>
      <c r="G479" s="16" t="s">
        <v>422</v>
      </c>
      <c r="H479" s="13">
        <v>32603</v>
      </c>
      <c r="I479" s="20" t="s">
        <v>492</v>
      </c>
      <c r="J479" s="14" t="s">
        <v>504</v>
      </c>
      <c r="K479" s="13">
        <v>44510</v>
      </c>
      <c r="L479" s="17">
        <v>60</v>
      </c>
      <c r="M479" s="13">
        <f t="shared" si="7"/>
        <v>44570</v>
      </c>
      <c r="N479" s="14" t="s">
        <v>495</v>
      </c>
      <c r="O479" s="16" t="s">
        <v>538</v>
      </c>
      <c r="P479" s="16">
        <v>3</v>
      </c>
      <c r="Q479" s="14" t="s">
        <v>501</v>
      </c>
      <c r="R479" s="23"/>
      <c r="S479" s="23"/>
      <c r="T479" s="24"/>
    </row>
    <row r="480" spans="1:20" s="19" customFormat="1" ht="21" customHeight="1" x14ac:dyDescent="0.25">
      <c r="A480" s="12">
        <f>IF(B480="","",COUNTA($B$2:B480))</f>
        <v>479</v>
      </c>
      <c r="B480" s="13" t="s">
        <v>663</v>
      </c>
      <c r="C480" s="14"/>
      <c r="D480" s="14" t="s">
        <v>299</v>
      </c>
      <c r="E480" s="14" t="s">
        <v>311</v>
      </c>
      <c r="F480" s="22" t="s">
        <v>326</v>
      </c>
      <c r="G480" s="26" t="s">
        <v>962</v>
      </c>
      <c r="H480" s="13">
        <v>33639</v>
      </c>
      <c r="I480" s="14" t="s">
        <v>492</v>
      </c>
      <c r="J480" s="14" t="s">
        <v>507</v>
      </c>
      <c r="K480" s="13">
        <v>44511</v>
      </c>
      <c r="L480" s="17">
        <v>60</v>
      </c>
      <c r="M480" s="13">
        <f t="shared" si="7"/>
        <v>44571</v>
      </c>
      <c r="N480" s="14"/>
      <c r="O480" s="14" t="s">
        <v>539</v>
      </c>
      <c r="P480" s="14"/>
      <c r="Q480" s="14"/>
      <c r="R480" s="13">
        <v>44551</v>
      </c>
      <c r="S480" s="13" t="s">
        <v>975</v>
      </c>
      <c r="T480" s="18"/>
    </row>
    <row r="481" spans="1:20" s="19" customFormat="1" ht="21" customHeight="1" x14ac:dyDescent="0.25">
      <c r="A481" s="12">
        <f>IF(B481="","",COUNTA($B$2:B481))</f>
        <v>480</v>
      </c>
      <c r="B481" s="20" t="s">
        <v>211</v>
      </c>
      <c r="C481" s="14"/>
      <c r="D481" s="14" t="s">
        <v>298</v>
      </c>
      <c r="E481" s="21" t="s">
        <v>313</v>
      </c>
      <c r="F481" s="22" t="s">
        <v>449</v>
      </c>
      <c r="G481" s="16" t="s">
        <v>453</v>
      </c>
      <c r="H481" s="13">
        <v>33779</v>
      </c>
      <c r="I481" s="20" t="s">
        <v>491</v>
      </c>
      <c r="J481" s="14" t="s">
        <v>504</v>
      </c>
      <c r="K481" s="13">
        <v>44515</v>
      </c>
      <c r="L481" s="17">
        <v>61</v>
      </c>
      <c r="M481" s="13">
        <f t="shared" si="7"/>
        <v>44576</v>
      </c>
      <c r="N481" s="14" t="s">
        <v>495</v>
      </c>
      <c r="O481" s="16" t="s">
        <v>538</v>
      </c>
      <c r="P481" s="16">
        <v>3</v>
      </c>
      <c r="Q481" s="14" t="s">
        <v>501</v>
      </c>
      <c r="R481" s="23"/>
      <c r="S481" s="23"/>
      <c r="T481" s="24"/>
    </row>
    <row r="482" spans="1:20" s="19" customFormat="1" ht="21" customHeight="1" x14ac:dyDescent="0.25">
      <c r="A482" s="12">
        <f>IF(B482="","",COUNTA($B$2:B482))</f>
        <v>481</v>
      </c>
      <c r="B482" s="13" t="s">
        <v>791</v>
      </c>
      <c r="C482" s="14"/>
      <c r="D482" s="14" t="s">
        <v>299</v>
      </c>
      <c r="E482" s="14" t="s">
        <v>311</v>
      </c>
      <c r="F482" s="22" t="s">
        <v>318</v>
      </c>
      <c r="G482" s="16" t="s">
        <v>320</v>
      </c>
      <c r="H482" s="13">
        <v>32862</v>
      </c>
      <c r="I482" s="14" t="s">
        <v>492</v>
      </c>
      <c r="J482" s="14" t="s">
        <v>504</v>
      </c>
      <c r="K482" s="13">
        <v>44515</v>
      </c>
      <c r="L482" s="17">
        <v>60</v>
      </c>
      <c r="M482" s="13">
        <f t="shared" si="7"/>
        <v>44575</v>
      </c>
      <c r="N482" s="14"/>
      <c r="O482" s="14" t="s">
        <v>538</v>
      </c>
      <c r="P482" s="14"/>
      <c r="Q482" s="14"/>
      <c r="R482" s="13">
        <v>44707</v>
      </c>
      <c r="S482" s="13" t="s">
        <v>975</v>
      </c>
      <c r="T482" s="18"/>
    </row>
    <row r="483" spans="1:20" s="19" customFormat="1" ht="21" customHeight="1" x14ac:dyDescent="0.25">
      <c r="A483" s="12">
        <f>IF(B483="","",COUNTA($B$2:B483))</f>
        <v>482</v>
      </c>
      <c r="B483" s="20" t="s">
        <v>208</v>
      </c>
      <c r="C483" s="14"/>
      <c r="D483" s="14" t="s">
        <v>298</v>
      </c>
      <c r="E483" s="21" t="s">
        <v>313</v>
      </c>
      <c r="F483" s="22" t="s">
        <v>448</v>
      </c>
      <c r="G483" s="16" t="s">
        <v>452</v>
      </c>
      <c r="H483" s="13">
        <v>34745</v>
      </c>
      <c r="I483" s="20" t="s">
        <v>492</v>
      </c>
      <c r="J483" s="14" t="s">
        <v>504</v>
      </c>
      <c r="K483" s="13">
        <v>44519</v>
      </c>
      <c r="L483" s="17">
        <v>60</v>
      </c>
      <c r="M483" s="13">
        <f t="shared" si="7"/>
        <v>44579</v>
      </c>
      <c r="N483" s="14" t="s">
        <v>495</v>
      </c>
      <c r="O483" s="16" t="s">
        <v>539</v>
      </c>
      <c r="P483" s="16">
        <v>3</v>
      </c>
      <c r="Q483" s="14" t="s">
        <v>501</v>
      </c>
      <c r="R483" s="23"/>
      <c r="S483" s="23"/>
      <c r="T483" s="24"/>
    </row>
    <row r="484" spans="1:20" s="19" customFormat="1" ht="21" customHeight="1" x14ac:dyDescent="0.25">
      <c r="A484" s="12">
        <f>IF(B484="","",COUNTA($B$2:B484))</f>
        <v>483</v>
      </c>
      <c r="B484" s="13" t="s">
        <v>208</v>
      </c>
      <c r="C484" s="14"/>
      <c r="D484" s="14" t="s">
        <v>298</v>
      </c>
      <c r="E484" s="14" t="s">
        <v>313</v>
      </c>
      <c r="F484" s="22" t="s">
        <v>448</v>
      </c>
      <c r="G484" s="16" t="s">
        <v>452</v>
      </c>
      <c r="H484" s="13">
        <v>34745</v>
      </c>
      <c r="I484" s="14" t="s">
        <v>492</v>
      </c>
      <c r="J484" s="14" t="s">
        <v>504</v>
      </c>
      <c r="K484" s="13">
        <v>44519</v>
      </c>
      <c r="L484" s="17">
        <v>60</v>
      </c>
      <c r="M484" s="13">
        <f t="shared" si="7"/>
        <v>44579</v>
      </c>
      <c r="N484" s="14"/>
      <c r="O484" s="14" t="s">
        <v>539</v>
      </c>
      <c r="P484" s="14"/>
      <c r="Q484" s="14"/>
      <c r="R484" s="13">
        <v>45192</v>
      </c>
      <c r="S484" s="13" t="s">
        <v>977</v>
      </c>
      <c r="T484" s="24"/>
    </row>
    <row r="485" spans="1:20" s="19" customFormat="1" ht="21" customHeight="1" x14ac:dyDescent="0.25">
      <c r="A485" s="12">
        <f>IF(B485="","",COUNTA($B$2:B485))</f>
        <v>484</v>
      </c>
      <c r="B485" s="13" t="s">
        <v>711</v>
      </c>
      <c r="C485" s="14"/>
      <c r="D485" s="14" t="s">
        <v>298</v>
      </c>
      <c r="E485" s="14" t="s">
        <v>309</v>
      </c>
      <c r="F485" s="15" t="s">
        <v>329</v>
      </c>
      <c r="G485" s="16" t="s">
        <v>407</v>
      </c>
      <c r="H485" s="13">
        <v>32298</v>
      </c>
      <c r="I485" s="14" t="s">
        <v>491</v>
      </c>
      <c r="J485" s="14" t="s">
        <v>507</v>
      </c>
      <c r="K485" s="13">
        <v>44522</v>
      </c>
      <c r="L485" s="17">
        <v>60</v>
      </c>
      <c r="M485" s="13">
        <f t="shared" si="7"/>
        <v>44582</v>
      </c>
      <c r="N485" s="14"/>
      <c r="O485" s="14" t="s">
        <v>938</v>
      </c>
      <c r="P485" s="14"/>
      <c r="Q485" s="14"/>
      <c r="R485" s="13">
        <v>44644</v>
      </c>
      <c r="S485" s="13" t="s">
        <v>975</v>
      </c>
      <c r="T485" s="18"/>
    </row>
    <row r="486" spans="1:20" s="19" customFormat="1" ht="21" customHeight="1" x14ac:dyDescent="0.25">
      <c r="A486" s="12">
        <f>IF(B486="","",COUNTA($B$2:B486))</f>
        <v>485</v>
      </c>
      <c r="B486" s="13" t="s">
        <v>926</v>
      </c>
      <c r="C486" s="14"/>
      <c r="D486" s="14" t="s">
        <v>298</v>
      </c>
      <c r="E486" s="14" t="s">
        <v>313</v>
      </c>
      <c r="F486" s="15" t="s">
        <v>942</v>
      </c>
      <c r="G486" s="14" t="s">
        <v>315</v>
      </c>
      <c r="H486" s="13">
        <v>33040</v>
      </c>
      <c r="I486" s="14" t="s">
        <v>491</v>
      </c>
      <c r="J486" s="14" t="s">
        <v>504</v>
      </c>
      <c r="K486" s="13">
        <v>44524</v>
      </c>
      <c r="L486" s="17">
        <v>60</v>
      </c>
      <c r="M486" s="13">
        <f t="shared" si="7"/>
        <v>44584</v>
      </c>
      <c r="N486" s="14"/>
      <c r="O486" s="14" t="s">
        <v>538</v>
      </c>
      <c r="P486" s="14"/>
      <c r="Q486" s="14"/>
      <c r="R486" s="13">
        <v>45146</v>
      </c>
      <c r="S486" s="13" t="s">
        <v>975</v>
      </c>
      <c r="T486" s="24"/>
    </row>
    <row r="487" spans="1:20" s="19" customFormat="1" ht="21" customHeight="1" x14ac:dyDescent="0.25">
      <c r="A487" s="12">
        <f>IF(B487="","",COUNTA($B$2:B487))</f>
        <v>486</v>
      </c>
      <c r="B487" s="13" t="s">
        <v>728</v>
      </c>
      <c r="C487" s="14"/>
      <c r="D487" s="14" t="s">
        <v>299</v>
      </c>
      <c r="E487" s="14" t="s">
        <v>313</v>
      </c>
      <c r="F487" s="15" t="s">
        <v>942</v>
      </c>
      <c r="G487" s="14" t="s">
        <v>315</v>
      </c>
      <c r="H487" s="13">
        <v>35047</v>
      </c>
      <c r="I487" s="14" t="s">
        <v>491</v>
      </c>
      <c r="J487" s="14" t="s">
        <v>507</v>
      </c>
      <c r="K487" s="13">
        <v>44526</v>
      </c>
      <c r="L487" s="17">
        <v>60</v>
      </c>
      <c r="M487" s="13">
        <f t="shared" si="7"/>
        <v>44586</v>
      </c>
      <c r="N487" s="14"/>
      <c r="O487" s="14" t="s">
        <v>539</v>
      </c>
      <c r="P487" s="14"/>
      <c r="Q487" s="14"/>
      <c r="R487" s="13">
        <v>44681</v>
      </c>
      <c r="S487" s="13" t="s">
        <v>977</v>
      </c>
      <c r="T487" s="18"/>
    </row>
    <row r="488" spans="1:20" s="19" customFormat="1" ht="21" customHeight="1" x14ac:dyDescent="0.25">
      <c r="A488" s="12">
        <f>IF(B488="","",COUNTA($B$2:B488))</f>
        <v>487</v>
      </c>
      <c r="B488" s="20" t="s">
        <v>44</v>
      </c>
      <c r="C488" s="14"/>
      <c r="D488" s="14" t="s">
        <v>298</v>
      </c>
      <c r="E488" s="21" t="s">
        <v>304</v>
      </c>
      <c r="F488" s="22" t="s">
        <v>369</v>
      </c>
      <c r="G488" s="16" t="s">
        <v>379</v>
      </c>
      <c r="H488" s="13">
        <v>34866</v>
      </c>
      <c r="I488" s="20" t="s">
        <v>491</v>
      </c>
      <c r="J488" s="14" t="s">
        <v>504</v>
      </c>
      <c r="K488" s="13">
        <v>44531</v>
      </c>
      <c r="L488" s="17">
        <v>61</v>
      </c>
      <c r="M488" s="13">
        <f t="shared" si="7"/>
        <v>44592</v>
      </c>
      <c r="N488" s="14" t="s">
        <v>495</v>
      </c>
      <c r="O488" s="16" t="s">
        <v>539</v>
      </c>
      <c r="P488" s="16">
        <v>3</v>
      </c>
      <c r="Q488" s="14" t="s">
        <v>501</v>
      </c>
      <c r="R488" s="23"/>
      <c r="S488" s="23"/>
      <c r="T488" s="24"/>
    </row>
    <row r="489" spans="1:20" s="19" customFormat="1" ht="21" customHeight="1" x14ac:dyDescent="0.25">
      <c r="A489" s="12">
        <f>IF(B489="","",COUNTA($B$2:B489))</f>
        <v>488</v>
      </c>
      <c r="B489" s="20" t="s">
        <v>56</v>
      </c>
      <c r="C489" s="14"/>
      <c r="D489" s="14" t="s">
        <v>299</v>
      </c>
      <c r="E489" s="21" t="s">
        <v>305</v>
      </c>
      <c r="F489" s="22" t="s">
        <v>393</v>
      </c>
      <c r="G489" s="16" t="s">
        <v>386</v>
      </c>
      <c r="H489" s="13">
        <v>34293</v>
      </c>
      <c r="I489" s="20" t="s">
        <v>492</v>
      </c>
      <c r="J489" s="14" t="s">
        <v>507</v>
      </c>
      <c r="K489" s="13">
        <v>44531</v>
      </c>
      <c r="L489" s="17">
        <v>61</v>
      </c>
      <c r="M489" s="13">
        <f t="shared" si="7"/>
        <v>44592</v>
      </c>
      <c r="N489" s="14" t="s">
        <v>495</v>
      </c>
      <c r="O489" s="16" t="s">
        <v>538</v>
      </c>
      <c r="P489" s="16">
        <v>3</v>
      </c>
      <c r="Q489" s="14" t="s">
        <v>501</v>
      </c>
      <c r="R489" s="23"/>
      <c r="S489" s="23"/>
      <c r="T489" s="24"/>
    </row>
    <row r="490" spans="1:20" s="19" customFormat="1" ht="21" customHeight="1" x14ac:dyDescent="0.25">
      <c r="A490" s="12">
        <f>IF(B490="","",COUNTA($B$2:B490))</f>
        <v>489</v>
      </c>
      <c r="B490" s="13" t="s">
        <v>662</v>
      </c>
      <c r="C490" s="14"/>
      <c r="D490" s="14" t="s">
        <v>298</v>
      </c>
      <c r="E490" s="14" t="s">
        <v>313</v>
      </c>
      <c r="F490" s="15" t="s">
        <v>942</v>
      </c>
      <c r="G490" s="14" t="s">
        <v>960</v>
      </c>
      <c r="H490" s="13">
        <v>31186</v>
      </c>
      <c r="I490" s="14" t="s">
        <v>492</v>
      </c>
      <c r="J490" s="14" t="s">
        <v>504</v>
      </c>
      <c r="K490" s="13">
        <v>44531</v>
      </c>
      <c r="L490" s="17">
        <v>60</v>
      </c>
      <c r="M490" s="13">
        <f t="shared" si="7"/>
        <v>44591</v>
      </c>
      <c r="N490" s="14"/>
      <c r="O490" s="14" t="s">
        <v>938</v>
      </c>
      <c r="P490" s="14"/>
      <c r="Q490" s="14"/>
      <c r="R490" s="13">
        <v>44544</v>
      </c>
      <c r="S490" s="13" t="s">
        <v>975</v>
      </c>
      <c r="T490" s="18"/>
    </row>
    <row r="491" spans="1:20" s="19" customFormat="1" ht="21" customHeight="1" x14ac:dyDescent="0.25">
      <c r="A491" s="12">
        <f>IF(B491="","",COUNTA($B$2:B491))</f>
        <v>490</v>
      </c>
      <c r="B491" s="20" t="s">
        <v>246</v>
      </c>
      <c r="C491" s="14"/>
      <c r="D491" s="14" t="s">
        <v>299</v>
      </c>
      <c r="E491" s="21" t="s">
        <v>314</v>
      </c>
      <c r="F491" s="22" t="s">
        <v>327</v>
      </c>
      <c r="G491" s="16" t="s">
        <v>334</v>
      </c>
      <c r="H491" s="13">
        <v>32077</v>
      </c>
      <c r="I491" s="20" t="s">
        <v>491</v>
      </c>
      <c r="J491" s="14" t="s">
        <v>504</v>
      </c>
      <c r="K491" s="13">
        <v>44532</v>
      </c>
      <c r="L491" s="17">
        <v>61</v>
      </c>
      <c r="M491" s="13">
        <f t="shared" si="7"/>
        <v>44593</v>
      </c>
      <c r="N491" s="14" t="s">
        <v>495</v>
      </c>
      <c r="O491" s="16" t="s">
        <v>542</v>
      </c>
      <c r="P491" s="16">
        <v>3</v>
      </c>
      <c r="Q491" s="14" t="s">
        <v>501</v>
      </c>
      <c r="R491" s="23"/>
      <c r="S491" s="23"/>
      <c r="T491" s="24"/>
    </row>
    <row r="492" spans="1:20" s="19" customFormat="1" ht="21" customHeight="1" x14ac:dyDescent="0.25">
      <c r="A492" s="12">
        <f>IF(B492="","",COUNTA($B$2:B492))</f>
        <v>491</v>
      </c>
      <c r="B492" s="20" t="s">
        <v>210</v>
      </c>
      <c r="C492" s="14"/>
      <c r="D492" s="14" t="s">
        <v>299</v>
      </c>
      <c r="E492" s="21" t="s">
        <v>313</v>
      </c>
      <c r="F492" s="22" t="s">
        <v>448</v>
      </c>
      <c r="G492" s="16" t="s">
        <v>452</v>
      </c>
      <c r="H492" s="13">
        <v>34632</v>
      </c>
      <c r="I492" s="20" t="s">
        <v>491</v>
      </c>
      <c r="J492" s="14" t="s">
        <v>504</v>
      </c>
      <c r="K492" s="13">
        <v>44536</v>
      </c>
      <c r="L492" s="17">
        <v>61</v>
      </c>
      <c r="M492" s="13">
        <f t="shared" si="7"/>
        <v>44597</v>
      </c>
      <c r="N492" s="14" t="s">
        <v>495</v>
      </c>
      <c r="O492" s="16" t="s">
        <v>539</v>
      </c>
      <c r="P492" s="16">
        <v>3</v>
      </c>
      <c r="Q492" s="14" t="s">
        <v>501</v>
      </c>
      <c r="R492" s="23"/>
      <c r="S492" s="23"/>
      <c r="T492" s="24"/>
    </row>
    <row r="493" spans="1:20" s="19" customFormat="1" ht="21" customHeight="1" x14ac:dyDescent="0.25">
      <c r="A493" s="12">
        <f>IF(B493="","",COUNTA($B$2:B493))</f>
        <v>492</v>
      </c>
      <c r="B493" s="20" t="s">
        <v>219</v>
      </c>
      <c r="C493" s="14"/>
      <c r="D493" s="14" t="s">
        <v>300</v>
      </c>
      <c r="E493" s="21" t="s">
        <v>313</v>
      </c>
      <c r="F493" s="22" t="s">
        <v>450</v>
      </c>
      <c r="G493" s="16" t="s">
        <v>456</v>
      </c>
      <c r="H493" s="13">
        <v>33140</v>
      </c>
      <c r="I493" s="20" t="s">
        <v>492</v>
      </c>
      <c r="J493" s="14" t="s">
        <v>504</v>
      </c>
      <c r="K493" s="13">
        <v>44536</v>
      </c>
      <c r="L493" s="17">
        <v>61</v>
      </c>
      <c r="M493" s="13">
        <f t="shared" si="7"/>
        <v>44597</v>
      </c>
      <c r="N493" s="14" t="s">
        <v>495</v>
      </c>
      <c r="O493" s="16" t="s">
        <v>538</v>
      </c>
      <c r="P493" s="16">
        <v>3</v>
      </c>
      <c r="Q493" s="14" t="s">
        <v>501</v>
      </c>
      <c r="R493" s="23"/>
      <c r="S493" s="23"/>
      <c r="T493" s="24"/>
    </row>
    <row r="494" spans="1:20" s="19" customFormat="1" ht="21" customHeight="1" x14ac:dyDescent="0.25">
      <c r="A494" s="12">
        <f>IF(B494="","",COUNTA($B$2:B494))</f>
        <v>493</v>
      </c>
      <c r="B494" s="20" t="s">
        <v>132</v>
      </c>
      <c r="C494" s="14"/>
      <c r="D494" s="14" t="s">
        <v>300</v>
      </c>
      <c r="E494" s="21" t="s">
        <v>301</v>
      </c>
      <c r="F494" s="22" t="s">
        <v>464</v>
      </c>
      <c r="G494" s="16" t="s">
        <v>481</v>
      </c>
      <c r="H494" s="13">
        <v>33014</v>
      </c>
      <c r="I494" s="20" t="s">
        <v>491</v>
      </c>
      <c r="J494" s="14" t="s">
        <v>504</v>
      </c>
      <c r="K494" s="13">
        <v>44539</v>
      </c>
      <c r="L494" s="17">
        <v>61</v>
      </c>
      <c r="M494" s="13">
        <f t="shared" si="7"/>
        <v>44600</v>
      </c>
      <c r="N494" s="14" t="s">
        <v>495</v>
      </c>
      <c r="O494" s="16" t="s">
        <v>538</v>
      </c>
      <c r="P494" s="16">
        <v>3</v>
      </c>
      <c r="Q494" s="14" t="s">
        <v>501</v>
      </c>
      <c r="R494" s="23"/>
      <c r="S494" s="23"/>
      <c r="T494" s="24"/>
    </row>
    <row r="495" spans="1:20" s="19" customFormat="1" ht="21" customHeight="1" x14ac:dyDescent="0.25">
      <c r="A495" s="12">
        <f>IF(B495="","",COUNTA($B$2:B495))</f>
        <v>494</v>
      </c>
      <c r="B495" s="13" t="s">
        <v>684</v>
      </c>
      <c r="C495" s="14"/>
      <c r="D495" s="14" t="s">
        <v>300</v>
      </c>
      <c r="E495" s="14" t="s">
        <v>309</v>
      </c>
      <c r="F495" s="22" t="s">
        <v>399</v>
      </c>
      <c r="G495" s="16" t="s">
        <v>402</v>
      </c>
      <c r="H495" s="13">
        <v>34322</v>
      </c>
      <c r="I495" s="14" t="s">
        <v>491</v>
      </c>
      <c r="J495" s="14" t="s">
        <v>507</v>
      </c>
      <c r="K495" s="13">
        <v>44539</v>
      </c>
      <c r="L495" s="17">
        <v>60</v>
      </c>
      <c r="M495" s="13">
        <f t="shared" si="7"/>
        <v>44599</v>
      </c>
      <c r="N495" s="14"/>
      <c r="O495" s="14" t="s">
        <v>538</v>
      </c>
      <c r="P495" s="14"/>
      <c r="Q495" s="14"/>
      <c r="R495" s="13">
        <v>44601</v>
      </c>
      <c r="S495" s="13" t="s">
        <v>976</v>
      </c>
      <c r="T495" s="18"/>
    </row>
    <row r="496" spans="1:20" s="19" customFormat="1" ht="21" customHeight="1" x14ac:dyDescent="0.25">
      <c r="A496" s="12">
        <f>IF(B496="","",COUNTA($B$2:B496))</f>
        <v>495</v>
      </c>
      <c r="B496" s="20" t="s">
        <v>17</v>
      </c>
      <c r="C496" s="14"/>
      <c r="D496" s="14" t="s">
        <v>298</v>
      </c>
      <c r="E496" s="21" t="s">
        <v>302</v>
      </c>
      <c r="F496" s="22" t="s">
        <v>302</v>
      </c>
      <c r="G496" s="16" t="s">
        <v>398</v>
      </c>
      <c r="H496" s="13">
        <v>34434</v>
      </c>
      <c r="I496" s="20" t="s">
        <v>491</v>
      </c>
      <c r="J496" s="14" t="s">
        <v>504</v>
      </c>
      <c r="K496" s="13">
        <v>44545</v>
      </c>
      <c r="L496" s="17"/>
      <c r="M496" s="13">
        <f t="shared" si="7"/>
        <v>44545</v>
      </c>
      <c r="N496" s="14" t="s">
        <v>495</v>
      </c>
      <c r="O496" s="16" t="s">
        <v>538</v>
      </c>
      <c r="P496" s="16">
        <v>3</v>
      </c>
      <c r="Q496" s="14" t="s">
        <v>501</v>
      </c>
      <c r="R496" s="23"/>
      <c r="S496" s="23"/>
      <c r="T496" s="24"/>
    </row>
    <row r="497" spans="1:20" s="19" customFormat="1" ht="21" customHeight="1" x14ac:dyDescent="0.25">
      <c r="A497" s="12">
        <f>IF(B497="","",COUNTA($B$2:B497))</f>
        <v>496</v>
      </c>
      <c r="B497" s="20" t="s">
        <v>213</v>
      </c>
      <c r="C497" s="14"/>
      <c r="D497" s="14" t="s">
        <v>298</v>
      </c>
      <c r="E497" s="21" t="s">
        <v>313</v>
      </c>
      <c r="F497" s="22" t="s">
        <v>449</v>
      </c>
      <c r="G497" s="16" t="s">
        <v>454</v>
      </c>
      <c r="H497" s="13">
        <v>34263</v>
      </c>
      <c r="I497" s="20" t="s">
        <v>492</v>
      </c>
      <c r="J497" s="14" t="s">
        <v>504</v>
      </c>
      <c r="K497" s="13">
        <v>44545</v>
      </c>
      <c r="L497" s="17">
        <v>61</v>
      </c>
      <c r="M497" s="13">
        <f t="shared" si="7"/>
        <v>44606</v>
      </c>
      <c r="N497" s="14" t="s">
        <v>495</v>
      </c>
      <c r="O497" s="16" t="s">
        <v>539</v>
      </c>
      <c r="P497" s="16">
        <v>3</v>
      </c>
      <c r="Q497" s="14" t="s">
        <v>501</v>
      </c>
      <c r="R497" s="23"/>
      <c r="S497" s="23"/>
      <c r="T497" s="24"/>
    </row>
    <row r="498" spans="1:20" s="19" customFormat="1" ht="21" customHeight="1" x14ac:dyDescent="0.25">
      <c r="A498" s="12">
        <f>IF(B498="","",COUNTA($B$2:B498))</f>
        <v>497</v>
      </c>
      <c r="B498" s="13" t="s">
        <v>766</v>
      </c>
      <c r="C498" s="14"/>
      <c r="D498" s="14" t="s">
        <v>300</v>
      </c>
      <c r="E498" s="14" t="s">
        <v>313</v>
      </c>
      <c r="F498" s="15" t="s">
        <v>942</v>
      </c>
      <c r="G498" s="14" t="s">
        <v>960</v>
      </c>
      <c r="H498" s="13">
        <v>33970</v>
      </c>
      <c r="I498" s="14" t="s">
        <v>492</v>
      </c>
      <c r="J498" s="14" t="s">
        <v>507</v>
      </c>
      <c r="K498" s="13">
        <v>44557</v>
      </c>
      <c r="L498" s="17">
        <v>60</v>
      </c>
      <c r="M498" s="13">
        <f t="shared" si="7"/>
        <v>44617</v>
      </c>
      <c r="N498" s="14"/>
      <c r="O498" s="14" t="s">
        <v>539</v>
      </c>
      <c r="P498" s="14"/>
      <c r="Q498" s="14"/>
      <c r="R498" s="13">
        <v>44682</v>
      </c>
      <c r="S498" s="13" t="s">
        <v>973</v>
      </c>
      <c r="T498" s="18"/>
    </row>
    <row r="499" spans="1:20" s="19" customFormat="1" ht="21" customHeight="1" x14ac:dyDescent="0.25">
      <c r="A499" s="12">
        <f>IF(B499="","",COUNTA($B$2:B499))</f>
        <v>498</v>
      </c>
      <c r="B499" s="13" t="s">
        <v>699</v>
      </c>
      <c r="C499" s="14"/>
      <c r="D499" s="14" t="s">
        <v>299</v>
      </c>
      <c r="E499" s="14" t="s">
        <v>313</v>
      </c>
      <c r="F499" s="15" t="s">
        <v>942</v>
      </c>
      <c r="G499" s="14" t="s">
        <v>315</v>
      </c>
      <c r="H499" s="13">
        <v>35195</v>
      </c>
      <c r="I499" s="14" t="s">
        <v>491</v>
      </c>
      <c r="J499" s="14" t="s">
        <v>504</v>
      </c>
      <c r="K499" s="13">
        <v>44565</v>
      </c>
      <c r="L499" s="17">
        <v>60</v>
      </c>
      <c r="M499" s="13">
        <f t="shared" si="7"/>
        <v>44625</v>
      </c>
      <c r="N499" s="14"/>
      <c r="O499" s="14" t="s">
        <v>539</v>
      </c>
      <c r="P499" s="14"/>
      <c r="Q499" s="14"/>
      <c r="R499" s="13">
        <v>44624</v>
      </c>
      <c r="S499" s="13" t="s">
        <v>972</v>
      </c>
      <c r="T499" s="18"/>
    </row>
    <row r="500" spans="1:20" s="19" customFormat="1" ht="21" customHeight="1" x14ac:dyDescent="0.25">
      <c r="A500" s="12">
        <f>IF(B500="","",COUNTA($B$2:B500))</f>
        <v>499</v>
      </c>
      <c r="B500" s="20" t="s">
        <v>244</v>
      </c>
      <c r="C500" s="14"/>
      <c r="D500" s="14" t="s">
        <v>299</v>
      </c>
      <c r="E500" s="21" t="s">
        <v>314</v>
      </c>
      <c r="F500" s="22" t="s">
        <v>327</v>
      </c>
      <c r="G500" s="16" t="s">
        <v>333</v>
      </c>
      <c r="H500" s="13">
        <v>27688</v>
      </c>
      <c r="I500" s="20" t="s">
        <v>492</v>
      </c>
      <c r="J500" s="14" t="s">
        <v>504</v>
      </c>
      <c r="K500" s="13">
        <v>44566</v>
      </c>
      <c r="L500" s="17">
        <v>58</v>
      </c>
      <c r="M500" s="13">
        <f t="shared" si="7"/>
        <v>44624</v>
      </c>
      <c r="N500" s="14" t="s">
        <v>495</v>
      </c>
      <c r="O500" s="16" t="s">
        <v>538</v>
      </c>
      <c r="P500" s="16">
        <v>3</v>
      </c>
      <c r="Q500" s="14" t="s">
        <v>501</v>
      </c>
      <c r="R500" s="23"/>
      <c r="S500" s="23"/>
      <c r="T500" s="24"/>
    </row>
    <row r="501" spans="1:20" s="19" customFormat="1" ht="21" customHeight="1" x14ac:dyDescent="0.25">
      <c r="A501" s="12">
        <f>IF(B501="","",COUNTA($B$2:B501))</f>
        <v>500</v>
      </c>
      <c r="B501" s="13" t="s">
        <v>685</v>
      </c>
      <c r="C501" s="14"/>
      <c r="D501" s="14" t="s">
        <v>298</v>
      </c>
      <c r="E501" s="14" t="s">
        <v>309</v>
      </c>
      <c r="F501" s="15" t="s">
        <v>329</v>
      </c>
      <c r="G501" s="16" t="s">
        <v>407</v>
      </c>
      <c r="H501" s="13">
        <v>35978</v>
      </c>
      <c r="I501" s="14" t="s">
        <v>491</v>
      </c>
      <c r="J501" s="14" t="s">
        <v>504</v>
      </c>
      <c r="K501" s="13">
        <v>44566</v>
      </c>
      <c r="L501" s="17">
        <v>60</v>
      </c>
      <c r="M501" s="13">
        <f t="shared" si="7"/>
        <v>44626</v>
      </c>
      <c r="N501" s="14"/>
      <c r="O501" s="14" t="s">
        <v>539</v>
      </c>
      <c r="P501" s="14"/>
      <c r="Q501" s="14"/>
      <c r="R501" s="13">
        <v>44607</v>
      </c>
      <c r="S501" s="13" t="s">
        <v>975</v>
      </c>
      <c r="T501" s="18"/>
    </row>
    <row r="502" spans="1:20" s="19" customFormat="1" ht="21" customHeight="1" x14ac:dyDescent="0.25">
      <c r="A502" s="12">
        <f>IF(B502="","",COUNTA($B$2:B502))</f>
        <v>501</v>
      </c>
      <c r="B502" s="13" t="s">
        <v>878</v>
      </c>
      <c r="C502" s="14"/>
      <c r="D502" s="14" t="s">
        <v>298</v>
      </c>
      <c r="E502" s="14" t="s">
        <v>314</v>
      </c>
      <c r="F502" s="15" t="s">
        <v>328</v>
      </c>
      <c r="G502" s="16" t="s">
        <v>349</v>
      </c>
      <c r="H502" s="13">
        <v>27887</v>
      </c>
      <c r="I502" s="14" t="s">
        <v>491</v>
      </c>
      <c r="J502" s="14" t="s">
        <v>504</v>
      </c>
      <c r="K502" s="13">
        <v>44567</v>
      </c>
      <c r="L502" s="17">
        <v>60</v>
      </c>
      <c r="M502" s="13">
        <f t="shared" si="7"/>
        <v>44627</v>
      </c>
      <c r="N502" s="14"/>
      <c r="O502" s="14" t="s">
        <v>539</v>
      </c>
      <c r="P502" s="14"/>
      <c r="Q502" s="14"/>
      <c r="R502" s="13">
        <v>44986</v>
      </c>
      <c r="S502" s="13" t="s">
        <v>977</v>
      </c>
      <c r="T502" s="24"/>
    </row>
    <row r="503" spans="1:20" s="19" customFormat="1" ht="21" customHeight="1" x14ac:dyDescent="0.25">
      <c r="A503" s="12">
        <f>IF(B503="","",COUNTA($B$2:B503))</f>
        <v>502</v>
      </c>
      <c r="B503" s="20" t="s">
        <v>295</v>
      </c>
      <c r="C503" s="14"/>
      <c r="D503" s="14" t="s">
        <v>298</v>
      </c>
      <c r="E503" s="21" t="s">
        <v>314</v>
      </c>
      <c r="F503" s="22" t="s">
        <v>330</v>
      </c>
      <c r="G503" s="16" t="s">
        <v>364</v>
      </c>
      <c r="H503" s="13">
        <v>35881</v>
      </c>
      <c r="I503" s="20" t="s">
        <v>492</v>
      </c>
      <c r="J503" s="14" t="s">
        <v>504</v>
      </c>
      <c r="K503" s="13">
        <v>44581</v>
      </c>
      <c r="L503" s="17">
        <v>58</v>
      </c>
      <c r="M503" s="13">
        <f t="shared" si="7"/>
        <v>44639</v>
      </c>
      <c r="N503" s="14" t="s">
        <v>495</v>
      </c>
      <c r="O503" s="16" t="s">
        <v>539</v>
      </c>
      <c r="P503" s="16">
        <v>3</v>
      </c>
      <c r="Q503" s="14" t="s">
        <v>501</v>
      </c>
      <c r="R503" s="23"/>
      <c r="S503" s="23"/>
      <c r="T503" s="24"/>
    </row>
    <row r="504" spans="1:20" s="19" customFormat="1" ht="21" customHeight="1" x14ac:dyDescent="0.25">
      <c r="A504" s="12">
        <f>IF(B504="","",COUNTA($B$2:B504))</f>
        <v>503</v>
      </c>
      <c r="B504" s="20" t="s">
        <v>93</v>
      </c>
      <c r="C504" s="14"/>
      <c r="D504" s="14" t="s">
        <v>298</v>
      </c>
      <c r="E504" s="21" t="s">
        <v>309</v>
      </c>
      <c r="F504" s="22" t="s">
        <v>399</v>
      </c>
      <c r="G504" s="16" t="s">
        <v>402</v>
      </c>
      <c r="H504" s="13">
        <v>34559</v>
      </c>
      <c r="I504" s="20" t="s">
        <v>491</v>
      </c>
      <c r="J504" s="14" t="s">
        <v>504</v>
      </c>
      <c r="K504" s="13">
        <v>44600</v>
      </c>
      <c r="L504" s="17">
        <v>58</v>
      </c>
      <c r="M504" s="13">
        <f t="shared" si="7"/>
        <v>44658</v>
      </c>
      <c r="N504" s="14" t="s">
        <v>495</v>
      </c>
      <c r="O504" s="16" t="s">
        <v>539</v>
      </c>
      <c r="P504" s="16">
        <v>3</v>
      </c>
      <c r="Q504" s="14" t="s">
        <v>501</v>
      </c>
      <c r="R504" s="23"/>
      <c r="S504" s="23"/>
      <c r="T504" s="24"/>
    </row>
    <row r="505" spans="1:20" s="19" customFormat="1" ht="21" customHeight="1" x14ac:dyDescent="0.25">
      <c r="A505" s="12">
        <f>IF(B505="","",COUNTA($B$2:B505))</f>
        <v>504</v>
      </c>
      <c r="B505" s="20" t="s">
        <v>530</v>
      </c>
      <c r="C505" s="14"/>
      <c r="D505" s="14" t="s">
        <v>298</v>
      </c>
      <c r="E505" s="21" t="s">
        <v>301</v>
      </c>
      <c r="F505" s="22" t="s">
        <v>465</v>
      </c>
      <c r="G505" s="16" t="s">
        <v>533</v>
      </c>
      <c r="H505" s="13">
        <v>32607</v>
      </c>
      <c r="I505" s="20" t="s">
        <v>492</v>
      </c>
      <c r="J505" s="14" t="s">
        <v>504</v>
      </c>
      <c r="K505" s="13">
        <v>44600</v>
      </c>
      <c r="L505" s="17">
        <v>60</v>
      </c>
      <c r="M505" s="13">
        <f t="shared" si="7"/>
        <v>44660</v>
      </c>
      <c r="N505" s="14" t="s">
        <v>495</v>
      </c>
      <c r="O505" s="16" t="s">
        <v>538</v>
      </c>
      <c r="P505" s="16">
        <v>3</v>
      </c>
      <c r="Q505" s="14" t="s">
        <v>501</v>
      </c>
      <c r="R505" s="13">
        <v>45230</v>
      </c>
      <c r="S505" s="13" t="s">
        <v>972</v>
      </c>
      <c r="T505" s="24"/>
    </row>
    <row r="506" spans="1:20" s="19" customFormat="1" ht="21" customHeight="1" x14ac:dyDescent="0.25">
      <c r="A506" s="12">
        <f>IF(B506="","",COUNTA($B$2:B506))</f>
        <v>505</v>
      </c>
      <c r="B506" s="13" t="s">
        <v>687</v>
      </c>
      <c r="C506" s="14"/>
      <c r="D506" s="14" t="s">
        <v>298</v>
      </c>
      <c r="E506" s="14" t="s">
        <v>304</v>
      </c>
      <c r="F506" s="22" t="s">
        <v>367</v>
      </c>
      <c r="G506" s="26" t="s">
        <v>945</v>
      </c>
      <c r="H506" s="13">
        <v>35026</v>
      </c>
      <c r="I506" s="14" t="s">
        <v>491</v>
      </c>
      <c r="J506" s="14" t="s">
        <v>504</v>
      </c>
      <c r="K506" s="13">
        <v>44600</v>
      </c>
      <c r="L506" s="17">
        <v>60</v>
      </c>
      <c r="M506" s="13">
        <f t="shared" si="7"/>
        <v>44660</v>
      </c>
      <c r="N506" s="14"/>
      <c r="O506" s="14" t="s">
        <v>539</v>
      </c>
      <c r="P506" s="14"/>
      <c r="Q506" s="14"/>
      <c r="R506" s="13">
        <v>44607</v>
      </c>
      <c r="S506" s="13" t="s">
        <v>975</v>
      </c>
      <c r="T506" s="18"/>
    </row>
    <row r="507" spans="1:20" s="19" customFormat="1" ht="21" customHeight="1" x14ac:dyDescent="0.25">
      <c r="A507" s="12">
        <f>IF(B507="","",COUNTA($B$2:B507))</f>
        <v>506</v>
      </c>
      <c r="B507" s="13" t="s">
        <v>817</v>
      </c>
      <c r="C507" s="14"/>
      <c r="D507" s="14" t="s">
        <v>298</v>
      </c>
      <c r="E507" s="14" t="s">
        <v>314</v>
      </c>
      <c r="F507" s="15" t="s">
        <v>328</v>
      </c>
      <c r="G507" s="16" t="s">
        <v>349</v>
      </c>
      <c r="H507" s="13">
        <v>32193</v>
      </c>
      <c r="I507" s="14" t="s">
        <v>492</v>
      </c>
      <c r="J507" s="14" t="s">
        <v>507</v>
      </c>
      <c r="K507" s="13">
        <v>44606</v>
      </c>
      <c r="L507" s="17">
        <v>60</v>
      </c>
      <c r="M507" s="13">
        <f t="shared" si="7"/>
        <v>44666</v>
      </c>
      <c r="N507" s="14"/>
      <c r="O507" s="14" t="s">
        <v>538</v>
      </c>
      <c r="P507" s="14"/>
      <c r="Q507" s="14"/>
      <c r="R507" s="13">
        <v>44773</v>
      </c>
      <c r="S507" s="13" t="s">
        <v>975</v>
      </c>
      <c r="T507" s="18"/>
    </row>
    <row r="508" spans="1:20" s="19" customFormat="1" ht="21" customHeight="1" x14ac:dyDescent="0.25">
      <c r="A508" s="12">
        <f>IF(B508="","",COUNTA($B$2:B508))</f>
        <v>507</v>
      </c>
      <c r="B508" s="13" t="s">
        <v>691</v>
      </c>
      <c r="C508" s="14"/>
      <c r="D508" s="14" t="s">
        <v>298</v>
      </c>
      <c r="E508" s="14" t="s">
        <v>309</v>
      </c>
      <c r="F508" s="15" t="s">
        <v>329</v>
      </c>
      <c r="G508" s="16" t="s">
        <v>407</v>
      </c>
      <c r="H508" s="13">
        <v>34115</v>
      </c>
      <c r="I508" s="14" t="s">
        <v>491</v>
      </c>
      <c r="J508" s="14" t="s">
        <v>504</v>
      </c>
      <c r="K508" s="13">
        <v>44606</v>
      </c>
      <c r="L508" s="17">
        <v>60</v>
      </c>
      <c r="M508" s="13">
        <f t="shared" si="7"/>
        <v>44666</v>
      </c>
      <c r="N508" s="14"/>
      <c r="O508" s="14" t="s">
        <v>538</v>
      </c>
      <c r="P508" s="14"/>
      <c r="Q508" s="14"/>
      <c r="R508" s="13">
        <v>44611</v>
      </c>
      <c r="S508" s="13" t="s">
        <v>975</v>
      </c>
      <c r="T508" s="18"/>
    </row>
    <row r="509" spans="1:20" s="19" customFormat="1" ht="21" customHeight="1" x14ac:dyDescent="0.25">
      <c r="A509" s="12">
        <f>IF(B509="","",COUNTA($B$2:B509))</f>
        <v>508</v>
      </c>
      <c r="B509" s="20" t="s">
        <v>245</v>
      </c>
      <c r="C509" s="14"/>
      <c r="D509" s="14" t="s">
        <v>299</v>
      </c>
      <c r="E509" s="21" t="s">
        <v>314</v>
      </c>
      <c r="F509" s="22" t="s">
        <v>327</v>
      </c>
      <c r="G509" s="16" t="s">
        <v>334</v>
      </c>
      <c r="H509" s="13">
        <v>33080</v>
      </c>
      <c r="I509" s="20" t="s">
        <v>491</v>
      </c>
      <c r="J509" s="14" t="s">
        <v>935</v>
      </c>
      <c r="K509" s="13">
        <v>44607</v>
      </c>
      <c r="L509" s="17">
        <v>58</v>
      </c>
      <c r="M509" s="13">
        <f t="shared" si="7"/>
        <v>44665</v>
      </c>
      <c r="N509" s="14" t="s">
        <v>495</v>
      </c>
      <c r="O509" s="16" t="s">
        <v>542</v>
      </c>
      <c r="P509" s="16">
        <v>3</v>
      </c>
      <c r="Q509" s="14" t="s">
        <v>501</v>
      </c>
      <c r="R509" s="23"/>
      <c r="S509" s="23"/>
      <c r="T509" s="24"/>
    </row>
    <row r="510" spans="1:20" s="19" customFormat="1" ht="21" customHeight="1" x14ac:dyDescent="0.25">
      <c r="A510" s="12">
        <f>IF(B510="","",COUNTA($B$2:B510))</f>
        <v>509</v>
      </c>
      <c r="B510" s="13" t="s">
        <v>883</v>
      </c>
      <c r="C510" s="14"/>
      <c r="D510" s="14" t="s">
        <v>299</v>
      </c>
      <c r="E510" s="14" t="s">
        <v>309</v>
      </c>
      <c r="F510" s="15" t="s">
        <v>329</v>
      </c>
      <c r="G510" s="16" t="s">
        <v>407</v>
      </c>
      <c r="H510" s="13">
        <v>34315</v>
      </c>
      <c r="I510" s="14" t="s">
        <v>491</v>
      </c>
      <c r="J510" s="14" t="s">
        <v>504</v>
      </c>
      <c r="K510" s="13">
        <v>44607</v>
      </c>
      <c r="L510" s="17">
        <v>60</v>
      </c>
      <c r="M510" s="13">
        <f t="shared" si="7"/>
        <v>44667</v>
      </c>
      <c r="N510" s="14"/>
      <c r="O510" s="14" t="s">
        <v>539</v>
      </c>
      <c r="P510" s="14"/>
      <c r="Q510" s="14"/>
      <c r="R510" s="13">
        <v>44986</v>
      </c>
      <c r="S510" s="13" t="s">
        <v>976</v>
      </c>
      <c r="T510" s="18"/>
    </row>
    <row r="511" spans="1:20" s="19" customFormat="1" ht="21" customHeight="1" x14ac:dyDescent="0.25">
      <c r="A511" s="12">
        <f>IF(B511="","",COUNTA($B$2:B511))</f>
        <v>510</v>
      </c>
      <c r="B511" s="13" t="s">
        <v>828</v>
      </c>
      <c r="C511" s="14"/>
      <c r="D511" s="14" t="s">
        <v>298</v>
      </c>
      <c r="E511" s="14" t="s">
        <v>307</v>
      </c>
      <c r="F511" s="15" t="s">
        <v>433</v>
      </c>
      <c r="G511" s="16" t="s">
        <v>437</v>
      </c>
      <c r="H511" s="13">
        <v>35371</v>
      </c>
      <c r="I511" s="14" t="s">
        <v>491</v>
      </c>
      <c r="J511" s="14" t="s">
        <v>504</v>
      </c>
      <c r="K511" s="13">
        <v>44609</v>
      </c>
      <c r="L511" s="17">
        <v>60</v>
      </c>
      <c r="M511" s="13">
        <f t="shared" si="7"/>
        <v>44669</v>
      </c>
      <c r="N511" s="14"/>
      <c r="O511" s="14" t="s">
        <v>539</v>
      </c>
      <c r="P511" s="14"/>
      <c r="Q511" s="14"/>
      <c r="R511" s="13">
        <v>44795</v>
      </c>
      <c r="S511" s="13" t="s">
        <v>977</v>
      </c>
      <c r="T511" s="18"/>
    </row>
    <row r="512" spans="1:20" s="19" customFormat="1" ht="21" customHeight="1" x14ac:dyDescent="0.25">
      <c r="A512" s="12">
        <f>IF(B512="","",COUNTA($B$2:B512))</f>
        <v>511</v>
      </c>
      <c r="B512" s="20" t="s">
        <v>267</v>
      </c>
      <c r="C512" s="14"/>
      <c r="D512" s="14" t="s">
        <v>298</v>
      </c>
      <c r="E512" s="21" t="s">
        <v>314</v>
      </c>
      <c r="F512" s="22" t="s">
        <v>329</v>
      </c>
      <c r="G512" s="16" t="s">
        <v>352</v>
      </c>
      <c r="H512" s="13">
        <v>29396</v>
      </c>
      <c r="I512" s="20" t="s">
        <v>492</v>
      </c>
      <c r="J512" s="14" t="s">
        <v>504</v>
      </c>
      <c r="K512" s="13">
        <v>44613</v>
      </c>
      <c r="L512" s="17">
        <v>58</v>
      </c>
      <c r="M512" s="13">
        <f t="shared" si="7"/>
        <v>44671</v>
      </c>
      <c r="N512" s="14" t="s">
        <v>495</v>
      </c>
      <c r="O512" s="16" t="s">
        <v>538</v>
      </c>
      <c r="P512" s="16">
        <v>3</v>
      </c>
      <c r="Q512" s="14" t="s">
        <v>501</v>
      </c>
      <c r="R512" s="23"/>
      <c r="S512" s="23"/>
      <c r="T512" s="24"/>
    </row>
    <row r="513" spans="1:20" s="19" customFormat="1" ht="21" customHeight="1" x14ac:dyDescent="0.25">
      <c r="A513" s="12">
        <f>IF(B513="","",COUNTA($B$2:B513))</f>
        <v>512</v>
      </c>
      <c r="B513" s="13" t="s">
        <v>780</v>
      </c>
      <c r="C513" s="14"/>
      <c r="D513" s="14" t="s">
        <v>299</v>
      </c>
      <c r="E513" s="14" t="s">
        <v>314</v>
      </c>
      <c r="F513" s="15" t="s">
        <v>328</v>
      </c>
      <c r="G513" s="16" t="s">
        <v>349</v>
      </c>
      <c r="H513" s="13">
        <v>31048</v>
      </c>
      <c r="I513" s="14" t="s">
        <v>492</v>
      </c>
      <c r="J513" s="14" t="s">
        <v>507</v>
      </c>
      <c r="K513" s="13">
        <v>44615</v>
      </c>
      <c r="L513" s="17">
        <v>60</v>
      </c>
      <c r="M513" s="13">
        <f t="shared" si="7"/>
        <v>44675</v>
      </c>
      <c r="N513" s="14"/>
      <c r="O513" s="14" t="s">
        <v>538</v>
      </c>
      <c r="P513" s="14"/>
      <c r="Q513" s="14"/>
      <c r="R513" s="13">
        <v>44688</v>
      </c>
      <c r="S513" s="13" t="s">
        <v>977</v>
      </c>
      <c r="T513" s="18"/>
    </row>
    <row r="514" spans="1:20" s="19" customFormat="1" ht="21" customHeight="1" x14ac:dyDescent="0.25">
      <c r="A514" s="12">
        <f>IF(B514="","",COUNTA($B$2:B514))</f>
        <v>513</v>
      </c>
      <c r="B514" s="20" t="s">
        <v>256</v>
      </c>
      <c r="C514" s="14"/>
      <c r="D514" s="14" t="s">
        <v>299</v>
      </c>
      <c r="E514" s="21" t="s">
        <v>314</v>
      </c>
      <c r="F514" s="22" t="s">
        <v>328</v>
      </c>
      <c r="G514" s="16" t="s">
        <v>343</v>
      </c>
      <c r="H514" s="13">
        <v>33659</v>
      </c>
      <c r="I514" s="20" t="s">
        <v>491</v>
      </c>
      <c r="J514" s="14" t="s">
        <v>507</v>
      </c>
      <c r="K514" s="13">
        <v>44616</v>
      </c>
      <c r="L514" s="17">
        <v>58</v>
      </c>
      <c r="M514" s="13">
        <f t="shared" ref="M514:M577" si="8">K514+L514</f>
        <v>44674</v>
      </c>
      <c r="N514" s="14" t="s">
        <v>495</v>
      </c>
      <c r="O514" s="16" t="s">
        <v>539</v>
      </c>
      <c r="P514" s="16">
        <v>3</v>
      </c>
      <c r="Q514" s="14" t="s">
        <v>501</v>
      </c>
      <c r="R514" s="23"/>
      <c r="S514" s="23"/>
      <c r="T514" s="24"/>
    </row>
    <row r="515" spans="1:20" s="19" customFormat="1" ht="21" customHeight="1" x14ac:dyDescent="0.25">
      <c r="A515" s="12">
        <f>IF(B515="","",COUNTA($B$2:B515))</f>
        <v>514</v>
      </c>
      <c r="B515" s="20" t="s">
        <v>523</v>
      </c>
      <c r="C515" s="14"/>
      <c r="D515" s="14" t="s">
        <v>299</v>
      </c>
      <c r="E515" s="21" t="s">
        <v>314</v>
      </c>
      <c r="F515" s="22" t="s">
        <v>327</v>
      </c>
      <c r="G515" s="16" t="s">
        <v>341</v>
      </c>
      <c r="H515" s="13">
        <v>32215</v>
      </c>
      <c r="I515" s="20" t="s">
        <v>492</v>
      </c>
      <c r="J515" s="14" t="s">
        <v>507</v>
      </c>
      <c r="K515" s="13">
        <v>44621</v>
      </c>
      <c r="L515" s="17">
        <v>60</v>
      </c>
      <c r="M515" s="13">
        <f t="shared" si="8"/>
        <v>44681</v>
      </c>
      <c r="N515" s="14" t="s">
        <v>495</v>
      </c>
      <c r="O515" s="16" t="s">
        <v>538</v>
      </c>
      <c r="P515" s="16">
        <v>3</v>
      </c>
      <c r="Q515" s="14" t="s">
        <v>501</v>
      </c>
      <c r="R515" s="13">
        <v>45215</v>
      </c>
      <c r="S515" s="13" t="s">
        <v>975</v>
      </c>
      <c r="T515" s="24"/>
    </row>
    <row r="516" spans="1:20" s="19" customFormat="1" ht="21" customHeight="1" x14ac:dyDescent="0.25">
      <c r="A516" s="12">
        <f>IF(B516="","",COUNTA($B$2:B516))</f>
        <v>515</v>
      </c>
      <c r="B516" s="13" t="s">
        <v>827</v>
      </c>
      <c r="C516" s="14"/>
      <c r="D516" s="14" t="s">
        <v>298</v>
      </c>
      <c r="E516" s="14" t="s">
        <v>314</v>
      </c>
      <c r="F516" s="15" t="s">
        <v>330</v>
      </c>
      <c r="G516" s="16" t="s">
        <v>364</v>
      </c>
      <c r="H516" s="13">
        <v>34833</v>
      </c>
      <c r="I516" s="14" t="s">
        <v>492</v>
      </c>
      <c r="J516" s="14" t="s">
        <v>935</v>
      </c>
      <c r="K516" s="13">
        <v>44621</v>
      </c>
      <c r="L516" s="17">
        <v>60</v>
      </c>
      <c r="M516" s="13">
        <f t="shared" si="8"/>
        <v>44681</v>
      </c>
      <c r="N516" s="14"/>
      <c r="O516" s="14" t="s">
        <v>538</v>
      </c>
      <c r="P516" s="14"/>
      <c r="Q516" s="14"/>
      <c r="R516" s="13">
        <v>44793</v>
      </c>
      <c r="S516" s="13" t="s">
        <v>972</v>
      </c>
      <c r="T516" s="18"/>
    </row>
    <row r="517" spans="1:20" s="19" customFormat="1" ht="21" customHeight="1" x14ac:dyDescent="0.25">
      <c r="A517" s="12">
        <f>IF(B517="","",COUNTA($B$2:B517))</f>
        <v>516</v>
      </c>
      <c r="B517" s="13" t="s">
        <v>781</v>
      </c>
      <c r="C517" s="14"/>
      <c r="D517" s="14" t="s">
        <v>299</v>
      </c>
      <c r="E517" s="14" t="s">
        <v>311</v>
      </c>
      <c r="F517" s="22" t="s">
        <v>939</v>
      </c>
      <c r="G517" s="16" t="s">
        <v>964</v>
      </c>
      <c r="H517" s="13">
        <v>35594</v>
      </c>
      <c r="I517" s="14" t="s">
        <v>491</v>
      </c>
      <c r="J517" s="14" t="s">
        <v>507</v>
      </c>
      <c r="K517" s="13">
        <v>44621</v>
      </c>
      <c r="L517" s="17">
        <v>60</v>
      </c>
      <c r="M517" s="13">
        <f t="shared" si="8"/>
        <v>44681</v>
      </c>
      <c r="N517" s="14"/>
      <c r="O517" s="14" t="s">
        <v>539</v>
      </c>
      <c r="P517" s="14"/>
      <c r="Q517" s="14"/>
      <c r="R517" s="13">
        <v>44688</v>
      </c>
      <c r="S517" s="13" t="s">
        <v>972</v>
      </c>
      <c r="T517" s="18"/>
    </row>
    <row r="518" spans="1:20" s="19" customFormat="1" ht="21" customHeight="1" x14ac:dyDescent="0.25">
      <c r="A518" s="12">
        <f>IF(B518="","",COUNTA($B$2:B518))</f>
        <v>517</v>
      </c>
      <c r="B518" s="20" t="s">
        <v>43</v>
      </c>
      <c r="C518" s="14"/>
      <c r="D518" s="14" t="s">
        <v>298</v>
      </c>
      <c r="E518" s="21" t="s">
        <v>304</v>
      </c>
      <c r="F518" s="22" t="s">
        <v>368</v>
      </c>
      <c r="G518" s="16" t="s">
        <v>370</v>
      </c>
      <c r="H518" s="13">
        <v>33490</v>
      </c>
      <c r="I518" s="20" t="s">
        <v>491</v>
      </c>
      <c r="J518" s="14" t="s">
        <v>504</v>
      </c>
      <c r="K518" s="13">
        <v>44627</v>
      </c>
      <c r="L518" s="17">
        <v>60</v>
      </c>
      <c r="M518" s="13">
        <f t="shared" si="8"/>
        <v>44687</v>
      </c>
      <c r="N518" s="14" t="s">
        <v>495</v>
      </c>
      <c r="O518" s="16" t="s">
        <v>538</v>
      </c>
      <c r="P518" s="16">
        <v>3</v>
      </c>
      <c r="Q518" s="14" t="s">
        <v>501</v>
      </c>
      <c r="R518" s="23"/>
      <c r="S518" s="23"/>
      <c r="T518" s="24"/>
    </row>
    <row r="519" spans="1:20" s="19" customFormat="1" ht="21" customHeight="1" x14ac:dyDescent="0.25">
      <c r="A519" s="12">
        <f>IF(B519="","",COUNTA($B$2:B519))</f>
        <v>518</v>
      </c>
      <c r="B519" s="13" t="s">
        <v>901</v>
      </c>
      <c r="C519" s="14"/>
      <c r="D519" s="14" t="s">
        <v>298</v>
      </c>
      <c r="E519" s="14" t="s">
        <v>309</v>
      </c>
      <c r="F519" s="22" t="s">
        <v>399</v>
      </c>
      <c r="G519" s="16" t="s">
        <v>402</v>
      </c>
      <c r="H519" s="13">
        <v>35428</v>
      </c>
      <c r="I519" s="14" t="s">
        <v>491</v>
      </c>
      <c r="J519" s="14" t="s">
        <v>504</v>
      </c>
      <c r="K519" s="13">
        <v>44627</v>
      </c>
      <c r="L519" s="17">
        <v>60</v>
      </c>
      <c r="M519" s="13">
        <f t="shared" si="8"/>
        <v>44687</v>
      </c>
      <c r="N519" s="14"/>
      <c r="O519" s="14" t="s">
        <v>539</v>
      </c>
      <c r="P519" s="14"/>
      <c r="Q519" s="14"/>
      <c r="R519" s="13">
        <v>45053</v>
      </c>
      <c r="S519" s="13" t="s">
        <v>976</v>
      </c>
      <c r="T519" s="24"/>
    </row>
    <row r="520" spans="1:20" s="19" customFormat="1" ht="21" customHeight="1" x14ac:dyDescent="0.25">
      <c r="A520" s="12">
        <f>IF(B520="","",COUNTA($B$2:B520))</f>
        <v>519</v>
      </c>
      <c r="B520" s="13" t="s">
        <v>800</v>
      </c>
      <c r="C520" s="14"/>
      <c r="D520" s="14" t="s">
        <v>298</v>
      </c>
      <c r="E520" s="14" t="s">
        <v>304</v>
      </c>
      <c r="F520" s="15" t="s">
        <v>368</v>
      </c>
      <c r="G520" s="26" t="s">
        <v>379</v>
      </c>
      <c r="H520" s="13">
        <v>36864</v>
      </c>
      <c r="I520" s="14" t="s">
        <v>491</v>
      </c>
      <c r="J520" s="14" t="s">
        <v>504</v>
      </c>
      <c r="K520" s="13">
        <v>44627</v>
      </c>
      <c r="L520" s="17">
        <v>60</v>
      </c>
      <c r="M520" s="13">
        <f t="shared" si="8"/>
        <v>44687</v>
      </c>
      <c r="N520" s="14"/>
      <c r="O520" s="14" t="s">
        <v>539</v>
      </c>
      <c r="P520" s="14"/>
      <c r="Q520" s="14"/>
      <c r="R520" s="13">
        <v>44724</v>
      </c>
      <c r="S520" s="13" t="s">
        <v>977</v>
      </c>
      <c r="T520" s="18"/>
    </row>
    <row r="521" spans="1:20" s="19" customFormat="1" ht="21" customHeight="1" x14ac:dyDescent="0.25">
      <c r="A521" s="12">
        <f>IF(B521="","",COUNTA($B$2:B521))</f>
        <v>520</v>
      </c>
      <c r="B521" s="20" t="s">
        <v>147</v>
      </c>
      <c r="C521" s="14"/>
      <c r="D521" s="14" t="s">
        <v>298</v>
      </c>
      <c r="E521" s="21" t="s">
        <v>304</v>
      </c>
      <c r="F521" s="22" t="s">
        <v>367</v>
      </c>
      <c r="G521" s="16" t="s">
        <v>373</v>
      </c>
      <c r="H521" s="13">
        <v>32101</v>
      </c>
      <c r="I521" s="20" t="s">
        <v>492</v>
      </c>
      <c r="J521" s="14" t="s">
        <v>504</v>
      </c>
      <c r="K521" s="13">
        <v>44630</v>
      </c>
      <c r="L521" s="17">
        <v>60</v>
      </c>
      <c r="M521" s="13">
        <f t="shared" si="8"/>
        <v>44690</v>
      </c>
      <c r="N521" s="14" t="s">
        <v>495</v>
      </c>
      <c r="O521" s="16" t="s">
        <v>538</v>
      </c>
      <c r="P521" s="16">
        <v>3</v>
      </c>
      <c r="Q521" s="14" t="s">
        <v>501</v>
      </c>
      <c r="R521" s="23"/>
      <c r="S521" s="23"/>
      <c r="T521" s="24"/>
    </row>
    <row r="522" spans="1:20" s="19" customFormat="1" ht="21" customHeight="1" x14ac:dyDescent="0.25">
      <c r="A522" s="12">
        <f>IF(B522="","",COUNTA($B$2:B522))</f>
        <v>521</v>
      </c>
      <c r="B522" s="20" t="s">
        <v>86</v>
      </c>
      <c r="C522" s="20"/>
      <c r="D522" s="20" t="s">
        <v>298</v>
      </c>
      <c r="E522" s="20" t="s">
        <v>308</v>
      </c>
      <c r="F522" s="25" t="s">
        <v>442</v>
      </c>
      <c r="G522" s="16" t="s">
        <v>447</v>
      </c>
      <c r="H522" s="13">
        <v>34334</v>
      </c>
      <c r="I522" s="20" t="s">
        <v>492</v>
      </c>
      <c r="J522" s="14" t="s">
        <v>504</v>
      </c>
      <c r="K522" s="13">
        <v>44634</v>
      </c>
      <c r="L522" s="17">
        <v>60</v>
      </c>
      <c r="M522" s="13">
        <f t="shared" si="8"/>
        <v>44694</v>
      </c>
      <c r="N522" s="14" t="s">
        <v>495</v>
      </c>
      <c r="O522" s="16" t="s">
        <v>539</v>
      </c>
      <c r="P522" s="16">
        <v>3</v>
      </c>
      <c r="Q522" s="14" t="s">
        <v>501</v>
      </c>
      <c r="R522" s="23"/>
      <c r="S522" s="23"/>
      <c r="T522" s="24"/>
    </row>
    <row r="523" spans="1:20" s="19" customFormat="1" ht="21" customHeight="1" x14ac:dyDescent="0.25">
      <c r="A523" s="12">
        <f>IF(B523="","",COUNTA($B$2:B523))</f>
        <v>522</v>
      </c>
      <c r="B523" s="13" t="s">
        <v>862</v>
      </c>
      <c r="C523" s="14"/>
      <c r="D523" s="14" t="s">
        <v>299</v>
      </c>
      <c r="E523" s="14" t="s">
        <v>314</v>
      </c>
      <c r="F523" s="15" t="s">
        <v>327</v>
      </c>
      <c r="G523" s="16" t="s">
        <v>341</v>
      </c>
      <c r="H523" s="13">
        <v>30235</v>
      </c>
      <c r="I523" s="14" t="s">
        <v>492</v>
      </c>
      <c r="J523" s="14" t="s">
        <v>935</v>
      </c>
      <c r="K523" s="13">
        <v>44634</v>
      </c>
      <c r="L523" s="17">
        <v>60</v>
      </c>
      <c r="M523" s="13">
        <f t="shared" si="8"/>
        <v>44694</v>
      </c>
      <c r="N523" s="14"/>
      <c r="O523" s="14" t="s">
        <v>538</v>
      </c>
      <c r="P523" s="14"/>
      <c r="Q523" s="14"/>
      <c r="R523" s="13">
        <v>44907</v>
      </c>
      <c r="S523" s="13" t="s">
        <v>976</v>
      </c>
      <c r="T523" s="18"/>
    </row>
    <row r="524" spans="1:20" s="19" customFormat="1" ht="21" customHeight="1" x14ac:dyDescent="0.25">
      <c r="A524" s="12">
        <f>IF(B524="","",COUNTA($B$2:B524))</f>
        <v>523</v>
      </c>
      <c r="B524" s="13" t="s">
        <v>803</v>
      </c>
      <c r="C524" s="14"/>
      <c r="D524" s="14" t="s">
        <v>298</v>
      </c>
      <c r="E524" s="14" t="s">
        <v>301</v>
      </c>
      <c r="F524" s="15" t="s">
        <v>464</v>
      </c>
      <c r="G524" s="16" t="s">
        <v>483</v>
      </c>
      <c r="H524" s="13">
        <v>33070</v>
      </c>
      <c r="I524" s="14" t="s">
        <v>491</v>
      </c>
      <c r="J524" s="14" t="s">
        <v>504</v>
      </c>
      <c r="K524" s="13">
        <v>44634</v>
      </c>
      <c r="L524" s="17">
        <v>60</v>
      </c>
      <c r="M524" s="13">
        <f t="shared" si="8"/>
        <v>44694</v>
      </c>
      <c r="N524" s="14"/>
      <c r="O524" s="14" t="s">
        <v>538</v>
      </c>
      <c r="P524" s="14"/>
      <c r="Q524" s="14"/>
      <c r="R524" s="13">
        <v>44731</v>
      </c>
      <c r="S524" s="13" t="s">
        <v>977</v>
      </c>
      <c r="T524" s="18"/>
    </row>
    <row r="525" spans="1:20" s="19" customFormat="1" ht="21" customHeight="1" x14ac:dyDescent="0.25">
      <c r="A525" s="12">
        <f>IF(B525="","",COUNTA($B$2:B525))</f>
        <v>524</v>
      </c>
      <c r="B525" s="13" t="s">
        <v>708</v>
      </c>
      <c r="C525" s="14"/>
      <c r="D525" s="14" t="s">
        <v>299</v>
      </c>
      <c r="E525" s="14" t="s">
        <v>314</v>
      </c>
      <c r="F525" s="15" t="s">
        <v>327</v>
      </c>
      <c r="G525" s="16" t="s">
        <v>340</v>
      </c>
      <c r="H525" s="13">
        <v>34425</v>
      </c>
      <c r="I525" s="14" t="s">
        <v>491</v>
      </c>
      <c r="J525" s="14" t="s">
        <v>936</v>
      </c>
      <c r="K525" s="13">
        <v>44634</v>
      </c>
      <c r="L525" s="17">
        <v>60</v>
      </c>
      <c r="M525" s="13">
        <f t="shared" si="8"/>
        <v>44694</v>
      </c>
      <c r="N525" s="14"/>
      <c r="O525" s="14" t="s">
        <v>539</v>
      </c>
      <c r="P525" s="14"/>
      <c r="Q525" s="14"/>
      <c r="R525" s="13">
        <v>44641</v>
      </c>
      <c r="S525" s="13" t="s">
        <v>973</v>
      </c>
      <c r="T525" s="18"/>
    </row>
    <row r="526" spans="1:20" s="19" customFormat="1" ht="21" customHeight="1" x14ac:dyDescent="0.25">
      <c r="A526" s="12">
        <f>IF(B526="","",COUNTA($B$2:B526))</f>
        <v>525</v>
      </c>
      <c r="B526" s="13" t="s">
        <v>881</v>
      </c>
      <c r="C526" s="14"/>
      <c r="D526" s="14" t="s">
        <v>298</v>
      </c>
      <c r="E526" s="14" t="s">
        <v>309</v>
      </c>
      <c r="F526" s="15" t="s">
        <v>329</v>
      </c>
      <c r="G526" s="16" t="s">
        <v>407</v>
      </c>
      <c r="H526" s="13">
        <v>34878</v>
      </c>
      <c r="I526" s="14" t="s">
        <v>491</v>
      </c>
      <c r="J526" s="14" t="s">
        <v>504</v>
      </c>
      <c r="K526" s="13">
        <v>44637</v>
      </c>
      <c r="L526" s="17">
        <v>60</v>
      </c>
      <c r="M526" s="13">
        <f t="shared" si="8"/>
        <v>44697</v>
      </c>
      <c r="N526" s="14"/>
      <c r="O526" s="14" t="s">
        <v>538</v>
      </c>
      <c r="P526" s="14"/>
      <c r="Q526" s="14"/>
      <c r="R526" s="13">
        <v>44986</v>
      </c>
      <c r="S526" s="13" t="s">
        <v>972</v>
      </c>
      <c r="T526" s="18"/>
    </row>
    <row r="527" spans="1:20" s="19" customFormat="1" ht="21" customHeight="1" x14ac:dyDescent="0.25">
      <c r="A527" s="12">
        <f>IF(B527="","",COUNTA($B$2:B527))</f>
        <v>526</v>
      </c>
      <c r="B527" s="20" t="s">
        <v>28</v>
      </c>
      <c r="C527" s="14"/>
      <c r="D527" s="14" t="s">
        <v>298</v>
      </c>
      <c r="E527" s="21" t="s">
        <v>301</v>
      </c>
      <c r="F527" s="22" t="s">
        <v>466</v>
      </c>
      <c r="G527" s="16" t="s">
        <v>471</v>
      </c>
      <c r="H527" s="13">
        <v>35353</v>
      </c>
      <c r="I527" s="20" t="s">
        <v>491</v>
      </c>
      <c r="J527" s="14" t="s">
        <v>504</v>
      </c>
      <c r="K527" s="13">
        <v>44641</v>
      </c>
      <c r="L527" s="17">
        <v>60</v>
      </c>
      <c r="M527" s="13">
        <f t="shared" si="8"/>
        <v>44701</v>
      </c>
      <c r="N527" s="14" t="s">
        <v>495</v>
      </c>
      <c r="O527" s="16" t="s">
        <v>539</v>
      </c>
      <c r="P527" s="16">
        <v>3</v>
      </c>
      <c r="Q527" s="14" t="s">
        <v>501</v>
      </c>
      <c r="R527" s="23"/>
      <c r="S527" s="23"/>
      <c r="T527" s="24"/>
    </row>
    <row r="528" spans="1:20" s="19" customFormat="1" ht="21" customHeight="1" x14ac:dyDescent="0.25">
      <c r="A528" s="12">
        <f>IF(B528="","",COUNTA($B$2:B528))</f>
        <v>527</v>
      </c>
      <c r="B528" s="13" t="s">
        <v>709</v>
      </c>
      <c r="C528" s="14"/>
      <c r="D528" s="14" t="s">
        <v>299</v>
      </c>
      <c r="E528" s="14" t="s">
        <v>314</v>
      </c>
      <c r="F528" s="15" t="s">
        <v>330</v>
      </c>
      <c r="G528" s="16" t="s">
        <v>361</v>
      </c>
      <c r="H528" s="13">
        <v>31407</v>
      </c>
      <c r="I528" s="14" t="s">
        <v>492</v>
      </c>
      <c r="J528" s="14" t="s">
        <v>507</v>
      </c>
      <c r="K528" s="13">
        <v>44641</v>
      </c>
      <c r="L528" s="17">
        <v>60</v>
      </c>
      <c r="M528" s="13">
        <f t="shared" si="8"/>
        <v>44701</v>
      </c>
      <c r="N528" s="14"/>
      <c r="O528" s="14" t="s">
        <v>539</v>
      </c>
      <c r="P528" s="14"/>
      <c r="Q528" s="14"/>
      <c r="R528" s="13">
        <v>44641</v>
      </c>
      <c r="S528" s="13" t="s">
        <v>977</v>
      </c>
      <c r="T528" s="18"/>
    </row>
    <row r="529" spans="1:20" s="19" customFormat="1" ht="21" customHeight="1" x14ac:dyDescent="0.25">
      <c r="A529" s="12">
        <f>IF(B529="","",COUNTA($B$2:B529))</f>
        <v>528</v>
      </c>
      <c r="B529" s="13" t="s">
        <v>913</v>
      </c>
      <c r="C529" s="14"/>
      <c r="D529" s="14" t="s">
        <v>298</v>
      </c>
      <c r="E529" s="14" t="s">
        <v>314</v>
      </c>
      <c r="F529" s="15" t="s">
        <v>330</v>
      </c>
      <c r="G529" s="16" t="s">
        <v>361</v>
      </c>
      <c r="H529" s="13">
        <v>32390</v>
      </c>
      <c r="I529" s="14" t="s">
        <v>491</v>
      </c>
      <c r="J529" s="14" t="s">
        <v>504</v>
      </c>
      <c r="K529" s="13">
        <v>44642</v>
      </c>
      <c r="L529" s="17">
        <v>60</v>
      </c>
      <c r="M529" s="13">
        <f t="shared" si="8"/>
        <v>44702</v>
      </c>
      <c r="N529" s="14"/>
      <c r="O529" s="14" t="s">
        <v>538</v>
      </c>
      <c r="P529" s="14"/>
      <c r="Q529" s="14"/>
      <c r="R529" s="13">
        <v>45093</v>
      </c>
      <c r="S529" s="13" t="s">
        <v>973</v>
      </c>
      <c r="T529" s="24"/>
    </row>
    <row r="530" spans="1:20" s="19" customFormat="1" ht="21" customHeight="1" x14ac:dyDescent="0.25">
      <c r="A530" s="12">
        <f>IF(B530="","",COUNTA($B$2:B530))</f>
        <v>529</v>
      </c>
      <c r="B530" s="20" t="s">
        <v>524</v>
      </c>
      <c r="C530" s="14"/>
      <c r="D530" s="14" t="s">
        <v>299</v>
      </c>
      <c r="E530" s="21" t="s">
        <v>314</v>
      </c>
      <c r="F530" s="22" t="s">
        <v>327</v>
      </c>
      <c r="G530" s="16" t="s">
        <v>341</v>
      </c>
      <c r="H530" s="13">
        <v>29077</v>
      </c>
      <c r="I530" s="20" t="s">
        <v>492</v>
      </c>
      <c r="J530" s="14" t="s">
        <v>504</v>
      </c>
      <c r="K530" s="13">
        <v>44644</v>
      </c>
      <c r="L530" s="17">
        <v>60</v>
      </c>
      <c r="M530" s="13">
        <f t="shared" si="8"/>
        <v>44704</v>
      </c>
      <c r="N530" s="14" t="s">
        <v>495</v>
      </c>
      <c r="O530" s="16" t="s">
        <v>538</v>
      </c>
      <c r="P530" s="16">
        <v>3</v>
      </c>
      <c r="Q530" s="14" t="s">
        <v>501</v>
      </c>
      <c r="R530" s="13">
        <v>45215</v>
      </c>
      <c r="S530" s="13" t="s">
        <v>975</v>
      </c>
      <c r="T530" s="24"/>
    </row>
    <row r="531" spans="1:20" s="19" customFormat="1" ht="21" customHeight="1" x14ac:dyDescent="0.25">
      <c r="A531" s="12">
        <f>IF(B531="","",COUNTA($B$2:B531))</f>
        <v>530</v>
      </c>
      <c r="B531" s="13" t="s">
        <v>852</v>
      </c>
      <c r="C531" s="14"/>
      <c r="D531" s="14" t="s">
        <v>298</v>
      </c>
      <c r="E531" s="14" t="s">
        <v>314</v>
      </c>
      <c r="F531" s="15" t="s">
        <v>330</v>
      </c>
      <c r="G531" s="16" t="s">
        <v>364</v>
      </c>
      <c r="H531" s="13">
        <v>35048</v>
      </c>
      <c r="I531" s="14" t="s">
        <v>492</v>
      </c>
      <c r="J531" s="14" t="s">
        <v>935</v>
      </c>
      <c r="K531" s="13">
        <v>44644</v>
      </c>
      <c r="L531" s="17">
        <v>60</v>
      </c>
      <c r="M531" s="13">
        <f t="shared" si="8"/>
        <v>44704</v>
      </c>
      <c r="N531" s="14"/>
      <c r="O531" s="14" t="s">
        <v>538</v>
      </c>
      <c r="P531" s="14"/>
      <c r="Q531" s="14"/>
      <c r="R531" s="13">
        <v>44866</v>
      </c>
      <c r="S531" s="13" t="s">
        <v>973</v>
      </c>
      <c r="T531" s="18"/>
    </row>
    <row r="532" spans="1:20" s="19" customFormat="1" ht="21" customHeight="1" x14ac:dyDescent="0.25">
      <c r="A532" s="12">
        <f>IF(B532="","",COUNTA($B$2:B532))</f>
        <v>531</v>
      </c>
      <c r="B532" s="13" t="s">
        <v>712</v>
      </c>
      <c r="C532" s="14"/>
      <c r="D532" s="14" t="s">
        <v>299</v>
      </c>
      <c r="E532" s="14" t="s">
        <v>314</v>
      </c>
      <c r="F532" s="15" t="s">
        <v>328</v>
      </c>
      <c r="G532" s="16" t="s">
        <v>349</v>
      </c>
      <c r="H532" s="13">
        <v>34297</v>
      </c>
      <c r="I532" s="14" t="s">
        <v>492</v>
      </c>
      <c r="J532" s="14" t="s">
        <v>506</v>
      </c>
      <c r="K532" s="13">
        <v>44644</v>
      </c>
      <c r="L532" s="17">
        <v>60</v>
      </c>
      <c r="M532" s="13">
        <f t="shared" si="8"/>
        <v>44704</v>
      </c>
      <c r="N532" s="14"/>
      <c r="O532" s="14" t="s">
        <v>539</v>
      </c>
      <c r="P532" s="14"/>
      <c r="Q532" s="14"/>
      <c r="R532" s="13">
        <v>44645</v>
      </c>
      <c r="S532" s="13" t="s">
        <v>975</v>
      </c>
      <c r="T532" s="18"/>
    </row>
    <row r="533" spans="1:20" s="19" customFormat="1" ht="21" customHeight="1" x14ac:dyDescent="0.25">
      <c r="A533" s="12">
        <f>IF(B533="","",COUNTA($B$2:B533))</f>
        <v>532</v>
      </c>
      <c r="B533" s="13" t="s">
        <v>721</v>
      </c>
      <c r="C533" s="14"/>
      <c r="D533" s="14" t="s">
        <v>298</v>
      </c>
      <c r="E533" s="14" t="s">
        <v>309</v>
      </c>
      <c r="F533" s="15" t="s">
        <v>329</v>
      </c>
      <c r="G533" s="16" t="s">
        <v>407</v>
      </c>
      <c r="H533" s="13">
        <v>32329</v>
      </c>
      <c r="I533" s="14" t="s">
        <v>491</v>
      </c>
      <c r="J533" s="14" t="s">
        <v>504</v>
      </c>
      <c r="K533" s="13">
        <v>44645</v>
      </c>
      <c r="L533" s="17">
        <v>60</v>
      </c>
      <c r="M533" s="13">
        <f t="shared" si="8"/>
        <v>44705</v>
      </c>
      <c r="N533" s="14"/>
      <c r="O533" s="14" t="s">
        <v>538</v>
      </c>
      <c r="P533" s="14"/>
      <c r="Q533" s="14"/>
      <c r="R533" s="13">
        <v>44660</v>
      </c>
      <c r="S533" s="13" t="s">
        <v>973</v>
      </c>
      <c r="T533" s="18"/>
    </row>
    <row r="534" spans="1:20" s="19" customFormat="1" ht="21" customHeight="1" x14ac:dyDescent="0.25">
      <c r="A534" s="12">
        <f>IF(B534="","",COUNTA($B$2:B534))</f>
        <v>533</v>
      </c>
      <c r="B534" s="13" t="s">
        <v>866</v>
      </c>
      <c r="C534" s="14"/>
      <c r="D534" s="14" t="s">
        <v>299</v>
      </c>
      <c r="E534" s="14" t="s">
        <v>314</v>
      </c>
      <c r="F534" s="15" t="s">
        <v>329</v>
      </c>
      <c r="G534" s="16" t="s">
        <v>353</v>
      </c>
      <c r="H534" s="13">
        <v>35728</v>
      </c>
      <c r="I534" s="14" t="s">
        <v>492</v>
      </c>
      <c r="J534" s="14" t="s">
        <v>507</v>
      </c>
      <c r="K534" s="13">
        <v>44648</v>
      </c>
      <c r="L534" s="17">
        <v>60</v>
      </c>
      <c r="M534" s="13">
        <f t="shared" si="8"/>
        <v>44708</v>
      </c>
      <c r="N534" s="14"/>
      <c r="O534" s="14" t="s">
        <v>539</v>
      </c>
      <c r="P534" s="14"/>
      <c r="Q534" s="14"/>
      <c r="R534" s="13">
        <v>44940</v>
      </c>
      <c r="S534" s="13" t="s">
        <v>975</v>
      </c>
      <c r="T534" s="18"/>
    </row>
    <row r="535" spans="1:20" s="19" customFormat="1" ht="21" customHeight="1" x14ac:dyDescent="0.25">
      <c r="A535" s="12">
        <f>IF(B535="","",COUNTA($B$2:B535))</f>
        <v>534</v>
      </c>
      <c r="B535" s="13" t="s">
        <v>782</v>
      </c>
      <c r="C535" s="14"/>
      <c r="D535" s="14" t="s">
        <v>299</v>
      </c>
      <c r="E535" s="14" t="s">
        <v>314</v>
      </c>
      <c r="F535" s="15" t="s">
        <v>328</v>
      </c>
      <c r="G535" s="16" t="s">
        <v>349</v>
      </c>
      <c r="H535" s="13">
        <v>31432</v>
      </c>
      <c r="I535" s="14" t="s">
        <v>492</v>
      </c>
      <c r="J535" s="14" t="s">
        <v>504</v>
      </c>
      <c r="K535" s="13">
        <v>44648</v>
      </c>
      <c r="L535" s="17">
        <v>60</v>
      </c>
      <c r="M535" s="13">
        <f t="shared" si="8"/>
        <v>44708</v>
      </c>
      <c r="N535" s="14"/>
      <c r="O535" s="14" t="s">
        <v>539</v>
      </c>
      <c r="P535" s="14"/>
      <c r="Q535" s="14"/>
      <c r="R535" s="13">
        <v>44688</v>
      </c>
      <c r="S535" s="13" t="s">
        <v>975</v>
      </c>
      <c r="T535" s="18"/>
    </row>
    <row r="536" spans="1:20" s="19" customFormat="1" ht="21" customHeight="1" x14ac:dyDescent="0.25">
      <c r="A536" s="12">
        <f>IF(B536="","",COUNTA($B$2:B536))</f>
        <v>535</v>
      </c>
      <c r="B536" s="20" t="s">
        <v>238</v>
      </c>
      <c r="C536" s="14"/>
      <c r="D536" s="14" t="s">
        <v>298</v>
      </c>
      <c r="E536" s="21" t="s">
        <v>314</v>
      </c>
      <c r="F536" s="22" t="s">
        <v>327</v>
      </c>
      <c r="G536" s="16" t="s">
        <v>338</v>
      </c>
      <c r="H536" s="13">
        <v>31487</v>
      </c>
      <c r="I536" s="20" t="s">
        <v>492</v>
      </c>
      <c r="J536" s="14" t="s">
        <v>935</v>
      </c>
      <c r="K536" s="13">
        <v>44652</v>
      </c>
      <c r="L536" s="17">
        <v>60</v>
      </c>
      <c r="M536" s="13">
        <f t="shared" si="8"/>
        <v>44712</v>
      </c>
      <c r="N536" s="14" t="s">
        <v>495</v>
      </c>
      <c r="O536" s="16" t="s">
        <v>538</v>
      </c>
      <c r="P536" s="16">
        <v>3</v>
      </c>
      <c r="Q536" s="14" t="s">
        <v>501</v>
      </c>
      <c r="R536" s="23"/>
      <c r="S536" s="23"/>
      <c r="T536" s="24"/>
    </row>
    <row r="537" spans="1:20" s="19" customFormat="1" ht="21" customHeight="1" x14ac:dyDescent="0.25">
      <c r="A537" s="12">
        <f>IF(B537="","",COUNTA($B$2:B537))</f>
        <v>536</v>
      </c>
      <c r="B537" s="13" t="s">
        <v>725</v>
      </c>
      <c r="C537" s="14"/>
      <c r="D537" s="14" t="s">
        <v>298</v>
      </c>
      <c r="E537" s="14" t="s">
        <v>314</v>
      </c>
      <c r="F537" s="15" t="s">
        <v>328</v>
      </c>
      <c r="G537" s="16" t="s">
        <v>349</v>
      </c>
      <c r="H537" s="13">
        <v>34571</v>
      </c>
      <c r="I537" s="14"/>
      <c r="J537" s="14" t="s">
        <v>504</v>
      </c>
      <c r="K537" s="13">
        <v>44652</v>
      </c>
      <c r="L537" s="17">
        <v>60</v>
      </c>
      <c r="M537" s="13">
        <f t="shared" si="8"/>
        <v>44712</v>
      </c>
      <c r="N537" s="14"/>
      <c r="O537" s="14"/>
      <c r="P537" s="14"/>
      <c r="Q537" s="14"/>
      <c r="R537" s="13">
        <v>44652</v>
      </c>
      <c r="S537" s="13" t="s">
        <v>972</v>
      </c>
      <c r="T537" s="18"/>
    </row>
    <row r="538" spans="1:20" s="19" customFormat="1" ht="21" customHeight="1" x14ac:dyDescent="0.25">
      <c r="A538" s="12">
        <f>IF(B538="","",COUNTA($B$2:B538))</f>
        <v>537</v>
      </c>
      <c r="B538" s="13" t="s">
        <v>879</v>
      </c>
      <c r="C538" s="14"/>
      <c r="D538" s="14" t="s">
        <v>298</v>
      </c>
      <c r="E538" s="14" t="s">
        <v>314</v>
      </c>
      <c r="F538" s="15" t="s">
        <v>327</v>
      </c>
      <c r="G538" s="16" t="s">
        <v>341</v>
      </c>
      <c r="H538" s="13">
        <v>36781</v>
      </c>
      <c r="I538" s="14" t="s">
        <v>492</v>
      </c>
      <c r="J538" s="14" t="s">
        <v>935</v>
      </c>
      <c r="K538" s="13">
        <v>44655</v>
      </c>
      <c r="L538" s="17">
        <v>60</v>
      </c>
      <c r="M538" s="13">
        <f t="shared" si="8"/>
        <v>44715</v>
      </c>
      <c r="N538" s="14"/>
      <c r="O538" s="14" t="s">
        <v>539</v>
      </c>
      <c r="P538" s="14"/>
      <c r="Q538" s="14"/>
      <c r="R538" s="13">
        <v>44986</v>
      </c>
      <c r="S538" s="13" t="s">
        <v>972</v>
      </c>
      <c r="T538" s="24"/>
    </row>
    <row r="539" spans="1:20" s="19" customFormat="1" ht="21" customHeight="1" x14ac:dyDescent="0.25">
      <c r="A539" s="12">
        <f>IF(B539="","",COUNTA($B$2:B539))</f>
        <v>538</v>
      </c>
      <c r="B539" s="13" t="s">
        <v>907</v>
      </c>
      <c r="C539" s="14"/>
      <c r="D539" s="14" t="s">
        <v>298</v>
      </c>
      <c r="E539" s="14" t="s">
        <v>309</v>
      </c>
      <c r="F539" s="22" t="s">
        <v>399</v>
      </c>
      <c r="G539" s="16" t="s">
        <v>402</v>
      </c>
      <c r="H539" s="13">
        <v>33030</v>
      </c>
      <c r="I539" s="14" t="s">
        <v>491</v>
      </c>
      <c r="J539" s="14" t="s">
        <v>504</v>
      </c>
      <c r="K539" s="13">
        <v>44657</v>
      </c>
      <c r="L539" s="17">
        <v>60</v>
      </c>
      <c r="M539" s="13">
        <f t="shared" si="8"/>
        <v>44717</v>
      </c>
      <c r="N539" s="14"/>
      <c r="O539" s="14" t="s">
        <v>538</v>
      </c>
      <c r="P539" s="14"/>
      <c r="Q539" s="14"/>
      <c r="R539" s="13">
        <v>45059</v>
      </c>
      <c r="S539" s="13" t="s">
        <v>972</v>
      </c>
      <c r="T539" s="24"/>
    </row>
    <row r="540" spans="1:20" s="19" customFormat="1" ht="21" customHeight="1" x14ac:dyDescent="0.25">
      <c r="A540" s="12">
        <f>IF(B540="","",COUNTA($B$2:B540))</f>
        <v>539</v>
      </c>
      <c r="B540" s="20" t="s">
        <v>271</v>
      </c>
      <c r="C540" s="14"/>
      <c r="D540" s="14" t="s">
        <v>298</v>
      </c>
      <c r="E540" s="21" t="s">
        <v>314</v>
      </c>
      <c r="F540" s="22" t="s">
        <v>329</v>
      </c>
      <c r="G540" s="16" t="s">
        <v>354</v>
      </c>
      <c r="H540" s="13">
        <v>35584</v>
      </c>
      <c r="I540" s="20" t="s">
        <v>492</v>
      </c>
      <c r="J540" s="14" t="s">
        <v>506</v>
      </c>
      <c r="K540" s="13">
        <v>44659</v>
      </c>
      <c r="L540" s="17">
        <v>60</v>
      </c>
      <c r="M540" s="13">
        <f t="shared" si="8"/>
        <v>44719</v>
      </c>
      <c r="N540" s="14" t="s">
        <v>495</v>
      </c>
      <c r="O540" s="16" t="s">
        <v>538</v>
      </c>
      <c r="P540" s="16">
        <v>1</v>
      </c>
      <c r="Q540" s="14" t="s">
        <v>499</v>
      </c>
      <c r="R540" s="23"/>
      <c r="S540" s="23"/>
      <c r="T540" s="24"/>
    </row>
    <row r="541" spans="1:20" s="19" customFormat="1" ht="21" customHeight="1" x14ac:dyDescent="0.25">
      <c r="A541" s="12">
        <f>IF(B541="","",COUNTA($B$2:B541))</f>
        <v>540</v>
      </c>
      <c r="B541" s="20" t="s">
        <v>531</v>
      </c>
      <c r="C541" s="14"/>
      <c r="D541" s="14" t="s">
        <v>299</v>
      </c>
      <c r="E541" s="21" t="s">
        <v>313</v>
      </c>
      <c r="F541" s="22" t="s">
        <v>450</v>
      </c>
      <c r="G541" s="16" t="s">
        <v>534</v>
      </c>
      <c r="H541" s="13">
        <v>34491</v>
      </c>
      <c r="I541" s="20" t="s">
        <v>491</v>
      </c>
      <c r="J541" s="14" t="s">
        <v>504</v>
      </c>
      <c r="K541" s="13">
        <v>44664</v>
      </c>
      <c r="L541" s="17">
        <v>60</v>
      </c>
      <c r="M541" s="13">
        <f t="shared" si="8"/>
        <v>44724</v>
      </c>
      <c r="N541" s="14" t="s">
        <v>495</v>
      </c>
      <c r="O541" s="16" t="s">
        <v>538</v>
      </c>
      <c r="P541" s="16">
        <v>3</v>
      </c>
      <c r="Q541" s="14" t="s">
        <v>501</v>
      </c>
      <c r="R541" s="13">
        <v>45226</v>
      </c>
      <c r="S541" s="13" t="s">
        <v>972</v>
      </c>
      <c r="T541" s="24"/>
    </row>
    <row r="542" spans="1:20" s="19" customFormat="1" ht="21" customHeight="1" x14ac:dyDescent="0.25">
      <c r="A542" s="12">
        <f>IF(B542="","",COUNTA($B$2:B542))</f>
        <v>541</v>
      </c>
      <c r="B542" s="20" t="s">
        <v>164</v>
      </c>
      <c r="C542" s="14"/>
      <c r="D542" s="14" t="s">
        <v>298</v>
      </c>
      <c r="E542" s="21" t="s">
        <v>311</v>
      </c>
      <c r="F542" s="22" t="s">
        <v>318</v>
      </c>
      <c r="G542" s="16" t="s">
        <v>320</v>
      </c>
      <c r="H542" s="13">
        <v>32811</v>
      </c>
      <c r="I542" s="20" t="s">
        <v>492</v>
      </c>
      <c r="J542" s="14" t="s">
        <v>507</v>
      </c>
      <c r="K542" s="13">
        <v>44665</v>
      </c>
      <c r="L542" s="17">
        <v>60</v>
      </c>
      <c r="M542" s="13">
        <f t="shared" si="8"/>
        <v>44725</v>
      </c>
      <c r="N542" s="14" t="s">
        <v>495</v>
      </c>
      <c r="O542" s="16" t="s">
        <v>538</v>
      </c>
      <c r="P542" s="16">
        <v>3</v>
      </c>
      <c r="Q542" s="14" t="s">
        <v>501</v>
      </c>
      <c r="R542" s="23"/>
      <c r="S542" s="23"/>
      <c r="T542" s="24"/>
    </row>
    <row r="543" spans="1:20" s="19" customFormat="1" ht="21" customHeight="1" x14ac:dyDescent="0.25">
      <c r="A543" s="12">
        <f>IF(B543="","",COUNTA($B$2:B543))</f>
        <v>542</v>
      </c>
      <c r="B543" s="13" t="s">
        <v>835</v>
      </c>
      <c r="C543" s="14"/>
      <c r="D543" s="14" t="s">
        <v>298</v>
      </c>
      <c r="E543" s="14" t="s">
        <v>311</v>
      </c>
      <c r="F543" s="22" t="s">
        <v>316</v>
      </c>
      <c r="G543" s="16" t="s">
        <v>320</v>
      </c>
      <c r="H543" s="13">
        <v>33118</v>
      </c>
      <c r="I543" s="14" t="s">
        <v>492</v>
      </c>
      <c r="J543" s="14" t="s">
        <v>504</v>
      </c>
      <c r="K543" s="13">
        <v>44665</v>
      </c>
      <c r="L543" s="17">
        <v>60</v>
      </c>
      <c r="M543" s="13">
        <f t="shared" si="8"/>
        <v>44725</v>
      </c>
      <c r="N543" s="14"/>
      <c r="O543" s="14" t="s">
        <v>538</v>
      </c>
      <c r="P543" s="14"/>
      <c r="Q543" s="14"/>
      <c r="R543" s="13">
        <v>44819</v>
      </c>
      <c r="S543" s="13" t="s">
        <v>973</v>
      </c>
      <c r="T543" s="18"/>
    </row>
    <row r="544" spans="1:20" s="19" customFormat="1" ht="21" customHeight="1" x14ac:dyDescent="0.25">
      <c r="A544" s="12">
        <f>IF(B544="","",COUNTA($B$2:B544))</f>
        <v>543</v>
      </c>
      <c r="B544" s="13" t="s">
        <v>904</v>
      </c>
      <c r="C544" s="14"/>
      <c r="D544" s="14" t="s">
        <v>298</v>
      </c>
      <c r="E544" s="14" t="s">
        <v>311</v>
      </c>
      <c r="F544" s="22" t="s">
        <v>318</v>
      </c>
      <c r="G544" s="16" t="s">
        <v>320</v>
      </c>
      <c r="H544" s="13">
        <v>32657</v>
      </c>
      <c r="I544" s="14" t="s">
        <v>492</v>
      </c>
      <c r="J544" s="14" t="s">
        <v>504</v>
      </c>
      <c r="K544" s="13">
        <v>44671</v>
      </c>
      <c r="L544" s="17">
        <v>60</v>
      </c>
      <c r="M544" s="13">
        <f t="shared" si="8"/>
        <v>44731</v>
      </c>
      <c r="N544" s="14"/>
      <c r="O544" s="14" t="s">
        <v>538</v>
      </c>
      <c r="P544" s="14"/>
      <c r="Q544" s="14"/>
      <c r="R544" s="13">
        <v>45062</v>
      </c>
      <c r="S544" s="13" t="s">
        <v>977</v>
      </c>
      <c r="T544" s="24"/>
    </row>
    <row r="545" spans="1:20" s="19" customFormat="1" ht="21" customHeight="1" x14ac:dyDescent="0.25">
      <c r="A545" s="12">
        <f>IF(B545="","",COUNTA($B$2:B545))</f>
        <v>544</v>
      </c>
      <c r="B545" s="13" t="s">
        <v>915</v>
      </c>
      <c r="C545" s="14"/>
      <c r="D545" s="14" t="s">
        <v>298</v>
      </c>
      <c r="E545" s="14" t="s">
        <v>310</v>
      </c>
      <c r="F545" s="22" t="s">
        <v>415</v>
      </c>
      <c r="G545" s="16" t="s">
        <v>417</v>
      </c>
      <c r="H545" s="13">
        <v>34528</v>
      </c>
      <c r="I545" s="14" t="s">
        <v>492</v>
      </c>
      <c r="J545" s="14" t="s">
        <v>505</v>
      </c>
      <c r="K545" s="13">
        <v>44673</v>
      </c>
      <c r="L545" s="17">
        <v>60</v>
      </c>
      <c r="M545" s="13">
        <f t="shared" si="8"/>
        <v>44733</v>
      </c>
      <c r="N545" s="14"/>
      <c r="O545" s="14" t="s">
        <v>539</v>
      </c>
      <c r="P545" s="14"/>
      <c r="Q545" s="14"/>
      <c r="R545" s="13">
        <v>45105</v>
      </c>
      <c r="S545" s="13" t="s">
        <v>977</v>
      </c>
      <c r="T545" s="24"/>
    </row>
    <row r="546" spans="1:20" s="19" customFormat="1" ht="21" customHeight="1" x14ac:dyDescent="0.25">
      <c r="A546" s="12">
        <f>IF(B546="","",COUNTA($B$2:B546))</f>
        <v>545</v>
      </c>
      <c r="B546" s="20" t="s">
        <v>247</v>
      </c>
      <c r="C546" s="14"/>
      <c r="D546" s="14" t="s">
        <v>299</v>
      </c>
      <c r="E546" s="21" t="s">
        <v>314</v>
      </c>
      <c r="F546" s="22" t="s">
        <v>327</v>
      </c>
      <c r="G546" s="16" t="s">
        <v>340</v>
      </c>
      <c r="H546" s="13">
        <v>31249</v>
      </c>
      <c r="I546" s="20" t="s">
        <v>491</v>
      </c>
      <c r="J546" s="14" t="s">
        <v>935</v>
      </c>
      <c r="K546" s="13">
        <v>44674</v>
      </c>
      <c r="L546" s="17">
        <v>60</v>
      </c>
      <c r="M546" s="13">
        <f t="shared" si="8"/>
        <v>44734</v>
      </c>
      <c r="N546" s="14" t="s">
        <v>495</v>
      </c>
      <c r="O546" s="16" t="s">
        <v>538</v>
      </c>
      <c r="P546" s="16">
        <v>3</v>
      </c>
      <c r="Q546" s="14" t="s">
        <v>501</v>
      </c>
      <c r="R546" s="23"/>
      <c r="S546" s="23"/>
      <c r="T546" s="24"/>
    </row>
    <row r="547" spans="1:20" s="19" customFormat="1" ht="21" customHeight="1" x14ac:dyDescent="0.25">
      <c r="A547" s="12">
        <f>IF(B547="","",COUNTA($B$2:B547))</f>
        <v>546</v>
      </c>
      <c r="B547" s="20" t="s">
        <v>293</v>
      </c>
      <c r="C547" s="14"/>
      <c r="D547" s="14" t="s">
        <v>298</v>
      </c>
      <c r="E547" s="21" t="s">
        <v>314</v>
      </c>
      <c r="F547" s="22" t="s">
        <v>330</v>
      </c>
      <c r="G547" s="16" t="s">
        <v>363</v>
      </c>
      <c r="H547" s="13">
        <v>32910</v>
      </c>
      <c r="I547" s="20" t="s">
        <v>492</v>
      </c>
      <c r="J547" s="14" t="s">
        <v>935</v>
      </c>
      <c r="K547" s="13">
        <v>44676</v>
      </c>
      <c r="L547" s="17">
        <v>60</v>
      </c>
      <c r="M547" s="13">
        <f t="shared" si="8"/>
        <v>44736</v>
      </c>
      <c r="N547" s="14" t="s">
        <v>495</v>
      </c>
      <c r="O547" s="16" t="s">
        <v>539</v>
      </c>
      <c r="P547" s="16">
        <v>3</v>
      </c>
      <c r="Q547" s="14" t="s">
        <v>501</v>
      </c>
      <c r="R547" s="23"/>
      <c r="S547" s="23"/>
      <c r="T547" s="24"/>
    </row>
    <row r="548" spans="1:20" s="19" customFormat="1" ht="21" customHeight="1" x14ac:dyDescent="0.25">
      <c r="A548" s="12">
        <f>IF(B548="","",COUNTA($B$2:B548))</f>
        <v>547</v>
      </c>
      <c r="B548" s="13" t="s">
        <v>799</v>
      </c>
      <c r="C548" s="14"/>
      <c r="D548" s="14" t="s">
        <v>298</v>
      </c>
      <c r="E548" s="14" t="s">
        <v>305</v>
      </c>
      <c r="F548" s="15" t="s">
        <v>393</v>
      </c>
      <c r="G548" s="16" t="s">
        <v>384</v>
      </c>
      <c r="H548" s="13">
        <v>32239</v>
      </c>
      <c r="I548" s="14" t="s">
        <v>492</v>
      </c>
      <c r="J548" s="14" t="s">
        <v>504</v>
      </c>
      <c r="K548" s="13">
        <v>44676</v>
      </c>
      <c r="L548" s="17">
        <v>60</v>
      </c>
      <c r="M548" s="13">
        <f t="shared" si="8"/>
        <v>44736</v>
      </c>
      <c r="N548" s="14"/>
      <c r="O548" s="14" t="s">
        <v>538</v>
      </c>
      <c r="P548" s="14"/>
      <c r="Q548" s="14"/>
      <c r="R548" s="13">
        <v>44723</v>
      </c>
      <c r="S548" s="13" t="s">
        <v>972</v>
      </c>
      <c r="T548" s="18"/>
    </row>
    <row r="549" spans="1:20" s="19" customFormat="1" ht="21" customHeight="1" x14ac:dyDescent="0.25">
      <c r="A549" s="12">
        <f>IF(B549="","",COUNTA($B$2:B549))</f>
        <v>548</v>
      </c>
      <c r="B549" s="20" t="s">
        <v>273</v>
      </c>
      <c r="C549" s="14"/>
      <c r="D549" s="14" t="s">
        <v>298</v>
      </c>
      <c r="E549" s="21" t="s">
        <v>314</v>
      </c>
      <c r="F549" s="22" t="s">
        <v>329</v>
      </c>
      <c r="G549" s="16" t="s">
        <v>355</v>
      </c>
      <c r="H549" s="13">
        <v>34816</v>
      </c>
      <c r="I549" s="20" t="s">
        <v>492</v>
      </c>
      <c r="J549" s="14" t="s">
        <v>504</v>
      </c>
      <c r="K549" s="13">
        <v>44679</v>
      </c>
      <c r="L549" s="17">
        <v>60</v>
      </c>
      <c r="M549" s="13">
        <f t="shared" si="8"/>
        <v>44739</v>
      </c>
      <c r="N549" s="14" t="s">
        <v>495</v>
      </c>
      <c r="O549" s="16" t="s">
        <v>539</v>
      </c>
      <c r="P549" s="16">
        <v>3</v>
      </c>
      <c r="Q549" s="14" t="s">
        <v>501</v>
      </c>
      <c r="R549" s="23"/>
      <c r="S549" s="23"/>
      <c r="T549" s="24"/>
    </row>
    <row r="550" spans="1:20" s="19" customFormat="1" ht="21" customHeight="1" x14ac:dyDescent="0.25">
      <c r="A550" s="12">
        <f>IF(B550="","",COUNTA($B$2:B550))</f>
        <v>549</v>
      </c>
      <c r="B550" s="13" t="s">
        <v>840</v>
      </c>
      <c r="C550" s="14"/>
      <c r="D550" s="14" t="s">
        <v>299</v>
      </c>
      <c r="E550" s="14" t="s">
        <v>311</v>
      </c>
      <c r="F550" s="22" t="s">
        <v>318</v>
      </c>
      <c r="G550" s="16" t="s">
        <v>320</v>
      </c>
      <c r="H550" s="13">
        <v>31216</v>
      </c>
      <c r="I550" s="14" t="s">
        <v>492</v>
      </c>
      <c r="J550" s="14" t="s">
        <v>504</v>
      </c>
      <c r="K550" s="13">
        <v>44685</v>
      </c>
      <c r="L550" s="17">
        <v>60</v>
      </c>
      <c r="M550" s="13">
        <f t="shared" si="8"/>
        <v>44745</v>
      </c>
      <c r="N550" s="14"/>
      <c r="O550" s="14" t="s">
        <v>539</v>
      </c>
      <c r="P550" s="14"/>
      <c r="Q550" s="14"/>
      <c r="R550" s="13">
        <v>44835</v>
      </c>
      <c r="S550" s="13" t="s">
        <v>975</v>
      </c>
      <c r="T550" s="18"/>
    </row>
    <row r="551" spans="1:20" s="19" customFormat="1" ht="21" customHeight="1" x14ac:dyDescent="0.25">
      <c r="A551" s="12">
        <f>IF(B551="","",COUNTA($B$2:B551))</f>
        <v>550</v>
      </c>
      <c r="B551" s="13" t="s">
        <v>796</v>
      </c>
      <c r="C551" s="14"/>
      <c r="D551" s="14" t="s">
        <v>299</v>
      </c>
      <c r="E551" s="14" t="s">
        <v>304</v>
      </c>
      <c r="F551" s="15" t="s">
        <v>941</v>
      </c>
      <c r="G551" s="16" t="s">
        <v>371</v>
      </c>
      <c r="H551" s="13">
        <v>27272</v>
      </c>
      <c r="I551" s="14" t="s">
        <v>492</v>
      </c>
      <c r="J551" s="14" t="s">
        <v>506</v>
      </c>
      <c r="K551" s="13">
        <v>44685</v>
      </c>
      <c r="L551" s="17">
        <v>60</v>
      </c>
      <c r="M551" s="13">
        <f t="shared" si="8"/>
        <v>44745</v>
      </c>
      <c r="N551" s="14"/>
      <c r="O551" s="14" t="s">
        <v>538</v>
      </c>
      <c r="P551" s="14"/>
      <c r="Q551" s="14"/>
      <c r="R551" s="13">
        <v>44713</v>
      </c>
      <c r="S551" s="13" t="s">
        <v>977</v>
      </c>
      <c r="T551" s="18"/>
    </row>
    <row r="552" spans="1:20" s="19" customFormat="1" ht="21" customHeight="1" x14ac:dyDescent="0.25">
      <c r="A552" s="12">
        <f>IF(B552="","",COUNTA($B$2:B552))</f>
        <v>551</v>
      </c>
      <c r="B552" s="13" t="s">
        <v>784</v>
      </c>
      <c r="C552" s="14"/>
      <c r="D552" s="14" t="s">
        <v>299</v>
      </c>
      <c r="E552" s="14" t="s">
        <v>314</v>
      </c>
      <c r="F552" s="15" t="s">
        <v>328</v>
      </c>
      <c r="G552" s="16" t="s">
        <v>349</v>
      </c>
      <c r="H552" s="13">
        <v>33075</v>
      </c>
      <c r="I552" s="14" t="s">
        <v>492</v>
      </c>
      <c r="J552" s="14" t="s">
        <v>507</v>
      </c>
      <c r="K552" s="13">
        <v>44685</v>
      </c>
      <c r="L552" s="17">
        <v>60</v>
      </c>
      <c r="M552" s="13">
        <f t="shared" si="8"/>
        <v>44745</v>
      </c>
      <c r="N552" s="14"/>
      <c r="O552" s="14" t="s">
        <v>538</v>
      </c>
      <c r="P552" s="14"/>
      <c r="Q552" s="14"/>
      <c r="R552" s="13">
        <v>44693</v>
      </c>
      <c r="S552" s="13" t="s">
        <v>973</v>
      </c>
      <c r="T552" s="18"/>
    </row>
    <row r="553" spans="1:20" s="19" customFormat="1" ht="21" customHeight="1" x14ac:dyDescent="0.25">
      <c r="A553" s="12">
        <f>IF(B553="","",COUNTA($B$2:B553))</f>
        <v>552</v>
      </c>
      <c r="B553" s="13" t="s">
        <v>853</v>
      </c>
      <c r="C553" s="14"/>
      <c r="D553" s="14" t="s">
        <v>298</v>
      </c>
      <c r="E553" s="14" t="s">
        <v>307</v>
      </c>
      <c r="F553" s="15" t="s">
        <v>433</v>
      </c>
      <c r="G553" s="16" t="s">
        <v>437</v>
      </c>
      <c r="H553" s="13">
        <v>35063</v>
      </c>
      <c r="I553" s="14" t="s">
        <v>492</v>
      </c>
      <c r="J553" s="14" t="s">
        <v>504</v>
      </c>
      <c r="K553" s="13">
        <v>44686</v>
      </c>
      <c r="L553" s="17">
        <v>60</v>
      </c>
      <c r="M553" s="13">
        <f t="shared" si="8"/>
        <v>44746</v>
      </c>
      <c r="N553" s="14"/>
      <c r="O553" s="14" t="s">
        <v>539</v>
      </c>
      <c r="P553" s="14"/>
      <c r="Q553" s="14"/>
      <c r="R553" s="13">
        <v>44870</v>
      </c>
      <c r="S553" s="13" t="s">
        <v>973</v>
      </c>
      <c r="T553" s="18"/>
    </row>
    <row r="554" spans="1:20" s="19" customFormat="1" ht="21" customHeight="1" x14ac:dyDescent="0.25">
      <c r="A554" s="12">
        <f>IF(B554="","",COUNTA($B$2:B554))</f>
        <v>553</v>
      </c>
      <c r="B554" s="20" t="s">
        <v>106</v>
      </c>
      <c r="C554" s="14"/>
      <c r="D554" s="14" t="s">
        <v>300</v>
      </c>
      <c r="E554" s="21" t="s">
        <v>309</v>
      </c>
      <c r="F554" s="22" t="s">
        <v>329</v>
      </c>
      <c r="G554" s="16" t="s">
        <v>411</v>
      </c>
      <c r="H554" s="13">
        <v>32476</v>
      </c>
      <c r="I554" s="20" t="s">
        <v>491</v>
      </c>
      <c r="J554" s="14" t="s">
        <v>504</v>
      </c>
      <c r="K554" s="13">
        <v>44690</v>
      </c>
      <c r="L554" s="17">
        <v>60</v>
      </c>
      <c r="M554" s="13">
        <f t="shared" si="8"/>
        <v>44750</v>
      </c>
      <c r="N554" s="14" t="s">
        <v>495</v>
      </c>
      <c r="O554" s="16" t="s">
        <v>538</v>
      </c>
      <c r="P554" s="16">
        <v>3</v>
      </c>
      <c r="Q554" s="14" t="s">
        <v>501</v>
      </c>
      <c r="R554" s="23"/>
      <c r="S554" s="23"/>
      <c r="T554" s="24"/>
    </row>
    <row r="555" spans="1:20" s="19" customFormat="1" ht="21" customHeight="1" x14ac:dyDescent="0.25">
      <c r="A555" s="12">
        <f>IF(B555="","",COUNTA($B$2:B555))</f>
        <v>554</v>
      </c>
      <c r="B555" s="20" t="s">
        <v>133</v>
      </c>
      <c r="C555" s="14"/>
      <c r="D555" s="14" t="s">
        <v>299</v>
      </c>
      <c r="E555" s="21" t="s">
        <v>301</v>
      </c>
      <c r="F555" s="22" t="s">
        <v>464</v>
      </c>
      <c r="G555" s="16" t="s">
        <v>482</v>
      </c>
      <c r="H555" s="13">
        <v>33402</v>
      </c>
      <c r="I555" s="20" t="s">
        <v>491</v>
      </c>
      <c r="J555" s="14" t="s">
        <v>504</v>
      </c>
      <c r="K555" s="13">
        <v>44690</v>
      </c>
      <c r="L555" s="17">
        <v>60</v>
      </c>
      <c r="M555" s="13">
        <f t="shared" si="8"/>
        <v>44750</v>
      </c>
      <c r="N555" s="14" t="s">
        <v>495</v>
      </c>
      <c r="O555" s="16" t="s">
        <v>538</v>
      </c>
      <c r="P555" s="16">
        <v>3</v>
      </c>
      <c r="Q555" s="14" t="s">
        <v>501</v>
      </c>
      <c r="R555" s="23"/>
      <c r="S555" s="23"/>
      <c r="T555" s="24"/>
    </row>
    <row r="556" spans="1:20" s="19" customFormat="1" ht="21" customHeight="1" x14ac:dyDescent="0.25">
      <c r="A556" s="12">
        <f>IF(B556="","",COUNTA($B$2:B556))</f>
        <v>555</v>
      </c>
      <c r="B556" s="20" t="s">
        <v>285</v>
      </c>
      <c r="C556" s="14"/>
      <c r="D556" s="14" t="s">
        <v>298</v>
      </c>
      <c r="E556" s="21" t="s">
        <v>314</v>
      </c>
      <c r="F556" s="22" t="s">
        <v>330</v>
      </c>
      <c r="G556" s="16" t="s">
        <v>360</v>
      </c>
      <c r="H556" s="13">
        <v>34666</v>
      </c>
      <c r="I556" s="20" t="s">
        <v>491</v>
      </c>
      <c r="J556" s="14" t="s">
        <v>504</v>
      </c>
      <c r="K556" s="13">
        <v>44690</v>
      </c>
      <c r="L556" s="17">
        <v>60</v>
      </c>
      <c r="M556" s="13">
        <f t="shared" si="8"/>
        <v>44750</v>
      </c>
      <c r="N556" s="14" t="s">
        <v>495</v>
      </c>
      <c r="O556" s="16" t="s">
        <v>538</v>
      </c>
      <c r="P556" s="16">
        <v>3</v>
      </c>
      <c r="Q556" s="14" t="s">
        <v>501</v>
      </c>
      <c r="R556" s="23"/>
      <c r="S556" s="23"/>
      <c r="T556" s="24"/>
    </row>
    <row r="557" spans="1:20" s="19" customFormat="1" ht="21" customHeight="1" x14ac:dyDescent="0.25">
      <c r="A557" s="12">
        <f>IF(B557="","",COUNTA($B$2:B557))</f>
        <v>556</v>
      </c>
      <c r="B557" s="13" t="s">
        <v>833</v>
      </c>
      <c r="C557" s="14"/>
      <c r="D557" s="14" t="s">
        <v>298</v>
      </c>
      <c r="E557" s="14" t="s">
        <v>314</v>
      </c>
      <c r="F557" s="15" t="s">
        <v>328</v>
      </c>
      <c r="G557" s="16" t="s">
        <v>349</v>
      </c>
      <c r="H557" s="13">
        <v>35254</v>
      </c>
      <c r="I557" s="14" t="s">
        <v>492</v>
      </c>
      <c r="J557" s="14" t="s">
        <v>507</v>
      </c>
      <c r="K557" s="13">
        <v>44690</v>
      </c>
      <c r="L557" s="17">
        <v>60</v>
      </c>
      <c r="M557" s="13">
        <f t="shared" si="8"/>
        <v>44750</v>
      </c>
      <c r="N557" s="14"/>
      <c r="O557" s="14" t="s">
        <v>539</v>
      </c>
      <c r="P557" s="14"/>
      <c r="Q557" s="14"/>
      <c r="R557" s="13">
        <v>44818</v>
      </c>
      <c r="S557" s="13" t="s">
        <v>977</v>
      </c>
      <c r="T557" s="18"/>
    </row>
    <row r="558" spans="1:20" s="19" customFormat="1" ht="21" customHeight="1" x14ac:dyDescent="0.25">
      <c r="A558" s="12">
        <f>IF(B558="","",COUNTA($B$2:B558))</f>
        <v>557</v>
      </c>
      <c r="B558" s="20" t="s">
        <v>97</v>
      </c>
      <c r="C558" s="14"/>
      <c r="D558" s="14" t="s">
        <v>298</v>
      </c>
      <c r="E558" s="21" t="s">
        <v>309</v>
      </c>
      <c r="F558" s="22" t="s">
        <v>329</v>
      </c>
      <c r="G558" s="16" t="s">
        <v>406</v>
      </c>
      <c r="H558" s="13">
        <v>32585</v>
      </c>
      <c r="I558" s="20" t="s">
        <v>491</v>
      </c>
      <c r="J558" s="14" t="s">
        <v>504</v>
      </c>
      <c r="K558" s="13">
        <v>44691</v>
      </c>
      <c r="L558" s="17">
        <v>60</v>
      </c>
      <c r="M558" s="13">
        <f t="shared" si="8"/>
        <v>44751</v>
      </c>
      <c r="N558" s="14" t="s">
        <v>495</v>
      </c>
      <c r="O558" s="16" t="s">
        <v>538</v>
      </c>
      <c r="P558" s="16">
        <v>3</v>
      </c>
      <c r="Q558" s="14" t="s">
        <v>501</v>
      </c>
      <c r="R558" s="23"/>
      <c r="S558" s="23"/>
      <c r="T558" s="24"/>
    </row>
    <row r="559" spans="1:20" s="19" customFormat="1" ht="21" customHeight="1" x14ac:dyDescent="0.25">
      <c r="A559" s="12">
        <f>IF(B559="","",COUNTA($B$2:B559))</f>
        <v>558</v>
      </c>
      <c r="B559" s="20" t="s">
        <v>236</v>
      </c>
      <c r="C559" s="14"/>
      <c r="D559" s="14" t="s">
        <v>298</v>
      </c>
      <c r="E559" s="21" t="s">
        <v>314</v>
      </c>
      <c r="F559" s="22" t="s">
        <v>327</v>
      </c>
      <c r="G559" s="16" t="s">
        <v>337</v>
      </c>
      <c r="H559" s="13">
        <v>34935</v>
      </c>
      <c r="I559" s="20" t="s">
        <v>491</v>
      </c>
      <c r="J559" s="14" t="s">
        <v>504</v>
      </c>
      <c r="K559" s="13">
        <v>44691</v>
      </c>
      <c r="L559" s="17">
        <v>60</v>
      </c>
      <c r="M559" s="13">
        <f t="shared" si="8"/>
        <v>44751</v>
      </c>
      <c r="N559" s="14" t="s">
        <v>495</v>
      </c>
      <c r="O559" s="16" t="s">
        <v>538</v>
      </c>
      <c r="P559" s="16">
        <v>1</v>
      </c>
      <c r="Q559" s="14" t="s">
        <v>499</v>
      </c>
      <c r="R559" s="23"/>
      <c r="S559" s="23"/>
      <c r="T559" s="24"/>
    </row>
    <row r="560" spans="1:20" s="19" customFormat="1" ht="21" customHeight="1" x14ac:dyDescent="0.25">
      <c r="A560" s="12">
        <f>IF(B560="","",COUNTA($B$2:B560))</f>
        <v>559</v>
      </c>
      <c r="B560" s="13" t="s">
        <v>236</v>
      </c>
      <c r="C560" s="14"/>
      <c r="D560" s="14" t="s">
        <v>298</v>
      </c>
      <c r="E560" s="14" t="s">
        <v>314</v>
      </c>
      <c r="F560" s="15" t="s">
        <v>330</v>
      </c>
      <c r="G560" s="16" t="s">
        <v>361</v>
      </c>
      <c r="H560" s="13">
        <v>34935</v>
      </c>
      <c r="I560" s="14" t="s">
        <v>491</v>
      </c>
      <c r="J560" s="14" t="s">
        <v>504</v>
      </c>
      <c r="K560" s="13">
        <v>44691</v>
      </c>
      <c r="L560" s="17">
        <v>60</v>
      </c>
      <c r="M560" s="13">
        <f t="shared" si="8"/>
        <v>44751</v>
      </c>
      <c r="N560" s="14"/>
      <c r="O560" s="14" t="s">
        <v>538</v>
      </c>
      <c r="P560" s="14"/>
      <c r="Q560" s="14"/>
      <c r="R560" s="13">
        <v>45116</v>
      </c>
      <c r="S560" s="13" t="s">
        <v>977</v>
      </c>
      <c r="T560" s="24"/>
    </row>
    <row r="561" spans="1:20" s="19" customFormat="1" ht="21" customHeight="1" x14ac:dyDescent="0.25">
      <c r="A561" s="12">
        <f>IF(B561="","",COUNTA($B$2:B561))</f>
        <v>560</v>
      </c>
      <c r="B561" s="13" t="s">
        <v>880</v>
      </c>
      <c r="C561" s="14"/>
      <c r="D561" s="14" t="s">
        <v>299</v>
      </c>
      <c r="E561" s="14" t="s">
        <v>311</v>
      </c>
      <c r="F561" s="22" t="s">
        <v>318</v>
      </c>
      <c r="G561" s="16" t="s">
        <v>320</v>
      </c>
      <c r="H561" s="13">
        <v>34520</v>
      </c>
      <c r="I561" s="14" t="s">
        <v>491</v>
      </c>
      <c r="J561" s="14" t="s">
        <v>507</v>
      </c>
      <c r="K561" s="13">
        <v>44691</v>
      </c>
      <c r="L561" s="17">
        <v>60</v>
      </c>
      <c r="M561" s="13">
        <f t="shared" si="8"/>
        <v>44751</v>
      </c>
      <c r="N561" s="14"/>
      <c r="O561" s="14" t="s">
        <v>538</v>
      </c>
      <c r="P561" s="14"/>
      <c r="Q561" s="14"/>
      <c r="R561" s="13">
        <v>44986</v>
      </c>
      <c r="S561" s="13" t="s">
        <v>973</v>
      </c>
      <c r="T561" s="18"/>
    </row>
    <row r="562" spans="1:20" s="19" customFormat="1" ht="21" customHeight="1" x14ac:dyDescent="0.25">
      <c r="A562" s="12">
        <f>IF(B562="","",COUNTA($B$2:B562))</f>
        <v>561</v>
      </c>
      <c r="B562" s="13" t="s">
        <v>839</v>
      </c>
      <c r="C562" s="14"/>
      <c r="D562" s="14" t="s">
        <v>299</v>
      </c>
      <c r="E562" s="14" t="s">
        <v>314</v>
      </c>
      <c r="F562" s="15" t="s">
        <v>328</v>
      </c>
      <c r="G562" s="16" t="s">
        <v>349</v>
      </c>
      <c r="H562" s="13">
        <v>28844</v>
      </c>
      <c r="I562" s="14" t="s">
        <v>492</v>
      </c>
      <c r="J562" s="14" t="s">
        <v>504</v>
      </c>
      <c r="K562" s="13">
        <v>44691</v>
      </c>
      <c r="L562" s="17">
        <v>60</v>
      </c>
      <c r="M562" s="13">
        <f t="shared" si="8"/>
        <v>44751</v>
      </c>
      <c r="N562" s="14"/>
      <c r="O562" s="14" t="s">
        <v>538</v>
      </c>
      <c r="P562" s="14"/>
      <c r="Q562" s="14"/>
      <c r="R562" s="13">
        <v>44831</v>
      </c>
      <c r="S562" s="13" t="s">
        <v>975</v>
      </c>
      <c r="T562" s="18"/>
    </row>
    <row r="563" spans="1:20" s="19" customFormat="1" ht="21" customHeight="1" x14ac:dyDescent="0.25">
      <c r="A563" s="12">
        <f>IF(B563="","",COUNTA($B$2:B563))</f>
        <v>562</v>
      </c>
      <c r="B563" s="13" t="s">
        <v>801</v>
      </c>
      <c r="C563" s="14"/>
      <c r="D563" s="14" t="s">
        <v>298</v>
      </c>
      <c r="E563" s="14" t="s">
        <v>309</v>
      </c>
      <c r="F563" s="15" t="s">
        <v>329</v>
      </c>
      <c r="G563" s="16" t="s">
        <v>407</v>
      </c>
      <c r="H563" s="13">
        <v>32013</v>
      </c>
      <c r="I563" s="14" t="s">
        <v>491</v>
      </c>
      <c r="J563" s="14" t="s">
        <v>935</v>
      </c>
      <c r="K563" s="13">
        <v>44691</v>
      </c>
      <c r="L563" s="17">
        <v>60</v>
      </c>
      <c r="M563" s="13">
        <f t="shared" si="8"/>
        <v>44751</v>
      </c>
      <c r="N563" s="14"/>
      <c r="O563" s="14" t="s">
        <v>538</v>
      </c>
      <c r="P563" s="14"/>
      <c r="Q563" s="14"/>
      <c r="R563" s="13">
        <v>44726</v>
      </c>
      <c r="S563" s="13" t="s">
        <v>973</v>
      </c>
      <c r="T563" s="18"/>
    </row>
    <row r="564" spans="1:20" s="19" customFormat="1" ht="21" customHeight="1" x14ac:dyDescent="0.25">
      <c r="A564" s="12">
        <f>IF(B564="","",COUNTA($B$2:B564))</f>
        <v>563</v>
      </c>
      <c r="B564" s="13" t="s">
        <v>902</v>
      </c>
      <c r="C564" s="14"/>
      <c r="D564" s="14" t="s">
        <v>299</v>
      </c>
      <c r="E564" s="14" t="s">
        <v>314</v>
      </c>
      <c r="F564" s="15" t="s">
        <v>327</v>
      </c>
      <c r="G564" s="16" t="s">
        <v>341</v>
      </c>
      <c r="H564" s="13">
        <v>34428</v>
      </c>
      <c r="I564" s="14" t="s">
        <v>491</v>
      </c>
      <c r="J564" s="14" t="s">
        <v>504</v>
      </c>
      <c r="K564" s="13">
        <v>44692</v>
      </c>
      <c r="L564" s="17">
        <v>60</v>
      </c>
      <c r="M564" s="13">
        <f t="shared" si="8"/>
        <v>44752</v>
      </c>
      <c r="N564" s="14"/>
      <c r="O564" s="14" t="s">
        <v>539</v>
      </c>
      <c r="P564" s="14"/>
      <c r="Q564" s="14"/>
      <c r="R564" s="13">
        <v>45058</v>
      </c>
      <c r="S564" s="13" t="s">
        <v>975</v>
      </c>
      <c r="T564" s="24"/>
    </row>
    <row r="565" spans="1:20" s="19" customFormat="1" ht="21" customHeight="1" x14ac:dyDescent="0.25">
      <c r="A565" s="12">
        <f>IF(B565="","",COUNTA($B$2:B565))</f>
        <v>564</v>
      </c>
      <c r="B565" s="20" t="s">
        <v>94</v>
      </c>
      <c r="C565" s="14"/>
      <c r="D565" s="14" t="s">
        <v>298</v>
      </c>
      <c r="E565" s="21" t="s">
        <v>309</v>
      </c>
      <c r="F565" s="22" t="s">
        <v>399</v>
      </c>
      <c r="G565" s="16" t="s">
        <v>403</v>
      </c>
      <c r="H565" s="13">
        <v>34475</v>
      </c>
      <c r="I565" s="20" t="s">
        <v>491</v>
      </c>
      <c r="J565" s="14" t="s">
        <v>504</v>
      </c>
      <c r="K565" s="13">
        <v>44697</v>
      </c>
      <c r="L565" s="17">
        <v>60</v>
      </c>
      <c r="M565" s="13">
        <f t="shared" si="8"/>
        <v>44757</v>
      </c>
      <c r="N565" s="14" t="s">
        <v>495</v>
      </c>
      <c r="O565" s="16" t="s">
        <v>539</v>
      </c>
      <c r="P565" s="16">
        <v>3</v>
      </c>
      <c r="Q565" s="14" t="s">
        <v>501</v>
      </c>
      <c r="R565" s="23"/>
      <c r="S565" s="23"/>
      <c r="T565" s="24"/>
    </row>
    <row r="566" spans="1:20" s="19" customFormat="1" ht="21" customHeight="1" x14ac:dyDescent="0.25">
      <c r="A566" s="12">
        <f>IF(B566="","",COUNTA($B$2:B566))</f>
        <v>565</v>
      </c>
      <c r="B566" s="20" t="s">
        <v>198</v>
      </c>
      <c r="C566" s="14"/>
      <c r="D566" s="14" t="s">
        <v>299</v>
      </c>
      <c r="E566" s="21" t="s">
        <v>311</v>
      </c>
      <c r="F566" s="22" t="s">
        <v>317</v>
      </c>
      <c r="G566" s="21" t="s">
        <v>321</v>
      </c>
      <c r="H566" s="13">
        <v>32538</v>
      </c>
      <c r="I566" s="20" t="s">
        <v>492</v>
      </c>
      <c r="J566" s="14" t="s">
        <v>504</v>
      </c>
      <c r="K566" s="13">
        <v>44697</v>
      </c>
      <c r="L566" s="17">
        <v>60</v>
      </c>
      <c r="M566" s="13">
        <f t="shared" si="8"/>
        <v>44757</v>
      </c>
      <c r="N566" s="14" t="s">
        <v>495</v>
      </c>
      <c r="O566" s="16" t="s">
        <v>539</v>
      </c>
      <c r="P566" s="16">
        <v>3</v>
      </c>
      <c r="Q566" s="14" t="s">
        <v>501</v>
      </c>
      <c r="R566" s="23"/>
      <c r="S566" s="23"/>
      <c r="T566" s="24"/>
    </row>
    <row r="567" spans="1:20" s="19" customFormat="1" ht="21" customHeight="1" x14ac:dyDescent="0.25">
      <c r="A567" s="12">
        <f>IF(B567="","",COUNTA($B$2:B567))</f>
        <v>566</v>
      </c>
      <c r="B567" s="13" t="s">
        <v>849</v>
      </c>
      <c r="C567" s="14"/>
      <c r="D567" s="14" t="s">
        <v>298</v>
      </c>
      <c r="E567" s="14" t="s">
        <v>314</v>
      </c>
      <c r="F567" s="15" t="s">
        <v>327</v>
      </c>
      <c r="G567" s="16" t="s">
        <v>340</v>
      </c>
      <c r="H567" s="13">
        <v>35692</v>
      </c>
      <c r="I567" s="14" t="s">
        <v>491</v>
      </c>
      <c r="J567" s="14" t="s">
        <v>504</v>
      </c>
      <c r="K567" s="13">
        <v>44699</v>
      </c>
      <c r="L567" s="17">
        <v>60</v>
      </c>
      <c r="M567" s="13">
        <f t="shared" si="8"/>
        <v>44759</v>
      </c>
      <c r="N567" s="14"/>
      <c r="O567" s="14" t="s">
        <v>539</v>
      </c>
      <c r="P567" s="14"/>
      <c r="Q567" s="14"/>
      <c r="R567" s="13">
        <v>44986</v>
      </c>
      <c r="S567" s="13" t="s">
        <v>977</v>
      </c>
      <c r="T567" s="18"/>
    </row>
    <row r="568" spans="1:20" s="19" customFormat="1" ht="21" customHeight="1" x14ac:dyDescent="0.25">
      <c r="A568" s="12">
        <f>IF(B568="","",COUNTA($B$2:B568))</f>
        <v>567</v>
      </c>
      <c r="B568" s="13" t="s">
        <v>849</v>
      </c>
      <c r="C568" s="14"/>
      <c r="D568" s="14" t="s">
        <v>298</v>
      </c>
      <c r="E568" s="14" t="s">
        <v>311</v>
      </c>
      <c r="F568" s="22" t="s">
        <v>317</v>
      </c>
      <c r="G568" s="16" t="s">
        <v>320</v>
      </c>
      <c r="H568" s="13">
        <v>35692</v>
      </c>
      <c r="I568" s="14" t="s">
        <v>491</v>
      </c>
      <c r="J568" s="14" t="s">
        <v>504</v>
      </c>
      <c r="K568" s="13">
        <v>44699</v>
      </c>
      <c r="L568" s="17">
        <v>60</v>
      </c>
      <c r="M568" s="13">
        <f t="shared" si="8"/>
        <v>44759</v>
      </c>
      <c r="N568" s="14"/>
      <c r="O568" s="14" t="s">
        <v>539</v>
      </c>
      <c r="P568" s="14"/>
      <c r="Q568" s="14"/>
      <c r="R568" s="13">
        <v>44850</v>
      </c>
      <c r="S568" s="13" t="s">
        <v>973</v>
      </c>
      <c r="T568" s="18"/>
    </row>
    <row r="569" spans="1:20" s="19" customFormat="1" ht="21" customHeight="1" x14ac:dyDescent="0.25">
      <c r="A569" s="12">
        <f>IF(B569="","",COUNTA($B$2:B569))</f>
        <v>568</v>
      </c>
      <c r="B569" s="13" t="s">
        <v>786</v>
      </c>
      <c r="C569" s="14"/>
      <c r="D569" s="14" t="s">
        <v>298</v>
      </c>
      <c r="E569" s="14" t="s">
        <v>301</v>
      </c>
      <c r="F569" s="15" t="s">
        <v>465</v>
      </c>
      <c r="G569" s="16" t="s">
        <v>484</v>
      </c>
      <c r="H569" s="13">
        <v>36024</v>
      </c>
      <c r="I569" s="14" t="s">
        <v>491</v>
      </c>
      <c r="J569" s="14" t="s">
        <v>504</v>
      </c>
      <c r="K569" s="13">
        <v>44699</v>
      </c>
      <c r="L569" s="17">
        <v>60</v>
      </c>
      <c r="M569" s="13">
        <f t="shared" si="8"/>
        <v>44759</v>
      </c>
      <c r="N569" s="14"/>
      <c r="O569" s="14" t="s">
        <v>538</v>
      </c>
      <c r="P569" s="14"/>
      <c r="Q569" s="14"/>
      <c r="R569" s="13">
        <v>44700</v>
      </c>
      <c r="S569" s="13" t="s">
        <v>976</v>
      </c>
      <c r="T569" s="18"/>
    </row>
    <row r="570" spans="1:20" s="19" customFormat="1" ht="21" customHeight="1" x14ac:dyDescent="0.25">
      <c r="A570" s="12">
        <f>IF(B570="","",COUNTA($B$2:B570))</f>
        <v>569</v>
      </c>
      <c r="B570" s="13" t="s">
        <v>808</v>
      </c>
      <c r="C570" s="14"/>
      <c r="D570" s="14" t="s">
        <v>298</v>
      </c>
      <c r="E570" s="14" t="s">
        <v>310</v>
      </c>
      <c r="F570" s="15" t="s">
        <v>414</v>
      </c>
      <c r="G570" s="26" t="s">
        <v>953</v>
      </c>
      <c r="H570" s="13">
        <v>32917</v>
      </c>
      <c r="I570" s="14" t="s">
        <v>492</v>
      </c>
      <c r="J570" s="14" t="s">
        <v>504</v>
      </c>
      <c r="K570" s="13">
        <v>44704</v>
      </c>
      <c r="L570" s="17">
        <v>60</v>
      </c>
      <c r="M570" s="13">
        <f t="shared" si="8"/>
        <v>44764</v>
      </c>
      <c r="N570" s="14"/>
      <c r="O570" s="14" t="s">
        <v>539</v>
      </c>
      <c r="P570" s="14"/>
      <c r="Q570" s="14"/>
      <c r="R570" s="13">
        <v>44743</v>
      </c>
      <c r="S570" s="13" t="s">
        <v>975</v>
      </c>
      <c r="T570" s="18"/>
    </row>
    <row r="571" spans="1:20" s="19" customFormat="1" ht="21" customHeight="1" x14ac:dyDescent="0.25">
      <c r="A571" s="12">
        <f>IF(B571="","",COUNTA($B$2:B571))</f>
        <v>570</v>
      </c>
      <c r="B571" s="13" t="s">
        <v>790</v>
      </c>
      <c r="C571" s="14"/>
      <c r="D571" s="14" t="s">
        <v>298</v>
      </c>
      <c r="E571" s="14" t="s">
        <v>301</v>
      </c>
      <c r="F571" s="15" t="s">
        <v>464</v>
      </c>
      <c r="G571" s="16" t="s">
        <v>483</v>
      </c>
      <c r="H571" s="13">
        <v>34745</v>
      </c>
      <c r="I571" s="14" t="s">
        <v>491</v>
      </c>
      <c r="J571" s="14" t="s">
        <v>504</v>
      </c>
      <c r="K571" s="13">
        <v>44704</v>
      </c>
      <c r="L571" s="17">
        <v>60</v>
      </c>
      <c r="M571" s="13">
        <f t="shared" si="8"/>
        <v>44764</v>
      </c>
      <c r="N571" s="14"/>
      <c r="O571" s="14" t="s">
        <v>539</v>
      </c>
      <c r="P571" s="14"/>
      <c r="Q571" s="14"/>
      <c r="R571" s="13">
        <v>44707</v>
      </c>
      <c r="S571" s="13" t="s">
        <v>975</v>
      </c>
      <c r="T571" s="18"/>
    </row>
    <row r="572" spans="1:20" s="19" customFormat="1" ht="21" customHeight="1" x14ac:dyDescent="0.25">
      <c r="A572" s="12">
        <f>IF(B572="","",COUNTA($B$2:B572))</f>
        <v>571</v>
      </c>
      <c r="B572" s="20" t="s">
        <v>134</v>
      </c>
      <c r="C572" s="14"/>
      <c r="D572" s="14" t="s">
        <v>298</v>
      </c>
      <c r="E572" s="21" t="s">
        <v>301</v>
      </c>
      <c r="F572" s="22" t="s">
        <v>464</v>
      </c>
      <c r="G572" s="16" t="s">
        <v>483</v>
      </c>
      <c r="H572" s="13">
        <v>32574</v>
      </c>
      <c r="I572" s="20" t="s">
        <v>491</v>
      </c>
      <c r="J572" s="14" t="s">
        <v>504</v>
      </c>
      <c r="K572" s="13">
        <v>44706</v>
      </c>
      <c r="L572" s="17">
        <v>60</v>
      </c>
      <c r="M572" s="13">
        <f t="shared" si="8"/>
        <v>44766</v>
      </c>
      <c r="N572" s="14" t="s">
        <v>495</v>
      </c>
      <c r="O572" s="16" t="s">
        <v>539</v>
      </c>
      <c r="P572" s="16">
        <v>3</v>
      </c>
      <c r="Q572" s="14" t="s">
        <v>501</v>
      </c>
      <c r="R572" s="23"/>
      <c r="S572" s="23"/>
      <c r="T572" s="24"/>
    </row>
    <row r="573" spans="1:20" s="19" customFormat="1" ht="21" customHeight="1" x14ac:dyDescent="0.25">
      <c r="A573" s="12">
        <f>IF(B573="","",COUNTA($B$2:B573))</f>
        <v>572</v>
      </c>
      <c r="B573" s="13" t="s">
        <v>798</v>
      </c>
      <c r="C573" s="14"/>
      <c r="D573" s="14" t="s">
        <v>298</v>
      </c>
      <c r="E573" s="14" t="s">
        <v>314</v>
      </c>
      <c r="F573" s="15" t="s">
        <v>328</v>
      </c>
      <c r="G573" s="16" t="s">
        <v>349</v>
      </c>
      <c r="H573" s="13">
        <v>35189</v>
      </c>
      <c r="I573" s="14" t="s">
        <v>491</v>
      </c>
      <c r="J573" s="14" t="s">
        <v>504</v>
      </c>
      <c r="K573" s="13">
        <v>44709</v>
      </c>
      <c r="L573" s="17">
        <v>60</v>
      </c>
      <c r="M573" s="13">
        <f t="shared" si="8"/>
        <v>44769</v>
      </c>
      <c r="N573" s="14"/>
      <c r="O573" s="14" t="s">
        <v>539</v>
      </c>
      <c r="P573" s="14"/>
      <c r="Q573" s="14"/>
      <c r="R573" s="13">
        <v>44716</v>
      </c>
      <c r="S573" s="13" t="s">
        <v>977</v>
      </c>
      <c r="T573" s="18"/>
    </row>
    <row r="574" spans="1:20" s="19" customFormat="1" ht="21" customHeight="1" x14ac:dyDescent="0.25">
      <c r="A574" s="12">
        <f>IF(B574="","",COUNTA($B$2:B574))</f>
        <v>573</v>
      </c>
      <c r="B574" s="20" t="s">
        <v>125</v>
      </c>
      <c r="C574" s="14"/>
      <c r="D574" s="14" t="s">
        <v>298</v>
      </c>
      <c r="E574" s="21" t="s">
        <v>301</v>
      </c>
      <c r="F574" s="22" t="s">
        <v>464</v>
      </c>
      <c r="G574" s="16" t="s">
        <v>478</v>
      </c>
      <c r="H574" s="13">
        <v>35996</v>
      </c>
      <c r="I574" s="20" t="s">
        <v>491</v>
      </c>
      <c r="J574" s="14" t="s">
        <v>504</v>
      </c>
      <c r="K574" s="13">
        <v>44718</v>
      </c>
      <c r="L574" s="17">
        <v>60</v>
      </c>
      <c r="M574" s="13">
        <f t="shared" si="8"/>
        <v>44778</v>
      </c>
      <c r="N574" s="14" t="s">
        <v>495</v>
      </c>
      <c r="O574" s="16" t="s">
        <v>539</v>
      </c>
      <c r="P574" s="16">
        <v>3</v>
      </c>
      <c r="Q574" s="14" t="s">
        <v>501</v>
      </c>
      <c r="R574" s="23"/>
      <c r="S574" s="23"/>
      <c r="T574" s="24"/>
    </row>
    <row r="575" spans="1:20" s="19" customFormat="1" ht="21" customHeight="1" x14ac:dyDescent="0.25">
      <c r="A575" s="12">
        <f>IF(B575="","",COUNTA($B$2:B575))</f>
        <v>574</v>
      </c>
      <c r="B575" s="13" t="s">
        <v>886</v>
      </c>
      <c r="C575" s="14"/>
      <c r="D575" s="14" t="s">
        <v>299</v>
      </c>
      <c r="E575" s="14" t="s">
        <v>314</v>
      </c>
      <c r="F575" s="15" t="s">
        <v>328</v>
      </c>
      <c r="G575" s="16" t="s">
        <v>349</v>
      </c>
      <c r="H575" s="13">
        <v>36227</v>
      </c>
      <c r="I575" s="14" t="s">
        <v>492</v>
      </c>
      <c r="J575" s="14" t="s">
        <v>507</v>
      </c>
      <c r="K575" s="13">
        <v>44718</v>
      </c>
      <c r="L575" s="17">
        <v>60</v>
      </c>
      <c r="M575" s="13">
        <f t="shared" si="8"/>
        <v>44778</v>
      </c>
      <c r="N575" s="14"/>
      <c r="O575" s="14" t="s">
        <v>539</v>
      </c>
      <c r="P575" s="14"/>
      <c r="Q575" s="14"/>
      <c r="R575" s="13">
        <v>44991</v>
      </c>
      <c r="S575" s="13" t="s">
        <v>976</v>
      </c>
      <c r="T575" s="24"/>
    </row>
    <row r="576" spans="1:20" s="19" customFormat="1" ht="21" customHeight="1" x14ac:dyDescent="0.25">
      <c r="A576" s="12">
        <f>IF(B576="","",COUNTA($B$2:B576))</f>
        <v>575</v>
      </c>
      <c r="B576" s="20" t="s">
        <v>148</v>
      </c>
      <c r="C576" s="14"/>
      <c r="D576" s="14" t="s">
        <v>299</v>
      </c>
      <c r="E576" s="21" t="s">
        <v>304</v>
      </c>
      <c r="F576" s="22" t="s">
        <v>315</v>
      </c>
      <c r="G576" s="16" t="s">
        <v>371</v>
      </c>
      <c r="H576" s="13">
        <v>25768</v>
      </c>
      <c r="I576" s="20" t="s">
        <v>492</v>
      </c>
      <c r="J576" s="14" t="s">
        <v>506</v>
      </c>
      <c r="K576" s="13">
        <v>44722</v>
      </c>
      <c r="L576" s="17">
        <v>60</v>
      </c>
      <c r="M576" s="13">
        <f t="shared" si="8"/>
        <v>44782</v>
      </c>
      <c r="N576" s="14" t="s">
        <v>495</v>
      </c>
      <c r="O576" s="16" t="s">
        <v>538</v>
      </c>
      <c r="P576" s="16">
        <v>1</v>
      </c>
      <c r="Q576" s="14" t="s">
        <v>499</v>
      </c>
      <c r="R576" s="23"/>
      <c r="S576" s="23"/>
      <c r="T576" s="24"/>
    </row>
    <row r="577" spans="1:20" s="19" customFormat="1" ht="21" customHeight="1" x14ac:dyDescent="0.25">
      <c r="A577" s="12">
        <f>IF(B577="","",COUNTA($B$2:B577))</f>
        <v>576</v>
      </c>
      <c r="B577" s="20" t="s">
        <v>520</v>
      </c>
      <c r="C577" s="14"/>
      <c r="D577" s="14" t="s">
        <v>300</v>
      </c>
      <c r="E577" s="21" t="s">
        <v>314</v>
      </c>
      <c r="F577" s="22" t="s">
        <v>327</v>
      </c>
      <c r="G577" s="16" t="s">
        <v>339</v>
      </c>
      <c r="H577" s="13">
        <v>33475</v>
      </c>
      <c r="I577" s="20" t="s">
        <v>492</v>
      </c>
      <c r="J577" s="14" t="s">
        <v>507</v>
      </c>
      <c r="K577" s="13">
        <v>44726</v>
      </c>
      <c r="L577" s="17">
        <v>60</v>
      </c>
      <c r="M577" s="13">
        <f t="shared" si="8"/>
        <v>44786</v>
      </c>
      <c r="N577" s="14" t="s">
        <v>495</v>
      </c>
      <c r="O577" s="16" t="s">
        <v>538</v>
      </c>
      <c r="P577" s="16">
        <v>1</v>
      </c>
      <c r="Q577" s="14" t="s">
        <v>499</v>
      </c>
      <c r="R577" s="13">
        <v>45215</v>
      </c>
      <c r="S577" s="13" t="s">
        <v>975</v>
      </c>
      <c r="T577" s="24"/>
    </row>
    <row r="578" spans="1:20" s="19" customFormat="1" ht="21" customHeight="1" x14ac:dyDescent="0.25">
      <c r="A578" s="12">
        <f>IF(B578="","",COUNTA($B$2:B578))</f>
        <v>577</v>
      </c>
      <c r="B578" s="20" t="s">
        <v>122</v>
      </c>
      <c r="C578" s="14"/>
      <c r="D578" s="14" t="s">
        <v>298</v>
      </c>
      <c r="E578" s="21" t="s">
        <v>303</v>
      </c>
      <c r="F578" s="22" t="s">
        <v>303</v>
      </c>
      <c r="G578" s="16" t="s">
        <v>366</v>
      </c>
      <c r="H578" s="13">
        <v>26091</v>
      </c>
      <c r="I578" s="20" t="s">
        <v>492</v>
      </c>
      <c r="J578" s="14" t="s">
        <v>504</v>
      </c>
      <c r="K578" s="13">
        <v>44727</v>
      </c>
      <c r="L578" s="17">
        <v>60</v>
      </c>
      <c r="M578" s="13">
        <f t="shared" ref="M578:M641" si="9">K578+L578</f>
        <v>44787</v>
      </c>
      <c r="N578" s="14" t="s">
        <v>495</v>
      </c>
      <c r="O578" s="16" t="s">
        <v>538</v>
      </c>
      <c r="P578" s="16">
        <v>3</v>
      </c>
      <c r="Q578" s="14" t="s">
        <v>501</v>
      </c>
      <c r="R578" s="23"/>
      <c r="S578" s="23"/>
      <c r="T578" s="24"/>
    </row>
    <row r="579" spans="1:20" s="19" customFormat="1" ht="21" customHeight="1" x14ac:dyDescent="0.25">
      <c r="A579" s="12">
        <f>IF(B579="","",COUNTA($B$2:B579))</f>
        <v>578</v>
      </c>
      <c r="B579" s="20" t="s">
        <v>258</v>
      </c>
      <c r="C579" s="14"/>
      <c r="D579" s="14" t="s">
        <v>298</v>
      </c>
      <c r="E579" s="21" t="s">
        <v>314</v>
      </c>
      <c r="F579" s="22" t="s">
        <v>328</v>
      </c>
      <c r="G579" s="16" t="s">
        <v>345</v>
      </c>
      <c r="H579" s="13">
        <v>34921</v>
      </c>
      <c r="I579" s="20" t="s">
        <v>491</v>
      </c>
      <c r="J579" s="14" t="s">
        <v>504</v>
      </c>
      <c r="K579" s="13">
        <v>44728</v>
      </c>
      <c r="L579" s="17">
        <v>60</v>
      </c>
      <c r="M579" s="13">
        <f t="shared" si="9"/>
        <v>44788</v>
      </c>
      <c r="N579" s="14" t="s">
        <v>495</v>
      </c>
      <c r="O579" s="16" t="s">
        <v>538</v>
      </c>
      <c r="P579" s="16">
        <v>3</v>
      </c>
      <c r="Q579" s="14" t="s">
        <v>501</v>
      </c>
      <c r="R579" s="23"/>
      <c r="S579" s="23"/>
      <c r="T579" s="24"/>
    </row>
    <row r="580" spans="1:20" s="19" customFormat="1" ht="21" customHeight="1" x14ac:dyDescent="0.25">
      <c r="A580" s="12">
        <f>IF(B580="","",COUNTA($B$2:B580))</f>
        <v>579</v>
      </c>
      <c r="B580" s="20" t="s">
        <v>137</v>
      </c>
      <c r="C580" s="14"/>
      <c r="D580" s="14" t="s">
        <v>298</v>
      </c>
      <c r="E580" s="21" t="s">
        <v>301</v>
      </c>
      <c r="F580" s="22" t="s">
        <v>465</v>
      </c>
      <c r="G580" s="16" t="s">
        <v>484</v>
      </c>
      <c r="H580" s="13">
        <v>34591</v>
      </c>
      <c r="I580" s="20" t="s">
        <v>491</v>
      </c>
      <c r="J580" s="14" t="s">
        <v>504</v>
      </c>
      <c r="K580" s="13">
        <v>44732</v>
      </c>
      <c r="L580" s="17">
        <v>60</v>
      </c>
      <c r="M580" s="13">
        <f t="shared" si="9"/>
        <v>44792</v>
      </c>
      <c r="N580" s="14" t="s">
        <v>495</v>
      </c>
      <c r="O580" s="16" t="s">
        <v>539</v>
      </c>
      <c r="P580" s="16">
        <v>3</v>
      </c>
      <c r="Q580" s="14" t="s">
        <v>501</v>
      </c>
      <c r="R580" s="23"/>
      <c r="S580" s="23"/>
      <c r="T580" s="24"/>
    </row>
    <row r="581" spans="1:20" s="19" customFormat="1" ht="21" customHeight="1" x14ac:dyDescent="0.25">
      <c r="A581" s="12">
        <f>IF(B581="","",COUNTA($B$2:B581))</f>
        <v>580</v>
      </c>
      <c r="B581" s="20" t="s">
        <v>281</v>
      </c>
      <c r="C581" s="14"/>
      <c r="D581" s="14" t="s">
        <v>299</v>
      </c>
      <c r="E581" s="21" t="s">
        <v>314</v>
      </c>
      <c r="F581" s="22" t="s">
        <v>329</v>
      </c>
      <c r="G581" s="16" t="s">
        <v>355</v>
      </c>
      <c r="H581" s="13">
        <v>35255</v>
      </c>
      <c r="I581" s="20" t="s">
        <v>492</v>
      </c>
      <c r="J581" s="14" t="s">
        <v>504</v>
      </c>
      <c r="K581" s="13">
        <v>44732</v>
      </c>
      <c r="L581" s="17">
        <v>60</v>
      </c>
      <c r="M581" s="13">
        <f t="shared" si="9"/>
        <v>44792</v>
      </c>
      <c r="N581" s="14" t="s">
        <v>495</v>
      </c>
      <c r="O581" s="16" t="s">
        <v>539</v>
      </c>
      <c r="P581" s="16">
        <v>3</v>
      </c>
      <c r="Q581" s="14" t="s">
        <v>501</v>
      </c>
      <c r="R581" s="23"/>
      <c r="S581" s="23"/>
      <c r="T581" s="24"/>
    </row>
    <row r="582" spans="1:20" s="19" customFormat="1" ht="21" customHeight="1" x14ac:dyDescent="0.25">
      <c r="A582" s="12">
        <f>IF(B582="","",COUNTA($B$2:B582))</f>
        <v>581</v>
      </c>
      <c r="B582" s="20" t="s">
        <v>183</v>
      </c>
      <c r="C582" s="14"/>
      <c r="D582" s="14" t="s">
        <v>300</v>
      </c>
      <c r="E582" s="21" t="s">
        <v>311</v>
      </c>
      <c r="F582" s="22" t="s">
        <v>318</v>
      </c>
      <c r="G582" s="16" t="s">
        <v>320</v>
      </c>
      <c r="H582" s="13">
        <v>31654</v>
      </c>
      <c r="I582" s="20" t="s">
        <v>491</v>
      </c>
      <c r="J582" s="14" t="s">
        <v>504</v>
      </c>
      <c r="K582" s="13">
        <v>44736</v>
      </c>
      <c r="L582" s="17">
        <v>60</v>
      </c>
      <c r="M582" s="13">
        <f t="shared" si="9"/>
        <v>44796</v>
      </c>
      <c r="N582" s="14" t="s">
        <v>495</v>
      </c>
      <c r="O582" s="16" t="s">
        <v>538</v>
      </c>
      <c r="P582" s="16">
        <v>3</v>
      </c>
      <c r="Q582" s="14" t="s">
        <v>501</v>
      </c>
      <c r="R582" s="23"/>
      <c r="S582" s="23"/>
      <c r="T582" s="24"/>
    </row>
    <row r="583" spans="1:20" s="19" customFormat="1" ht="21" customHeight="1" x14ac:dyDescent="0.25">
      <c r="A583" s="12">
        <f>IF(B583="","",COUNTA($B$2:B583))</f>
        <v>582</v>
      </c>
      <c r="B583" s="20" t="s">
        <v>126</v>
      </c>
      <c r="C583" s="14"/>
      <c r="D583" s="14" t="s">
        <v>298</v>
      </c>
      <c r="E583" s="21" t="s">
        <v>301</v>
      </c>
      <c r="F583" s="22" t="s">
        <v>464</v>
      </c>
      <c r="G583" s="16" t="s">
        <v>478</v>
      </c>
      <c r="H583" s="13">
        <v>35440</v>
      </c>
      <c r="I583" s="20" t="s">
        <v>491</v>
      </c>
      <c r="J583" s="14" t="s">
        <v>504</v>
      </c>
      <c r="K583" s="13">
        <v>44739</v>
      </c>
      <c r="L583" s="17">
        <v>60</v>
      </c>
      <c r="M583" s="13">
        <f t="shared" si="9"/>
        <v>44799</v>
      </c>
      <c r="N583" s="14" t="s">
        <v>495</v>
      </c>
      <c r="O583" s="16" t="s">
        <v>539</v>
      </c>
      <c r="P583" s="16">
        <v>3</v>
      </c>
      <c r="Q583" s="14" t="s">
        <v>501</v>
      </c>
      <c r="R583" s="23"/>
      <c r="S583" s="23"/>
      <c r="T583" s="24"/>
    </row>
    <row r="584" spans="1:20" s="19" customFormat="1" ht="21" customHeight="1" x14ac:dyDescent="0.25">
      <c r="A584" s="12">
        <f>IF(B584="","",COUNTA($B$2:B584))</f>
        <v>583</v>
      </c>
      <c r="B584" s="13" t="s">
        <v>806</v>
      </c>
      <c r="C584" s="14"/>
      <c r="D584" s="14" t="s">
        <v>298</v>
      </c>
      <c r="E584" s="14" t="s">
        <v>301</v>
      </c>
      <c r="F584" s="15" t="s">
        <v>464</v>
      </c>
      <c r="G584" s="16" t="s">
        <v>483</v>
      </c>
      <c r="H584" s="13">
        <v>35705</v>
      </c>
      <c r="I584" s="14" t="s">
        <v>491</v>
      </c>
      <c r="J584" s="14" t="s">
        <v>504</v>
      </c>
      <c r="K584" s="13">
        <v>44739</v>
      </c>
      <c r="L584" s="17">
        <v>60</v>
      </c>
      <c r="M584" s="13">
        <f t="shared" si="9"/>
        <v>44799</v>
      </c>
      <c r="N584" s="14"/>
      <c r="O584" s="14" t="s">
        <v>539</v>
      </c>
      <c r="P584" s="14"/>
      <c r="Q584" s="14"/>
      <c r="R584" s="13">
        <v>44771</v>
      </c>
      <c r="S584" s="13" t="s">
        <v>975</v>
      </c>
      <c r="T584" s="18"/>
    </row>
    <row r="585" spans="1:20" s="19" customFormat="1" ht="21" customHeight="1" x14ac:dyDescent="0.25">
      <c r="A585" s="12">
        <f>IF(B585="","",COUNTA($B$2:B585))</f>
        <v>584</v>
      </c>
      <c r="B585" s="13" t="s">
        <v>830</v>
      </c>
      <c r="C585" s="14"/>
      <c r="D585" s="14" t="s">
        <v>298</v>
      </c>
      <c r="E585" s="14" t="s">
        <v>306</v>
      </c>
      <c r="F585" s="22" t="s">
        <v>306</v>
      </c>
      <c r="G585" s="16" t="s">
        <v>429</v>
      </c>
      <c r="H585" s="13">
        <v>35411</v>
      </c>
      <c r="I585" s="14" t="s">
        <v>491</v>
      </c>
      <c r="J585" s="14" t="s">
        <v>504</v>
      </c>
      <c r="K585" s="13">
        <v>44740</v>
      </c>
      <c r="L585" s="17">
        <v>60</v>
      </c>
      <c r="M585" s="13">
        <f t="shared" si="9"/>
        <v>44800</v>
      </c>
      <c r="N585" s="14"/>
      <c r="O585" s="14" t="s">
        <v>539</v>
      </c>
      <c r="P585" s="14"/>
      <c r="Q585" s="14"/>
      <c r="R585" s="13">
        <v>44805</v>
      </c>
      <c r="S585" s="13" t="s">
        <v>973</v>
      </c>
      <c r="T585" s="18"/>
    </row>
    <row r="586" spans="1:20" s="19" customFormat="1" ht="21" customHeight="1" x14ac:dyDescent="0.25">
      <c r="A586" s="12">
        <f>IF(B586="","",COUNTA($B$2:B586))</f>
        <v>585</v>
      </c>
      <c r="B586" s="20" t="s">
        <v>289</v>
      </c>
      <c r="C586" s="14"/>
      <c r="D586" s="14" t="s">
        <v>298</v>
      </c>
      <c r="E586" s="21" t="s">
        <v>314</v>
      </c>
      <c r="F586" s="22" t="s">
        <v>330</v>
      </c>
      <c r="G586" s="16" t="s">
        <v>361</v>
      </c>
      <c r="H586" s="13">
        <v>35446</v>
      </c>
      <c r="I586" s="20" t="s">
        <v>491</v>
      </c>
      <c r="J586" s="14" t="s">
        <v>504</v>
      </c>
      <c r="K586" s="13">
        <v>44743</v>
      </c>
      <c r="L586" s="17">
        <v>60</v>
      </c>
      <c r="M586" s="13">
        <f t="shared" si="9"/>
        <v>44803</v>
      </c>
      <c r="N586" s="14" t="s">
        <v>495</v>
      </c>
      <c r="O586" s="16" t="s">
        <v>539</v>
      </c>
      <c r="P586" s="16">
        <v>3</v>
      </c>
      <c r="Q586" s="14" t="s">
        <v>501</v>
      </c>
      <c r="R586" s="23"/>
      <c r="S586" s="23"/>
      <c r="T586" s="24"/>
    </row>
    <row r="587" spans="1:20" s="19" customFormat="1" ht="21" customHeight="1" x14ac:dyDescent="0.25">
      <c r="A587" s="12">
        <f>IF(B587="","",COUNTA($B$2:B587))</f>
        <v>586</v>
      </c>
      <c r="B587" s="20" t="s">
        <v>205</v>
      </c>
      <c r="C587" s="14"/>
      <c r="D587" s="14" t="s">
        <v>299</v>
      </c>
      <c r="E587" s="21" t="s">
        <v>311</v>
      </c>
      <c r="F587" s="22" t="s">
        <v>315</v>
      </c>
      <c r="G587" s="21" t="s">
        <v>315</v>
      </c>
      <c r="H587" s="13">
        <v>34731</v>
      </c>
      <c r="I587" s="20" t="s">
        <v>491</v>
      </c>
      <c r="J587" s="14" t="s">
        <v>504</v>
      </c>
      <c r="K587" s="13">
        <v>44746</v>
      </c>
      <c r="L587" s="17">
        <v>60</v>
      </c>
      <c r="M587" s="13">
        <f t="shared" si="9"/>
        <v>44806</v>
      </c>
      <c r="N587" s="14" t="s">
        <v>495</v>
      </c>
      <c r="O587" s="16" t="s">
        <v>539</v>
      </c>
      <c r="P587" s="16">
        <v>3</v>
      </c>
      <c r="Q587" s="14" t="s">
        <v>501</v>
      </c>
      <c r="R587" s="23"/>
      <c r="S587" s="23"/>
      <c r="T587" s="24"/>
    </row>
    <row r="588" spans="1:20" s="19" customFormat="1" ht="21" customHeight="1" x14ac:dyDescent="0.25">
      <c r="A588" s="12">
        <f>IF(B588="","",COUNTA($B$2:B588))</f>
        <v>587</v>
      </c>
      <c r="B588" s="13" t="s">
        <v>821</v>
      </c>
      <c r="C588" s="14"/>
      <c r="D588" s="14" t="s">
        <v>298</v>
      </c>
      <c r="E588" s="14" t="s">
        <v>304</v>
      </c>
      <c r="F588" s="15" t="s">
        <v>315</v>
      </c>
      <c r="G588" s="16" t="s">
        <v>381</v>
      </c>
      <c r="H588" s="13">
        <v>36073</v>
      </c>
      <c r="I588" s="14" t="s">
        <v>491</v>
      </c>
      <c r="J588" s="14" t="s">
        <v>504</v>
      </c>
      <c r="K588" s="13">
        <v>44746</v>
      </c>
      <c r="L588" s="17">
        <v>60</v>
      </c>
      <c r="M588" s="13">
        <f t="shared" si="9"/>
        <v>44806</v>
      </c>
      <c r="N588" s="14"/>
      <c r="O588" s="14" t="s">
        <v>539</v>
      </c>
      <c r="P588" s="14"/>
      <c r="Q588" s="14"/>
      <c r="R588" s="13">
        <v>44777</v>
      </c>
      <c r="S588" s="13" t="s">
        <v>972</v>
      </c>
      <c r="T588" s="18"/>
    </row>
    <row r="589" spans="1:20" s="19" customFormat="1" ht="21" customHeight="1" x14ac:dyDescent="0.25">
      <c r="A589" s="12">
        <f>IF(B589="","",COUNTA($B$2:B589))</f>
        <v>588</v>
      </c>
      <c r="B589" s="13" t="s">
        <v>896</v>
      </c>
      <c r="C589" s="14"/>
      <c r="D589" s="14" t="s">
        <v>298</v>
      </c>
      <c r="E589" s="14" t="s">
        <v>314</v>
      </c>
      <c r="F589" s="15" t="s">
        <v>328</v>
      </c>
      <c r="G589" s="16" t="s">
        <v>349</v>
      </c>
      <c r="H589" s="13">
        <v>33519</v>
      </c>
      <c r="I589" s="14" t="s">
        <v>492</v>
      </c>
      <c r="J589" s="14" t="s">
        <v>504</v>
      </c>
      <c r="K589" s="13">
        <v>44747</v>
      </c>
      <c r="L589" s="17">
        <v>60</v>
      </c>
      <c r="M589" s="13">
        <f t="shared" si="9"/>
        <v>44807</v>
      </c>
      <c r="N589" s="14"/>
      <c r="O589" s="14" t="s">
        <v>538</v>
      </c>
      <c r="P589" s="14"/>
      <c r="Q589" s="14"/>
      <c r="R589" s="13">
        <v>45043</v>
      </c>
      <c r="S589" s="13" t="s">
        <v>973</v>
      </c>
      <c r="T589" s="24"/>
    </row>
    <row r="590" spans="1:20" s="19" customFormat="1" ht="21" customHeight="1" x14ac:dyDescent="0.25">
      <c r="A590" s="12">
        <f>IF(B590="","",COUNTA($B$2:B590))</f>
        <v>589</v>
      </c>
      <c r="B590" s="20" t="s">
        <v>182</v>
      </c>
      <c r="C590" s="14"/>
      <c r="D590" s="14" t="s">
        <v>300</v>
      </c>
      <c r="E590" s="21" t="s">
        <v>311</v>
      </c>
      <c r="F590" s="22" t="s">
        <v>318</v>
      </c>
      <c r="G590" s="16" t="s">
        <v>320</v>
      </c>
      <c r="H590" s="13">
        <v>33044</v>
      </c>
      <c r="I590" s="20" t="s">
        <v>492</v>
      </c>
      <c r="J590" s="14" t="s">
        <v>504</v>
      </c>
      <c r="K590" s="13">
        <v>44750</v>
      </c>
      <c r="L590" s="17">
        <v>60</v>
      </c>
      <c r="M590" s="13">
        <f t="shared" si="9"/>
        <v>44810</v>
      </c>
      <c r="N590" s="14" t="s">
        <v>495</v>
      </c>
      <c r="O590" s="16" t="s">
        <v>538</v>
      </c>
      <c r="P590" s="16">
        <v>3</v>
      </c>
      <c r="Q590" s="14" t="s">
        <v>501</v>
      </c>
      <c r="R590" s="23"/>
      <c r="S590" s="23"/>
      <c r="T590" s="24"/>
    </row>
    <row r="591" spans="1:20" s="19" customFormat="1" ht="21" customHeight="1" x14ac:dyDescent="0.25">
      <c r="A591" s="12">
        <f>IF(B591="","",COUNTA($B$2:B591))</f>
        <v>590</v>
      </c>
      <c r="B591" s="13" t="s">
        <v>884</v>
      </c>
      <c r="C591" s="14"/>
      <c r="D591" s="14" t="s">
        <v>298</v>
      </c>
      <c r="E591" s="14" t="s">
        <v>301</v>
      </c>
      <c r="F591" s="15" t="s">
        <v>464</v>
      </c>
      <c r="G591" s="16" t="s">
        <v>484</v>
      </c>
      <c r="H591" s="13">
        <v>34538</v>
      </c>
      <c r="I591" s="14" t="s">
        <v>492</v>
      </c>
      <c r="J591" s="14" t="s">
        <v>504</v>
      </c>
      <c r="K591" s="13">
        <v>44750</v>
      </c>
      <c r="L591" s="17">
        <v>60</v>
      </c>
      <c r="M591" s="13">
        <f t="shared" si="9"/>
        <v>44810</v>
      </c>
      <c r="N591" s="14"/>
      <c r="O591" s="14" t="s">
        <v>538</v>
      </c>
      <c r="P591" s="14"/>
      <c r="Q591" s="14"/>
      <c r="R591" s="13">
        <v>44986</v>
      </c>
      <c r="S591" s="13" t="s">
        <v>973</v>
      </c>
      <c r="T591" s="18"/>
    </row>
    <row r="592" spans="1:20" s="19" customFormat="1" ht="21" customHeight="1" x14ac:dyDescent="0.25">
      <c r="A592" s="12">
        <f>IF(B592="","",COUNTA($B$2:B592))</f>
        <v>591</v>
      </c>
      <c r="B592" s="20" t="s">
        <v>201</v>
      </c>
      <c r="C592" s="14"/>
      <c r="D592" s="14" t="s">
        <v>299</v>
      </c>
      <c r="E592" s="21" t="s">
        <v>311</v>
      </c>
      <c r="F592" s="22" t="s">
        <v>315</v>
      </c>
      <c r="G592" s="21" t="s">
        <v>315</v>
      </c>
      <c r="H592" s="13">
        <v>34118</v>
      </c>
      <c r="I592" s="20" t="s">
        <v>491</v>
      </c>
      <c r="J592" s="14" t="s">
        <v>504</v>
      </c>
      <c r="K592" s="13">
        <v>44753</v>
      </c>
      <c r="L592" s="17">
        <v>60</v>
      </c>
      <c r="M592" s="13">
        <f t="shared" si="9"/>
        <v>44813</v>
      </c>
      <c r="N592" s="14" t="s">
        <v>495</v>
      </c>
      <c r="O592" s="16" t="s">
        <v>539</v>
      </c>
      <c r="P592" s="16">
        <v>3</v>
      </c>
      <c r="Q592" s="14" t="s">
        <v>501</v>
      </c>
      <c r="R592" s="23"/>
      <c r="S592" s="23"/>
      <c r="T592" s="24"/>
    </row>
    <row r="593" spans="1:20" s="19" customFormat="1" ht="21" customHeight="1" x14ac:dyDescent="0.25">
      <c r="A593" s="12">
        <f>IF(B593="","",COUNTA($B$2:B593))</f>
        <v>592</v>
      </c>
      <c r="B593" s="20" t="s">
        <v>235</v>
      </c>
      <c r="C593" s="14"/>
      <c r="D593" s="14" t="s">
        <v>298</v>
      </c>
      <c r="E593" s="21" t="s">
        <v>314</v>
      </c>
      <c r="F593" s="22" t="s">
        <v>327</v>
      </c>
      <c r="G593" s="16" t="s">
        <v>336</v>
      </c>
      <c r="H593" s="13">
        <v>31892</v>
      </c>
      <c r="I593" s="20" t="s">
        <v>492</v>
      </c>
      <c r="J593" s="14" t="s">
        <v>504</v>
      </c>
      <c r="K593" s="13">
        <v>44754</v>
      </c>
      <c r="L593" s="17">
        <v>60</v>
      </c>
      <c r="M593" s="13">
        <f t="shared" si="9"/>
        <v>44814</v>
      </c>
      <c r="N593" s="14" t="s">
        <v>495</v>
      </c>
      <c r="O593" s="16" t="s">
        <v>538</v>
      </c>
      <c r="P593" s="16">
        <v>3</v>
      </c>
      <c r="Q593" s="14" t="s">
        <v>501</v>
      </c>
      <c r="R593" s="23"/>
      <c r="S593" s="23"/>
      <c r="T593" s="24"/>
    </row>
    <row r="594" spans="1:20" s="19" customFormat="1" ht="21" customHeight="1" x14ac:dyDescent="0.25">
      <c r="A594" s="12">
        <f>IF(B594="","",COUNTA($B$2:B594))</f>
        <v>593</v>
      </c>
      <c r="B594" s="13" t="s">
        <v>893</v>
      </c>
      <c r="C594" s="14"/>
      <c r="D594" s="14" t="s">
        <v>300</v>
      </c>
      <c r="E594" s="14" t="s">
        <v>314</v>
      </c>
      <c r="F594" s="15" t="s">
        <v>329</v>
      </c>
      <c r="G594" s="16" t="s">
        <v>353</v>
      </c>
      <c r="H594" s="13">
        <v>30429</v>
      </c>
      <c r="I594" s="14" t="s">
        <v>492</v>
      </c>
      <c r="J594" s="14" t="s">
        <v>504</v>
      </c>
      <c r="K594" s="13">
        <v>44760</v>
      </c>
      <c r="L594" s="17">
        <v>60</v>
      </c>
      <c r="M594" s="13">
        <f t="shared" si="9"/>
        <v>44820</v>
      </c>
      <c r="N594" s="14"/>
      <c r="O594" s="14" t="s">
        <v>538</v>
      </c>
      <c r="P594" s="14"/>
      <c r="Q594" s="14"/>
      <c r="R594" s="13">
        <v>45017</v>
      </c>
      <c r="S594" s="13" t="s">
        <v>977</v>
      </c>
      <c r="T594" s="24"/>
    </row>
    <row r="595" spans="1:20" s="19" customFormat="1" ht="21" customHeight="1" x14ac:dyDescent="0.25">
      <c r="A595" s="12">
        <f>IF(B595="","",COUNTA($B$2:B595))</f>
        <v>594</v>
      </c>
      <c r="B595" s="20" t="s">
        <v>180</v>
      </c>
      <c r="C595" s="14"/>
      <c r="D595" s="14" t="s">
        <v>300</v>
      </c>
      <c r="E595" s="21" t="s">
        <v>311</v>
      </c>
      <c r="F595" s="22" t="s">
        <v>317</v>
      </c>
      <c r="G595" s="16" t="s">
        <v>320</v>
      </c>
      <c r="H595" s="13">
        <v>33228</v>
      </c>
      <c r="I595" s="20" t="s">
        <v>491</v>
      </c>
      <c r="J595" s="14" t="s">
        <v>504</v>
      </c>
      <c r="K595" s="13">
        <v>44767</v>
      </c>
      <c r="L595" s="17">
        <v>60</v>
      </c>
      <c r="M595" s="13">
        <f t="shared" si="9"/>
        <v>44827</v>
      </c>
      <c r="N595" s="14" t="s">
        <v>495</v>
      </c>
      <c r="O595" s="16" t="s">
        <v>538</v>
      </c>
      <c r="P595" s="16">
        <v>3</v>
      </c>
      <c r="Q595" s="14" t="s">
        <v>501</v>
      </c>
      <c r="R595" s="23"/>
      <c r="S595" s="23"/>
      <c r="T595" s="24"/>
    </row>
    <row r="596" spans="1:20" s="19" customFormat="1" ht="21" customHeight="1" x14ac:dyDescent="0.25">
      <c r="A596" s="12">
        <f>IF(B596="","",COUNTA($B$2:B596))</f>
        <v>595</v>
      </c>
      <c r="B596" s="13" t="s">
        <v>851</v>
      </c>
      <c r="C596" s="14"/>
      <c r="D596" s="14" t="s">
        <v>298</v>
      </c>
      <c r="E596" s="14" t="s">
        <v>305</v>
      </c>
      <c r="F596" s="15" t="s">
        <v>393</v>
      </c>
      <c r="G596" s="16" t="s">
        <v>388</v>
      </c>
      <c r="H596" s="13">
        <v>32491</v>
      </c>
      <c r="I596" s="14" t="s">
        <v>492</v>
      </c>
      <c r="J596" s="14" t="s">
        <v>504</v>
      </c>
      <c r="K596" s="13">
        <v>44767</v>
      </c>
      <c r="L596" s="17">
        <v>60</v>
      </c>
      <c r="M596" s="13">
        <f t="shared" si="9"/>
        <v>44827</v>
      </c>
      <c r="N596" s="14"/>
      <c r="O596" s="14" t="s">
        <v>538</v>
      </c>
      <c r="P596" s="14"/>
      <c r="Q596" s="14"/>
      <c r="R596" s="13">
        <v>44866</v>
      </c>
      <c r="S596" s="13" t="s">
        <v>972</v>
      </c>
      <c r="T596" s="18"/>
    </row>
    <row r="597" spans="1:20" s="19" customFormat="1" ht="21" customHeight="1" x14ac:dyDescent="0.25">
      <c r="A597" s="12">
        <f>IF(B597="","",COUNTA($B$2:B597))</f>
        <v>596</v>
      </c>
      <c r="B597" s="13" t="s">
        <v>845</v>
      </c>
      <c r="C597" s="14"/>
      <c r="D597" s="14" t="s">
        <v>298</v>
      </c>
      <c r="E597" s="14" t="s">
        <v>305</v>
      </c>
      <c r="F597" s="15" t="s">
        <v>393</v>
      </c>
      <c r="G597" s="16" t="s">
        <v>384</v>
      </c>
      <c r="H597" s="13">
        <v>31950</v>
      </c>
      <c r="I597" s="14" t="s">
        <v>492</v>
      </c>
      <c r="J597" s="14" t="s">
        <v>504</v>
      </c>
      <c r="K597" s="13">
        <v>44767</v>
      </c>
      <c r="L597" s="17">
        <v>60</v>
      </c>
      <c r="M597" s="13">
        <f t="shared" si="9"/>
        <v>44827</v>
      </c>
      <c r="N597" s="14"/>
      <c r="O597" s="14" t="s">
        <v>542</v>
      </c>
      <c r="P597" s="14"/>
      <c r="Q597" s="14"/>
      <c r="R597" s="13">
        <v>44849</v>
      </c>
      <c r="S597" s="13" t="s">
        <v>973</v>
      </c>
      <c r="T597" s="18"/>
    </row>
    <row r="598" spans="1:20" s="19" customFormat="1" ht="21" customHeight="1" x14ac:dyDescent="0.25">
      <c r="A598" s="12">
        <f>IF(B598="","",COUNTA($B$2:B598))</f>
        <v>597</v>
      </c>
      <c r="B598" s="13" t="s">
        <v>820</v>
      </c>
      <c r="C598" s="14"/>
      <c r="D598" s="14" t="s">
        <v>299</v>
      </c>
      <c r="E598" s="14" t="s">
        <v>314</v>
      </c>
      <c r="F598" s="15" t="s">
        <v>328</v>
      </c>
      <c r="G598" s="16" t="s">
        <v>349</v>
      </c>
      <c r="H598" s="13">
        <v>34859</v>
      </c>
      <c r="I598" s="14" t="s">
        <v>492</v>
      </c>
      <c r="J598" s="14" t="s">
        <v>507</v>
      </c>
      <c r="K598" s="13">
        <v>44771</v>
      </c>
      <c r="L598" s="17">
        <v>60</v>
      </c>
      <c r="M598" s="13">
        <f t="shared" si="9"/>
        <v>44831</v>
      </c>
      <c r="N598" s="14"/>
      <c r="O598" s="14" t="s">
        <v>539</v>
      </c>
      <c r="P598" s="14"/>
      <c r="Q598" s="14"/>
      <c r="R598" s="13">
        <v>44777</v>
      </c>
      <c r="S598" s="13" t="s">
        <v>977</v>
      </c>
      <c r="T598" s="18"/>
    </row>
    <row r="599" spans="1:20" s="19" customFormat="1" ht="21" customHeight="1" x14ac:dyDescent="0.25">
      <c r="A599" s="12">
        <f>IF(B599="","",COUNTA($B$2:B599))</f>
        <v>598</v>
      </c>
      <c r="B599" s="20" t="s">
        <v>263</v>
      </c>
      <c r="C599" s="14"/>
      <c r="D599" s="14" t="s">
        <v>298</v>
      </c>
      <c r="E599" s="21" t="s">
        <v>314</v>
      </c>
      <c r="F599" s="22" t="s">
        <v>328</v>
      </c>
      <c r="G599" s="16" t="s">
        <v>350</v>
      </c>
      <c r="H599" s="13">
        <v>31575</v>
      </c>
      <c r="I599" s="20" t="s">
        <v>491</v>
      </c>
      <c r="J599" s="14" t="s">
        <v>504</v>
      </c>
      <c r="K599" s="13">
        <v>44774</v>
      </c>
      <c r="L599" s="17">
        <v>60</v>
      </c>
      <c r="M599" s="13">
        <f t="shared" si="9"/>
        <v>44834</v>
      </c>
      <c r="N599" s="14" t="s">
        <v>495</v>
      </c>
      <c r="O599" s="16" t="s">
        <v>538</v>
      </c>
      <c r="P599" s="16"/>
      <c r="Q599" s="14" t="s">
        <v>543</v>
      </c>
      <c r="R599" s="23"/>
      <c r="S599" s="23"/>
      <c r="T599" s="24"/>
    </row>
    <row r="600" spans="1:20" s="19" customFormat="1" ht="21" customHeight="1" x14ac:dyDescent="0.25">
      <c r="A600" s="12">
        <f>IF(B600="","",COUNTA($B$2:B600))</f>
        <v>599</v>
      </c>
      <c r="B600" s="13" t="s">
        <v>822</v>
      </c>
      <c r="C600" s="14"/>
      <c r="D600" s="14" t="s">
        <v>298</v>
      </c>
      <c r="E600" s="14" t="s">
        <v>304</v>
      </c>
      <c r="F600" s="15" t="s">
        <v>315</v>
      </c>
      <c r="G600" s="16" t="s">
        <v>381</v>
      </c>
      <c r="H600" s="13">
        <v>34965</v>
      </c>
      <c r="I600" s="14" t="s">
        <v>491</v>
      </c>
      <c r="J600" s="14" t="s">
        <v>504</v>
      </c>
      <c r="K600" s="13">
        <v>44776</v>
      </c>
      <c r="L600" s="17">
        <v>60</v>
      </c>
      <c r="M600" s="13">
        <f t="shared" si="9"/>
        <v>44836</v>
      </c>
      <c r="N600" s="14"/>
      <c r="O600" s="14" t="s">
        <v>539</v>
      </c>
      <c r="P600" s="14"/>
      <c r="Q600" s="14"/>
      <c r="R600" s="13">
        <v>44777</v>
      </c>
      <c r="S600" s="13" t="s">
        <v>973</v>
      </c>
      <c r="T600" s="18"/>
    </row>
    <row r="601" spans="1:20" s="19" customFormat="1" ht="21" customHeight="1" x14ac:dyDescent="0.25">
      <c r="A601" s="12">
        <f>IF(B601="","",COUNTA($B$2:B601))</f>
        <v>600</v>
      </c>
      <c r="B601" s="20" t="s">
        <v>32</v>
      </c>
      <c r="C601" s="14"/>
      <c r="D601" s="14" t="s">
        <v>298</v>
      </c>
      <c r="E601" s="21" t="s">
        <v>301</v>
      </c>
      <c r="F601" s="22" t="s">
        <v>464</v>
      </c>
      <c r="G601" s="16" t="s">
        <v>472</v>
      </c>
      <c r="H601" s="13">
        <v>34929</v>
      </c>
      <c r="I601" s="20" t="s">
        <v>492</v>
      </c>
      <c r="J601" s="14" t="s">
        <v>504</v>
      </c>
      <c r="K601" s="13">
        <v>44781</v>
      </c>
      <c r="L601" s="17">
        <v>60</v>
      </c>
      <c r="M601" s="13">
        <f t="shared" si="9"/>
        <v>44841</v>
      </c>
      <c r="N601" s="14" t="s">
        <v>495</v>
      </c>
      <c r="O601" s="16" t="s">
        <v>539</v>
      </c>
      <c r="P601" s="16">
        <v>1</v>
      </c>
      <c r="Q601" s="14" t="s">
        <v>499</v>
      </c>
      <c r="R601" s="23"/>
      <c r="S601" s="23"/>
      <c r="T601" s="24"/>
    </row>
    <row r="602" spans="1:20" s="19" customFormat="1" ht="21" customHeight="1" x14ac:dyDescent="0.25">
      <c r="A602" s="12">
        <f>IF(B602="","",COUNTA($B$2:B602))</f>
        <v>601</v>
      </c>
      <c r="B602" s="13" t="s">
        <v>838</v>
      </c>
      <c r="C602" s="14"/>
      <c r="D602" s="14" t="s">
        <v>299</v>
      </c>
      <c r="E602" s="14" t="s">
        <v>311</v>
      </c>
      <c r="F602" s="22" t="s">
        <v>318</v>
      </c>
      <c r="G602" s="16" t="s">
        <v>320</v>
      </c>
      <c r="H602" s="13">
        <v>35479</v>
      </c>
      <c r="I602" s="14" t="s">
        <v>492</v>
      </c>
      <c r="J602" s="14" t="s">
        <v>504</v>
      </c>
      <c r="K602" s="13">
        <v>44783</v>
      </c>
      <c r="L602" s="17">
        <v>60</v>
      </c>
      <c r="M602" s="13">
        <f t="shared" si="9"/>
        <v>44843</v>
      </c>
      <c r="N602" s="14"/>
      <c r="O602" s="14" t="s">
        <v>539</v>
      </c>
      <c r="P602" s="14"/>
      <c r="Q602" s="14"/>
      <c r="R602" s="13">
        <v>44829</v>
      </c>
      <c r="S602" s="13" t="s">
        <v>976</v>
      </c>
      <c r="T602" s="18"/>
    </row>
    <row r="603" spans="1:20" s="19" customFormat="1" ht="21" customHeight="1" x14ac:dyDescent="0.25">
      <c r="A603" s="12">
        <f>IF(B603="","",COUNTA($B$2:B603))</f>
        <v>602</v>
      </c>
      <c r="B603" s="13" t="s">
        <v>854</v>
      </c>
      <c r="C603" s="14"/>
      <c r="D603" s="14" t="s">
        <v>298</v>
      </c>
      <c r="E603" s="14" t="s">
        <v>304</v>
      </c>
      <c r="F603" s="15" t="s">
        <v>315</v>
      </c>
      <c r="G603" s="16" t="s">
        <v>381</v>
      </c>
      <c r="H603" s="13">
        <v>36169</v>
      </c>
      <c r="I603" s="14" t="s">
        <v>491</v>
      </c>
      <c r="J603" s="14" t="s">
        <v>504</v>
      </c>
      <c r="K603" s="13">
        <v>44789</v>
      </c>
      <c r="L603" s="17">
        <v>60</v>
      </c>
      <c r="M603" s="13">
        <f t="shared" si="9"/>
        <v>44849</v>
      </c>
      <c r="N603" s="14"/>
      <c r="O603" s="14" t="s">
        <v>539</v>
      </c>
      <c r="P603" s="14"/>
      <c r="Q603" s="14"/>
      <c r="R603" s="13">
        <v>44880</v>
      </c>
      <c r="S603" s="13" t="s">
        <v>975</v>
      </c>
      <c r="T603" s="18"/>
    </row>
    <row r="604" spans="1:20" s="19" customFormat="1" ht="21" customHeight="1" x14ac:dyDescent="0.25">
      <c r="A604" s="12">
        <f>IF(B604="","",COUNTA($B$2:B604))</f>
        <v>603</v>
      </c>
      <c r="B604" s="20" t="s">
        <v>296</v>
      </c>
      <c r="C604" s="14"/>
      <c r="D604" s="14" t="s">
        <v>298</v>
      </c>
      <c r="E604" s="21" t="s">
        <v>314</v>
      </c>
      <c r="F604" s="22" t="s">
        <v>330</v>
      </c>
      <c r="G604" s="16" t="s">
        <v>364</v>
      </c>
      <c r="H604" s="13">
        <v>34926</v>
      </c>
      <c r="I604" s="20" t="s">
        <v>492</v>
      </c>
      <c r="J604" s="14" t="s">
        <v>507</v>
      </c>
      <c r="K604" s="13">
        <v>44795</v>
      </c>
      <c r="L604" s="17">
        <v>60</v>
      </c>
      <c r="M604" s="13">
        <f t="shared" si="9"/>
        <v>44855</v>
      </c>
      <c r="N604" s="14" t="s">
        <v>495</v>
      </c>
      <c r="O604" s="16" t="s">
        <v>539</v>
      </c>
      <c r="P604" s="16">
        <v>1</v>
      </c>
      <c r="Q604" s="14" t="s">
        <v>499</v>
      </c>
      <c r="R604" s="23"/>
      <c r="S604" s="23"/>
      <c r="T604" s="24"/>
    </row>
    <row r="605" spans="1:20" s="19" customFormat="1" ht="21" customHeight="1" x14ac:dyDescent="0.25">
      <c r="A605" s="12">
        <f>IF(B605="","",COUNTA($B$2:B605))</f>
        <v>604</v>
      </c>
      <c r="B605" s="20" t="s">
        <v>512</v>
      </c>
      <c r="C605" s="14"/>
      <c r="D605" s="14" t="s">
        <v>299</v>
      </c>
      <c r="E605" s="21" t="s">
        <v>314</v>
      </c>
      <c r="F605" s="22" t="s">
        <v>327</v>
      </c>
      <c r="G605" s="16" t="s">
        <v>356</v>
      </c>
      <c r="H605" s="13">
        <v>30963</v>
      </c>
      <c r="I605" s="20" t="s">
        <v>492</v>
      </c>
      <c r="J605" s="14" t="s">
        <v>504</v>
      </c>
      <c r="K605" s="13">
        <v>44799</v>
      </c>
      <c r="L605" s="17">
        <v>60</v>
      </c>
      <c r="M605" s="13">
        <f t="shared" si="9"/>
        <v>44859</v>
      </c>
      <c r="N605" s="14" t="s">
        <v>495</v>
      </c>
      <c r="O605" s="16" t="s">
        <v>539</v>
      </c>
      <c r="P605" s="16">
        <v>1</v>
      </c>
      <c r="Q605" s="14" t="s">
        <v>499</v>
      </c>
      <c r="R605" s="13">
        <v>45205</v>
      </c>
      <c r="S605" s="13" t="s">
        <v>973</v>
      </c>
      <c r="T605" s="24"/>
    </row>
    <row r="606" spans="1:20" s="19" customFormat="1" ht="21" customHeight="1" x14ac:dyDescent="0.25">
      <c r="A606" s="12">
        <f>IF(B606="","",COUNTA($B$2:B606))</f>
        <v>605</v>
      </c>
      <c r="B606" s="13" t="s">
        <v>846</v>
      </c>
      <c r="C606" s="14"/>
      <c r="D606" s="14" t="s">
        <v>298</v>
      </c>
      <c r="E606" s="14" t="s">
        <v>311</v>
      </c>
      <c r="F606" s="22" t="s">
        <v>316</v>
      </c>
      <c r="G606" s="16" t="s">
        <v>320</v>
      </c>
      <c r="H606" s="13">
        <v>33530</v>
      </c>
      <c r="I606" s="14" t="s">
        <v>492</v>
      </c>
      <c r="J606" s="14" t="s">
        <v>504</v>
      </c>
      <c r="K606" s="13">
        <v>44802</v>
      </c>
      <c r="L606" s="17">
        <v>60</v>
      </c>
      <c r="M606" s="13">
        <f t="shared" si="9"/>
        <v>44862</v>
      </c>
      <c r="N606" s="14"/>
      <c r="O606" s="14" t="s">
        <v>538</v>
      </c>
      <c r="P606" s="14"/>
      <c r="Q606" s="14"/>
      <c r="R606" s="13">
        <v>44849</v>
      </c>
      <c r="S606" s="13" t="s">
        <v>977</v>
      </c>
      <c r="T606" s="18"/>
    </row>
    <row r="607" spans="1:20" s="19" customFormat="1" ht="21" customHeight="1" x14ac:dyDescent="0.25">
      <c r="A607" s="12">
        <f>IF(B607="","",COUNTA($B$2:B607))</f>
        <v>606</v>
      </c>
      <c r="B607" s="13" t="s">
        <v>836</v>
      </c>
      <c r="C607" s="14"/>
      <c r="D607" s="14" t="s">
        <v>298</v>
      </c>
      <c r="E607" s="14" t="s">
        <v>314</v>
      </c>
      <c r="F607" s="15" t="s">
        <v>327</v>
      </c>
      <c r="G607" s="16" t="s">
        <v>341</v>
      </c>
      <c r="H607" s="13">
        <v>29965</v>
      </c>
      <c r="I607" s="14" t="s">
        <v>492</v>
      </c>
      <c r="J607" s="14" t="s">
        <v>505</v>
      </c>
      <c r="K607" s="13">
        <v>44809</v>
      </c>
      <c r="L607" s="17">
        <v>60</v>
      </c>
      <c r="M607" s="13">
        <f t="shared" si="9"/>
        <v>44869</v>
      </c>
      <c r="N607" s="14"/>
      <c r="O607" s="14" t="s">
        <v>538</v>
      </c>
      <c r="P607" s="14"/>
      <c r="Q607" s="14"/>
      <c r="R607" s="13">
        <v>44821</v>
      </c>
      <c r="S607" s="13" t="s">
        <v>977</v>
      </c>
      <c r="T607" s="18"/>
    </row>
    <row r="608" spans="1:20" s="19" customFormat="1" ht="21" customHeight="1" x14ac:dyDescent="0.25">
      <c r="A608" s="12">
        <f>IF(B608="","",COUNTA($B$2:B608))</f>
        <v>607</v>
      </c>
      <c r="B608" s="13" t="s">
        <v>831</v>
      </c>
      <c r="C608" s="14"/>
      <c r="D608" s="14" t="s">
        <v>300</v>
      </c>
      <c r="E608" s="14" t="s">
        <v>311</v>
      </c>
      <c r="F608" s="22" t="s">
        <v>939</v>
      </c>
      <c r="G608" s="16" t="s">
        <v>964</v>
      </c>
      <c r="H608" s="13">
        <v>35824</v>
      </c>
      <c r="I608" s="14" t="s">
        <v>491</v>
      </c>
      <c r="J608" s="14" t="s">
        <v>504</v>
      </c>
      <c r="K608" s="13">
        <v>44809</v>
      </c>
      <c r="L608" s="17">
        <v>60</v>
      </c>
      <c r="M608" s="13">
        <f t="shared" si="9"/>
        <v>44869</v>
      </c>
      <c r="N608" s="14"/>
      <c r="O608" s="14" t="s">
        <v>539</v>
      </c>
      <c r="P608" s="14"/>
      <c r="Q608" s="14"/>
      <c r="R608" s="13">
        <v>44810</v>
      </c>
      <c r="S608" s="13" t="s">
        <v>975</v>
      </c>
      <c r="T608" s="18"/>
    </row>
    <row r="609" spans="1:20" s="19" customFormat="1" ht="21" customHeight="1" x14ac:dyDescent="0.25">
      <c r="A609" s="12">
        <f>IF(B609="","",COUNTA($B$2:B609))</f>
        <v>608</v>
      </c>
      <c r="B609" s="20" t="s">
        <v>266</v>
      </c>
      <c r="C609" s="14"/>
      <c r="D609" s="14" t="s">
        <v>299</v>
      </c>
      <c r="E609" s="21" t="s">
        <v>314</v>
      </c>
      <c r="F609" s="22" t="s">
        <v>328</v>
      </c>
      <c r="G609" s="16" t="s">
        <v>350</v>
      </c>
      <c r="H609" s="13">
        <v>32379</v>
      </c>
      <c r="I609" s="20" t="s">
        <v>491</v>
      </c>
      <c r="J609" s="14" t="s">
        <v>504</v>
      </c>
      <c r="K609" s="13">
        <v>44813</v>
      </c>
      <c r="L609" s="17">
        <v>60</v>
      </c>
      <c r="M609" s="13">
        <f t="shared" si="9"/>
        <v>44873</v>
      </c>
      <c r="N609" s="14" t="s">
        <v>495</v>
      </c>
      <c r="O609" s="16" t="s">
        <v>538</v>
      </c>
      <c r="P609" s="16">
        <v>1</v>
      </c>
      <c r="Q609" s="14" t="s">
        <v>499</v>
      </c>
      <c r="R609" s="23"/>
      <c r="S609" s="23"/>
      <c r="T609" s="24"/>
    </row>
    <row r="610" spans="1:20" s="19" customFormat="1" ht="21" customHeight="1" x14ac:dyDescent="0.25">
      <c r="A610" s="12">
        <f>IF(B610="","",COUNTA($B$2:B610))</f>
        <v>609</v>
      </c>
      <c r="B610" s="13" t="s">
        <v>894</v>
      </c>
      <c r="C610" s="14"/>
      <c r="D610" s="14" t="s">
        <v>298</v>
      </c>
      <c r="E610" s="14" t="s">
        <v>311</v>
      </c>
      <c r="F610" s="15" t="s">
        <v>311</v>
      </c>
      <c r="G610" s="26" t="s">
        <v>966</v>
      </c>
      <c r="H610" s="13">
        <v>31983</v>
      </c>
      <c r="I610" s="14" t="s">
        <v>492</v>
      </c>
      <c r="J610" s="14" t="s">
        <v>505</v>
      </c>
      <c r="K610" s="13">
        <v>44819</v>
      </c>
      <c r="L610" s="17">
        <v>60</v>
      </c>
      <c r="M610" s="13">
        <f t="shared" si="9"/>
        <v>44879</v>
      </c>
      <c r="N610" s="14"/>
      <c r="O610" s="14" t="s">
        <v>538</v>
      </c>
      <c r="P610" s="14"/>
      <c r="Q610" s="14"/>
      <c r="R610" s="13">
        <v>45017</v>
      </c>
      <c r="S610" s="13" t="s">
        <v>972</v>
      </c>
      <c r="T610" s="24"/>
    </row>
    <row r="611" spans="1:20" s="19" customFormat="1" ht="21" customHeight="1" x14ac:dyDescent="0.25">
      <c r="A611" s="12">
        <f>IF(B611="","",COUNTA($B$2:B611))</f>
        <v>610</v>
      </c>
      <c r="B611" s="20" t="s">
        <v>274</v>
      </c>
      <c r="C611" s="14"/>
      <c r="D611" s="14" t="s">
        <v>298</v>
      </c>
      <c r="E611" s="21" t="s">
        <v>314</v>
      </c>
      <c r="F611" s="22" t="s">
        <v>329</v>
      </c>
      <c r="G611" s="16" t="s">
        <v>355</v>
      </c>
      <c r="H611" s="13">
        <v>31464</v>
      </c>
      <c r="I611" s="20" t="s">
        <v>492</v>
      </c>
      <c r="J611" s="14" t="s">
        <v>935</v>
      </c>
      <c r="K611" s="13">
        <v>44824</v>
      </c>
      <c r="L611" s="17">
        <v>60</v>
      </c>
      <c r="M611" s="13">
        <f t="shared" si="9"/>
        <v>44884</v>
      </c>
      <c r="N611" s="14" t="s">
        <v>495</v>
      </c>
      <c r="O611" s="16" t="s">
        <v>538</v>
      </c>
      <c r="P611" s="16">
        <v>1</v>
      </c>
      <c r="Q611" s="14" t="s">
        <v>499</v>
      </c>
      <c r="R611" s="23"/>
      <c r="S611" s="23"/>
      <c r="T611" s="24"/>
    </row>
    <row r="612" spans="1:20" s="19" customFormat="1" ht="21" customHeight="1" x14ac:dyDescent="0.25">
      <c r="A612" s="12">
        <f>IF(B612="","",COUNTA($B$2:B612))</f>
        <v>611</v>
      </c>
      <c r="B612" s="13" t="s">
        <v>837</v>
      </c>
      <c r="C612" s="14"/>
      <c r="D612" s="14" t="s">
        <v>300</v>
      </c>
      <c r="E612" s="14" t="s">
        <v>311</v>
      </c>
      <c r="F612" s="22" t="s">
        <v>939</v>
      </c>
      <c r="G612" s="16" t="s">
        <v>964</v>
      </c>
      <c r="H612" s="13">
        <v>33774</v>
      </c>
      <c r="I612" s="14" t="s">
        <v>491</v>
      </c>
      <c r="J612" s="14" t="s">
        <v>504</v>
      </c>
      <c r="K612" s="13">
        <v>44824</v>
      </c>
      <c r="L612" s="17">
        <v>60</v>
      </c>
      <c r="M612" s="13">
        <f t="shared" si="9"/>
        <v>44884</v>
      </c>
      <c r="N612" s="14"/>
      <c r="O612" s="14" t="s">
        <v>539</v>
      </c>
      <c r="P612" s="14"/>
      <c r="Q612" s="14"/>
      <c r="R612" s="13">
        <v>44827</v>
      </c>
      <c r="S612" s="13" t="s">
        <v>973</v>
      </c>
      <c r="T612" s="18"/>
    </row>
    <row r="613" spans="1:20" s="19" customFormat="1" ht="21" customHeight="1" x14ac:dyDescent="0.25">
      <c r="A613" s="12">
        <f>IF(B613="","",COUNTA($B$2:B613))</f>
        <v>612</v>
      </c>
      <c r="B613" s="20" t="s">
        <v>117</v>
      </c>
      <c r="C613" s="14"/>
      <c r="D613" s="14" t="s">
        <v>298</v>
      </c>
      <c r="E613" s="21" t="s">
        <v>310</v>
      </c>
      <c r="F613" s="22" t="s">
        <v>414</v>
      </c>
      <c r="G613" s="16" t="s">
        <v>426</v>
      </c>
      <c r="H613" s="13">
        <v>36179</v>
      </c>
      <c r="I613" s="20" t="s">
        <v>491</v>
      </c>
      <c r="J613" s="14" t="s">
        <v>504</v>
      </c>
      <c r="K613" s="13">
        <v>44837</v>
      </c>
      <c r="L613" s="17">
        <v>89</v>
      </c>
      <c r="M613" s="13">
        <f t="shared" si="9"/>
        <v>44926</v>
      </c>
      <c r="N613" s="14" t="s">
        <v>495</v>
      </c>
      <c r="O613" s="16" t="s">
        <v>539</v>
      </c>
      <c r="P613" s="16">
        <v>1</v>
      </c>
      <c r="Q613" s="14" t="s">
        <v>499</v>
      </c>
      <c r="R613" s="23"/>
      <c r="S613" s="23"/>
      <c r="T613" s="24"/>
    </row>
    <row r="614" spans="1:20" s="19" customFormat="1" ht="21" customHeight="1" x14ac:dyDescent="0.25">
      <c r="A614" s="12">
        <f>IF(B614="","",COUNTA($B$2:B614))</f>
        <v>613</v>
      </c>
      <c r="B614" s="20" t="s">
        <v>275</v>
      </c>
      <c r="C614" s="14"/>
      <c r="D614" s="14" t="s">
        <v>298</v>
      </c>
      <c r="E614" s="21" t="s">
        <v>314</v>
      </c>
      <c r="F614" s="22" t="s">
        <v>329</v>
      </c>
      <c r="G614" s="16" t="s">
        <v>355</v>
      </c>
      <c r="H614" s="13">
        <v>31120</v>
      </c>
      <c r="I614" s="20" t="s">
        <v>492</v>
      </c>
      <c r="J614" s="14" t="s">
        <v>504</v>
      </c>
      <c r="K614" s="13">
        <v>44837</v>
      </c>
      <c r="L614" s="17">
        <v>60</v>
      </c>
      <c r="M614" s="13">
        <f t="shared" si="9"/>
        <v>44897</v>
      </c>
      <c r="N614" s="14" t="s">
        <v>495</v>
      </c>
      <c r="O614" s="16" t="s">
        <v>538</v>
      </c>
      <c r="P614" s="16">
        <v>1</v>
      </c>
      <c r="Q614" s="14" t="s">
        <v>499</v>
      </c>
      <c r="R614" s="23"/>
      <c r="S614" s="23"/>
      <c r="T614" s="24"/>
    </row>
    <row r="615" spans="1:20" s="19" customFormat="1" ht="21" customHeight="1" x14ac:dyDescent="0.25">
      <c r="A615" s="12">
        <f>IF(B615="","",COUNTA($B$2:B615))</f>
        <v>614</v>
      </c>
      <c r="B615" s="20" t="s">
        <v>59</v>
      </c>
      <c r="C615" s="14"/>
      <c r="D615" s="14" t="s">
        <v>298</v>
      </c>
      <c r="E615" s="21" t="s">
        <v>305</v>
      </c>
      <c r="F615" s="22" t="s">
        <v>393</v>
      </c>
      <c r="G615" s="16" t="s">
        <v>389</v>
      </c>
      <c r="H615" s="13">
        <v>30574</v>
      </c>
      <c r="I615" s="20" t="s">
        <v>492</v>
      </c>
      <c r="J615" s="14" t="s">
        <v>504</v>
      </c>
      <c r="K615" s="13">
        <v>44844</v>
      </c>
      <c r="L615" s="17"/>
      <c r="M615" s="13">
        <f t="shared" si="9"/>
        <v>44844</v>
      </c>
      <c r="N615" s="14" t="s">
        <v>497</v>
      </c>
      <c r="O615" s="16" t="s">
        <v>538</v>
      </c>
      <c r="P615" s="16"/>
      <c r="Q615" s="14"/>
      <c r="R615" s="23"/>
      <c r="S615" s="23"/>
      <c r="T615" s="24"/>
    </row>
    <row r="616" spans="1:20" s="19" customFormat="1" ht="21" customHeight="1" x14ac:dyDescent="0.25">
      <c r="A616" s="12">
        <f>IF(B616="","",COUNTA($B$2:B616))</f>
        <v>615</v>
      </c>
      <c r="B616" s="20" t="s">
        <v>276</v>
      </c>
      <c r="C616" s="14"/>
      <c r="D616" s="14" t="s">
        <v>300</v>
      </c>
      <c r="E616" s="21" t="s">
        <v>314</v>
      </c>
      <c r="F616" s="22" t="s">
        <v>329</v>
      </c>
      <c r="G616" s="16" t="s">
        <v>356</v>
      </c>
      <c r="H616" s="13">
        <v>34574</v>
      </c>
      <c r="I616" s="20" t="s">
        <v>491</v>
      </c>
      <c r="J616" s="14" t="s">
        <v>936</v>
      </c>
      <c r="K616" s="13">
        <v>44844</v>
      </c>
      <c r="L616" s="17">
        <v>60</v>
      </c>
      <c r="M616" s="13">
        <f t="shared" si="9"/>
        <v>44904</v>
      </c>
      <c r="N616" s="14" t="s">
        <v>495</v>
      </c>
      <c r="O616" s="16" t="s">
        <v>539</v>
      </c>
      <c r="P616" s="16">
        <v>1</v>
      </c>
      <c r="Q616" s="14" t="s">
        <v>499</v>
      </c>
      <c r="R616" s="23"/>
      <c r="S616" s="23"/>
      <c r="T616" s="24"/>
    </row>
    <row r="617" spans="1:20" s="19" customFormat="1" ht="21" customHeight="1" x14ac:dyDescent="0.25">
      <c r="A617" s="12">
        <f>IF(B617="","",COUNTA($B$2:B617))</f>
        <v>616</v>
      </c>
      <c r="B617" s="13" t="s">
        <v>847</v>
      </c>
      <c r="C617" s="14"/>
      <c r="D617" s="14" t="s">
        <v>298</v>
      </c>
      <c r="E617" s="14" t="s">
        <v>314</v>
      </c>
      <c r="F617" s="29" t="s">
        <v>327</v>
      </c>
      <c r="G617" s="16" t="s">
        <v>341</v>
      </c>
      <c r="H617" s="13">
        <v>31595</v>
      </c>
      <c r="I617" s="14" t="s">
        <v>492</v>
      </c>
      <c r="J617" s="14" t="s">
        <v>504</v>
      </c>
      <c r="K617" s="13">
        <v>44844</v>
      </c>
      <c r="L617" s="17">
        <v>60</v>
      </c>
      <c r="M617" s="13">
        <f t="shared" si="9"/>
        <v>44904</v>
      </c>
      <c r="N617" s="14"/>
      <c r="O617" s="14" t="s">
        <v>538</v>
      </c>
      <c r="P617" s="14"/>
      <c r="Q617" s="14"/>
      <c r="R617" s="13">
        <v>44849</v>
      </c>
      <c r="S617" s="13" t="s">
        <v>972</v>
      </c>
      <c r="T617" s="18"/>
    </row>
    <row r="618" spans="1:20" s="19" customFormat="1" ht="21" customHeight="1" x14ac:dyDescent="0.25">
      <c r="A618" s="12">
        <f>IF(B618="","",COUNTA($B$2:B618))</f>
        <v>617</v>
      </c>
      <c r="B618" s="20" t="s">
        <v>149</v>
      </c>
      <c r="C618" s="14"/>
      <c r="D618" s="14" t="s">
        <v>298</v>
      </c>
      <c r="E618" s="21" t="s">
        <v>312</v>
      </c>
      <c r="F618" s="22" t="s">
        <v>956</v>
      </c>
      <c r="G618" s="16" t="s">
        <v>489</v>
      </c>
      <c r="H618" s="13">
        <v>31454</v>
      </c>
      <c r="I618" s="20" t="s">
        <v>492</v>
      </c>
      <c r="J618" s="14" t="s">
        <v>504</v>
      </c>
      <c r="K618" s="13">
        <v>44851</v>
      </c>
      <c r="L618" s="17"/>
      <c r="M618" s="13">
        <f t="shared" si="9"/>
        <v>44851</v>
      </c>
      <c r="N618" s="14" t="s">
        <v>495</v>
      </c>
      <c r="O618" s="16" t="s">
        <v>538</v>
      </c>
      <c r="P618" s="16">
        <v>4</v>
      </c>
      <c r="Q618" s="14" t="s">
        <v>502</v>
      </c>
      <c r="R618" s="23"/>
      <c r="S618" s="23"/>
      <c r="T618" s="24"/>
    </row>
    <row r="619" spans="1:20" s="19" customFormat="1" ht="21" customHeight="1" x14ac:dyDescent="0.25">
      <c r="A619" s="12">
        <f>IF(B619="","",COUNTA($B$2:B619))</f>
        <v>618</v>
      </c>
      <c r="B619" s="20" t="s">
        <v>279</v>
      </c>
      <c r="C619" s="14"/>
      <c r="D619" s="14" t="s">
        <v>299</v>
      </c>
      <c r="E619" s="21" t="s">
        <v>314</v>
      </c>
      <c r="F619" s="22" t="s">
        <v>329</v>
      </c>
      <c r="G619" s="16" t="s">
        <v>357</v>
      </c>
      <c r="H619" s="13">
        <v>35228</v>
      </c>
      <c r="I619" s="20" t="s">
        <v>492</v>
      </c>
      <c r="J619" s="14" t="s">
        <v>506</v>
      </c>
      <c r="K619" s="13">
        <v>44860</v>
      </c>
      <c r="L619" s="17">
        <v>60</v>
      </c>
      <c r="M619" s="13">
        <f t="shared" si="9"/>
        <v>44920</v>
      </c>
      <c r="N619" s="14" t="s">
        <v>495</v>
      </c>
      <c r="O619" s="16" t="s">
        <v>539</v>
      </c>
      <c r="P619" s="16">
        <v>1</v>
      </c>
      <c r="Q619" s="14" t="s">
        <v>499</v>
      </c>
      <c r="R619" s="23"/>
      <c r="S619" s="23"/>
      <c r="T619" s="24"/>
    </row>
    <row r="620" spans="1:20" s="19" customFormat="1" ht="21" customHeight="1" x14ac:dyDescent="0.25">
      <c r="A620" s="12">
        <f>IF(B620="","",COUNTA($B$2:B620))</f>
        <v>619</v>
      </c>
      <c r="B620" s="20" t="s">
        <v>159</v>
      </c>
      <c r="C620" s="14"/>
      <c r="D620" s="14" t="s">
        <v>298</v>
      </c>
      <c r="E620" s="21" t="s">
        <v>311</v>
      </c>
      <c r="F620" s="22" t="s">
        <v>317</v>
      </c>
      <c r="G620" s="16" t="s">
        <v>319</v>
      </c>
      <c r="H620" s="13">
        <v>32444</v>
      </c>
      <c r="I620" s="20" t="s">
        <v>492</v>
      </c>
      <c r="J620" s="14" t="s">
        <v>504</v>
      </c>
      <c r="K620" s="13">
        <v>44865</v>
      </c>
      <c r="L620" s="17">
        <v>61</v>
      </c>
      <c r="M620" s="13">
        <f t="shared" si="9"/>
        <v>44926</v>
      </c>
      <c r="N620" s="14" t="s">
        <v>495</v>
      </c>
      <c r="O620" s="16" t="s">
        <v>539</v>
      </c>
      <c r="P620" s="16">
        <v>1</v>
      </c>
      <c r="Q620" s="14" t="s">
        <v>499</v>
      </c>
      <c r="R620" s="23"/>
      <c r="S620" s="23"/>
      <c r="T620" s="24"/>
    </row>
    <row r="621" spans="1:20" s="19" customFormat="1" ht="21" customHeight="1" x14ac:dyDescent="0.25">
      <c r="A621" s="12">
        <f>IF(B621="","",COUNTA($B$2:B621))</f>
        <v>620</v>
      </c>
      <c r="B621" s="20" t="s">
        <v>57</v>
      </c>
      <c r="C621" s="14"/>
      <c r="D621" s="14" t="s">
        <v>298</v>
      </c>
      <c r="E621" s="21" t="s">
        <v>305</v>
      </c>
      <c r="F621" s="22" t="s">
        <v>393</v>
      </c>
      <c r="G621" s="16" t="s">
        <v>387</v>
      </c>
      <c r="H621" s="13">
        <v>33628</v>
      </c>
      <c r="I621" s="20" t="s">
        <v>492</v>
      </c>
      <c r="J621" s="14" t="s">
        <v>507</v>
      </c>
      <c r="K621" s="13">
        <v>44866</v>
      </c>
      <c r="L621" s="17">
        <v>60</v>
      </c>
      <c r="M621" s="13">
        <f t="shared" si="9"/>
        <v>44926</v>
      </c>
      <c r="N621" s="14" t="s">
        <v>495</v>
      </c>
      <c r="O621" s="16" t="s">
        <v>539</v>
      </c>
      <c r="P621" s="16">
        <v>1</v>
      </c>
      <c r="Q621" s="14" t="s">
        <v>499</v>
      </c>
      <c r="R621" s="23"/>
      <c r="S621" s="23"/>
      <c r="T621" s="24"/>
    </row>
    <row r="622" spans="1:20" s="19" customFormat="1" ht="21" customHeight="1" x14ac:dyDescent="0.25">
      <c r="A622" s="12">
        <f>IF(B622="","",COUNTA($B$2:B622))</f>
        <v>621</v>
      </c>
      <c r="B622" s="13" t="s">
        <v>868</v>
      </c>
      <c r="C622" s="14"/>
      <c r="D622" s="14" t="s">
        <v>298</v>
      </c>
      <c r="E622" s="14" t="s">
        <v>304</v>
      </c>
      <c r="F622" s="15" t="s">
        <v>367</v>
      </c>
      <c r="G622" s="26" t="s">
        <v>945</v>
      </c>
      <c r="H622" s="13">
        <v>36725</v>
      </c>
      <c r="I622" s="14" t="s">
        <v>491</v>
      </c>
      <c r="J622" s="14" t="s">
        <v>504</v>
      </c>
      <c r="K622" s="13">
        <v>44873</v>
      </c>
      <c r="L622" s="17">
        <v>60</v>
      </c>
      <c r="M622" s="13">
        <f t="shared" si="9"/>
        <v>44933</v>
      </c>
      <c r="N622" s="14"/>
      <c r="O622" s="14" t="s">
        <v>539</v>
      </c>
      <c r="P622" s="14"/>
      <c r="Q622" s="14"/>
      <c r="R622" s="13">
        <v>44946</v>
      </c>
      <c r="S622" s="13" t="s">
        <v>973</v>
      </c>
      <c r="T622" s="18"/>
    </row>
    <row r="623" spans="1:20" s="19" customFormat="1" ht="21" customHeight="1" x14ac:dyDescent="0.25">
      <c r="A623" s="12">
        <f>IF(B623="","",COUNTA($B$2:B623))</f>
        <v>622</v>
      </c>
      <c r="B623" s="20" t="s">
        <v>156</v>
      </c>
      <c r="C623" s="14"/>
      <c r="D623" s="14" t="s">
        <v>298</v>
      </c>
      <c r="E623" s="21" t="s">
        <v>311</v>
      </c>
      <c r="F623" s="22" t="s">
        <v>316</v>
      </c>
      <c r="G623" s="16" t="s">
        <v>320</v>
      </c>
      <c r="H623" s="13">
        <v>33491</v>
      </c>
      <c r="I623" s="20" t="s">
        <v>492</v>
      </c>
      <c r="J623" s="14" t="s">
        <v>504</v>
      </c>
      <c r="K623" s="13">
        <v>44874</v>
      </c>
      <c r="L623" s="17"/>
      <c r="M623" s="13">
        <f t="shared" si="9"/>
        <v>44874</v>
      </c>
      <c r="N623" s="14" t="s">
        <v>495</v>
      </c>
      <c r="O623" s="16" t="s">
        <v>538</v>
      </c>
      <c r="P623" s="16">
        <v>1</v>
      </c>
      <c r="Q623" s="14" t="s">
        <v>499</v>
      </c>
      <c r="R623" s="23"/>
      <c r="S623" s="23"/>
      <c r="T623" s="24"/>
    </row>
    <row r="624" spans="1:20" s="19" customFormat="1" ht="21" customHeight="1" x14ac:dyDescent="0.25">
      <c r="A624" s="12">
        <f>IF(B624="","",COUNTA($B$2:B624))</f>
        <v>623</v>
      </c>
      <c r="B624" s="20" t="s">
        <v>76</v>
      </c>
      <c r="C624" s="14"/>
      <c r="D624" s="14" t="s">
        <v>298</v>
      </c>
      <c r="E624" s="21" t="s">
        <v>308</v>
      </c>
      <c r="F624" s="22" t="s">
        <v>441</v>
      </c>
      <c r="G624" s="16" t="s">
        <v>444</v>
      </c>
      <c r="H624" s="13">
        <v>33791</v>
      </c>
      <c r="I624" s="20" t="s">
        <v>492</v>
      </c>
      <c r="J624" s="14" t="s">
        <v>504</v>
      </c>
      <c r="K624" s="13">
        <v>44879</v>
      </c>
      <c r="L624" s="17">
        <v>60</v>
      </c>
      <c r="M624" s="13">
        <f t="shared" si="9"/>
        <v>44939</v>
      </c>
      <c r="N624" s="14" t="s">
        <v>495</v>
      </c>
      <c r="O624" s="16" t="s">
        <v>539</v>
      </c>
      <c r="P624" s="16">
        <v>1</v>
      </c>
      <c r="Q624" s="14" t="s">
        <v>499</v>
      </c>
      <c r="R624" s="23"/>
      <c r="S624" s="23"/>
      <c r="T624" s="24"/>
    </row>
    <row r="625" spans="1:20" s="19" customFormat="1" ht="21" customHeight="1" x14ac:dyDescent="0.25">
      <c r="A625" s="12">
        <f>IF(B625="","",COUNTA($B$2:B625))</f>
        <v>624</v>
      </c>
      <c r="B625" s="20" t="s">
        <v>46</v>
      </c>
      <c r="C625" s="14"/>
      <c r="D625" s="14" t="s">
        <v>298</v>
      </c>
      <c r="E625" s="21" t="s">
        <v>304</v>
      </c>
      <c r="F625" s="22" t="s">
        <v>315</v>
      </c>
      <c r="G625" s="16" t="s">
        <v>381</v>
      </c>
      <c r="H625" s="13">
        <v>33705</v>
      </c>
      <c r="I625" s="20" t="s">
        <v>491</v>
      </c>
      <c r="J625" s="14" t="s">
        <v>504</v>
      </c>
      <c r="K625" s="13">
        <v>44880</v>
      </c>
      <c r="L625" s="17">
        <v>60</v>
      </c>
      <c r="M625" s="13">
        <f t="shared" si="9"/>
        <v>44940</v>
      </c>
      <c r="N625" s="14" t="s">
        <v>495</v>
      </c>
      <c r="O625" s="16" t="s">
        <v>538</v>
      </c>
      <c r="P625" s="16">
        <v>1</v>
      </c>
      <c r="Q625" s="14" t="s">
        <v>499</v>
      </c>
      <c r="R625" s="23"/>
      <c r="S625" s="23"/>
      <c r="T625" s="24"/>
    </row>
    <row r="626" spans="1:20" s="19" customFormat="1" ht="21" customHeight="1" x14ac:dyDescent="0.25">
      <c r="A626" s="12">
        <f>IF(B626="","",COUNTA($B$2:B626))</f>
        <v>625</v>
      </c>
      <c r="B626" s="20" t="s">
        <v>114</v>
      </c>
      <c r="C626" s="14"/>
      <c r="D626" s="14" t="s">
        <v>298</v>
      </c>
      <c r="E626" s="21" t="s">
        <v>310</v>
      </c>
      <c r="F626" s="22" t="s">
        <v>413</v>
      </c>
      <c r="G626" s="16" t="s">
        <v>423</v>
      </c>
      <c r="H626" s="13">
        <v>30245</v>
      </c>
      <c r="I626" s="20" t="s">
        <v>491</v>
      </c>
      <c r="J626" s="14" t="s">
        <v>504</v>
      </c>
      <c r="K626" s="13">
        <v>44880</v>
      </c>
      <c r="L626" s="17">
        <v>60</v>
      </c>
      <c r="M626" s="13">
        <f t="shared" si="9"/>
        <v>44940</v>
      </c>
      <c r="N626" s="14" t="s">
        <v>495</v>
      </c>
      <c r="O626" s="16" t="s">
        <v>538</v>
      </c>
      <c r="P626" s="16">
        <v>1</v>
      </c>
      <c r="Q626" s="14" t="s">
        <v>499</v>
      </c>
      <c r="R626" s="23"/>
      <c r="S626" s="23"/>
      <c r="T626" s="24"/>
    </row>
    <row r="627" spans="1:20" s="19" customFormat="1" ht="21" customHeight="1" x14ac:dyDescent="0.25">
      <c r="A627" s="12">
        <f>IF(B627="","",COUNTA($B$2:B627))</f>
        <v>626</v>
      </c>
      <c r="B627" s="13" t="s">
        <v>869</v>
      </c>
      <c r="C627" s="14"/>
      <c r="D627" s="14" t="s">
        <v>298</v>
      </c>
      <c r="E627" s="14" t="s">
        <v>314</v>
      </c>
      <c r="F627" s="15" t="s">
        <v>329</v>
      </c>
      <c r="G627" s="16" t="s">
        <v>353</v>
      </c>
      <c r="H627" s="13">
        <v>33018</v>
      </c>
      <c r="I627" s="14" t="s">
        <v>492</v>
      </c>
      <c r="J627" s="14" t="s">
        <v>504</v>
      </c>
      <c r="K627" s="13">
        <v>44880</v>
      </c>
      <c r="L627" s="17">
        <v>60</v>
      </c>
      <c r="M627" s="13">
        <f t="shared" si="9"/>
        <v>44940</v>
      </c>
      <c r="N627" s="14"/>
      <c r="O627" s="14" t="s">
        <v>538</v>
      </c>
      <c r="P627" s="14"/>
      <c r="Q627" s="14"/>
      <c r="R627" s="13">
        <v>44946</v>
      </c>
      <c r="S627" s="13" t="s">
        <v>977</v>
      </c>
      <c r="T627" s="18"/>
    </row>
    <row r="628" spans="1:20" s="19" customFormat="1" ht="21" customHeight="1" x14ac:dyDescent="0.25">
      <c r="A628" s="12">
        <f>IF(B628="","",COUNTA($B$2:B628))</f>
        <v>627</v>
      </c>
      <c r="B628" s="20" t="s">
        <v>66</v>
      </c>
      <c r="C628" s="14"/>
      <c r="D628" s="14" t="s">
        <v>298</v>
      </c>
      <c r="E628" s="21" t="s">
        <v>307</v>
      </c>
      <c r="F628" s="22" t="s">
        <v>433</v>
      </c>
      <c r="G628" s="16" t="s">
        <v>437</v>
      </c>
      <c r="H628" s="13">
        <v>34450</v>
      </c>
      <c r="I628" s="20" t="s">
        <v>492</v>
      </c>
      <c r="J628" s="14" t="s">
        <v>504</v>
      </c>
      <c r="K628" s="13">
        <v>44886</v>
      </c>
      <c r="L628" s="17">
        <v>60</v>
      </c>
      <c r="M628" s="13">
        <f t="shared" si="9"/>
        <v>44946</v>
      </c>
      <c r="N628" s="14" t="s">
        <v>495</v>
      </c>
      <c r="O628" s="16" t="s">
        <v>538</v>
      </c>
      <c r="P628" s="16">
        <v>1</v>
      </c>
      <c r="Q628" s="14" t="s">
        <v>499</v>
      </c>
      <c r="R628" s="23"/>
      <c r="S628" s="23"/>
      <c r="T628" s="24"/>
    </row>
    <row r="629" spans="1:20" s="19" customFormat="1" ht="21" customHeight="1" x14ac:dyDescent="0.25">
      <c r="A629" s="12">
        <f>IF(B629="","",COUNTA($B$2:B629))</f>
        <v>628</v>
      </c>
      <c r="B629" s="20" t="s">
        <v>77</v>
      </c>
      <c r="C629" s="14"/>
      <c r="D629" s="14" t="s">
        <v>298</v>
      </c>
      <c r="E629" s="21" t="s">
        <v>308</v>
      </c>
      <c r="F629" s="22" t="s">
        <v>441</v>
      </c>
      <c r="G629" s="16" t="s">
        <v>444</v>
      </c>
      <c r="H629" s="13">
        <v>34457</v>
      </c>
      <c r="I629" s="20" t="s">
        <v>491</v>
      </c>
      <c r="J629" s="14" t="s">
        <v>504</v>
      </c>
      <c r="K629" s="13">
        <v>44888</v>
      </c>
      <c r="L629" s="17">
        <v>60</v>
      </c>
      <c r="M629" s="13">
        <f t="shared" si="9"/>
        <v>44948</v>
      </c>
      <c r="N629" s="14" t="s">
        <v>495</v>
      </c>
      <c r="O629" s="16" t="s">
        <v>538</v>
      </c>
      <c r="P629" s="16">
        <v>1</v>
      </c>
      <c r="Q629" s="14" t="s">
        <v>499</v>
      </c>
      <c r="R629" s="23"/>
      <c r="S629" s="23"/>
      <c r="T629" s="24"/>
    </row>
    <row r="630" spans="1:20" s="19" customFormat="1" ht="21" customHeight="1" x14ac:dyDescent="0.25">
      <c r="A630" s="12">
        <f>IF(B630="","",COUNTA($B$2:B630))</f>
        <v>629</v>
      </c>
      <c r="B630" s="13" t="s">
        <v>861</v>
      </c>
      <c r="C630" s="14"/>
      <c r="D630" s="14" t="s">
        <v>298</v>
      </c>
      <c r="E630" s="14" t="s">
        <v>314</v>
      </c>
      <c r="F630" s="15" t="s">
        <v>330</v>
      </c>
      <c r="G630" s="16" t="s">
        <v>364</v>
      </c>
      <c r="H630" s="13">
        <v>33765</v>
      </c>
      <c r="I630" s="14" t="s">
        <v>492</v>
      </c>
      <c r="J630" s="14" t="s">
        <v>507</v>
      </c>
      <c r="K630" s="13">
        <v>44889</v>
      </c>
      <c r="L630" s="17">
        <v>60</v>
      </c>
      <c r="M630" s="13">
        <f t="shared" si="9"/>
        <v>44949</v>
      </c>
      <c r="N630" s="14"/>
      <c r="O630" s="14" t="s">
        <v>538</v>
      </c>
      <c r="P630" s="14"/>
      <c r="Q630" s="14"/>
      <c r="R630" s="13">
        <v>44897</v>
      </c>
      <c r="S630" s="13" t="s">
        <v>973</v>
      </c>
      <c r="T630" s="18"/>
    </row>
    <row r="631" spans="1:20" s="19" customFormat="1" ht="21" customHeight="1" x14ac:dyDescent="0.25">
      <c r="A631" s="12">
        <f>IF(B631="","",COUNTA($B$2:B631))</f>
        <v>630</v>
      </c>
      <c r="B631" s="13" t="s">
        <v>857</v>
      </c>
      <c r="C631" s="14"/>
      <c r="D631" s="14" t="s">
        <v>298</v>
      </c>
      <c r="E631" s="14" t="s">
        <v>305</v>
      </c>
      <c r="F631" s="15" t="s">
        <v>393</v>
      </c>
      <c r="G631" s="16" t="s">
        <v>384</v>
      </c>
      <c r="H631" s="13">
        <v>32359</v>
      </c>
      <c r="I631" s="14" t="s">
        <v>492</v>
      </c>
      <c r="J631" s="14" t="s">
        <v>504</v>
      </c>
      <c r="K631" s="13">
        <v>44893</v>
      </c>
      <c r="L631" s="17">
        <v>60</v>
      </c>
      <c r="M631" s="13">
        <f t="shared" si="9"/>
        <v>44953</v>
      </c>
      <c r="N631" s="14"/>
      <c r="O631" s="14" t="s">
        <v>538</v>
      </c>
      <c r="P631" s="14"/>
      <c r="Q631" s="14"/>
      <c r="R631" s="13">
        <v>44895</v>
      </c>
      <c r="S631" s="13" t="s">
        <v>977</v>
      </c>
      <c r="T631" s="18"/>
    </row>
    <row r="632" spans="1:20" s="19" customFormat="1" ht="21" customHeight="1" x14ac:dyDescent="0.25">
      <c r="A632" s="12">
        <f>IF(B632="","",COUNTA($B$2:B632))</f>
        <v>631</v>
      </c>
      <c r="B632" s="13" t="s">
        <v>931</v>
      </c>
      <c r="C632" s="14"/>
      <c r="D632" s="14" t="s">
        <v>299</v>
      </c>
      <c r="E632" s="14" t="s">
        <v>313</v>
      </c>
      <c r="F632" s="15" t="s">
        <v>944</v>
      </c>
      <c r="G632" s="14" t="s">
        <v>457</v>
      </c>
      <c r="H632" s="13">
        <v>32767</v>
      </c>
      <c r="I632" s="14" t="s">
        <v>492</v>
      </c>
      <c r="J632" s="14" t="s">
        <v>504</v>
      </c>
      <c r="K632" s="13">
        <v>44900</v>
      </c>
      <c r="L632" s="17">
        <v>60</v>
      </c>
      <c r="M632" s="13">
        <f t="shared" si="9"/>
        <v>44960</v>
      </c>
      <c r="N632" s="14"/>
      <c r="O632" s="14" t="s">
        <v>538</v>
      </c>
      <c r="P632" s="14"/>
      <c r="Q632" s="14"/>
      <c r="R632" s="13">
        <v>45155</v>
      </c>
      <c r="S632" s="13" t="s">
        <v>975</v>
      </c>
      <c r="T632" s="24"/>
    </row>
    <row r="633" spans="1:20" s="19" customFormat="1" ht="21" customHeight="1" x14ac:dyDescent="0.25">
      <c r="A633" s="12">
        <f>IF(B633="","",COUNTA($B$2:B633))</f>
        <v>632</v>
      </c>
      <c r="B633" s="20" t="s">
        <v>78</v>
      </c>
      <c r="C633" s="14"/>
      <c r="D633" s="14" t="s">
        <v>298</v>
      </c>
      <c r="E633" s="21" t="s">
        <v>308</v>
      </c>
      <c r="F633" s="22" t="s">
        <v>441</v>
      </c>
      <c r="G633" s="16" t="s">
        <v>445</v>
      </c>
      <c r="H633" s="13">
        <v>34249</v>
      </c>
      <c r="I633" s="20" t="s">
        <v>492</v>
      </c>
      <c r="J633" s="14" t="s">
        <v>504</v>
      </c>
      <c r="K633" s="13">
        <v>44904</v>
      </c>
      <c r="L633" s="17">
        <v>60</v>
      </c>
      <c r="M633" s="13">
        <f t="shared" si="9"/>
        <v>44964</v>
      </c>
      <c r="N633" s="14" t="s">
        <v>495</v>
      </c>
      <c r="O633" s="16" t="s">
        <v>538</v>
      </c>
      <c r="P633" s="16">
        <v>1</v>
      </c>
      <c r="Q633" s="14" t="s">
        <v>499</v>
      </c>
      <c r="R633" s="23"/>
      <c r="S633" s="23"/>
      <c r="T633" s="24"/>
    </row>
    <row r="634" spans="1:20" s="19" customFormat="1" ht="21" customHeight="1" x14ac:dyDescent="0.25">
      <c r="A634" s="12">
        <f>IF(B634="","",COUNTA($B$2:B634))</f>
        <v>633</v>
      </c>
      <c r="B634" s="20" t="s">
        <v>121</v>
      </c>
      <c r="C634" s="14"/>
      <c r="D634" s="14" t="s">
        <v>298</v>
      </c>
      <c r="E634" s="21" t="s">
        <v>312</v>
      </c>
      <c r="F634" s="22" t="s">
        <v>956</v>
      </c>
      <c r="G634" s="16" t="s">
        <v>488</v>
      </c>
      <c r="H634" s="26">
        <v>35796</v>
      </c>
      <c r="I634" s="20" t="s">
        <v>492</v>
      </c>
      <c r="J634" s="14" t="s">
        <v>504</v>
      </c>
      <c r="K634" s="13">
        <v>44909</v>
      </c>
      <c r="L634" s="17"/>
      <c r="M634" s="13">
        <f t="shared" si="9"/>
        <v>44909</v>
      </c>
      <c r="N634" s="14" t="s">
        <v>497</v>
      </c>
      <c r="O634" s="16" t="s">
        <v>539</v>
      </c>
      <c r="P634" s="16"/>
      <c r="Q634" s="14" t="s">
        <v>543</v>
      </c>
      <c r="R634" s="23"/>
      <c r="S634" s="23"/>
      <c r="T634" s="24"/>
    </row>
    <row r="635" spans="1:20" s="19" customFormat="1" ht="21" customHeight="1" x14ac:dyDescent="0.25">
      <c r="A635" s="12">
        <f>IF(B635="","",COUNTA($B$2:B635))</f>
        <v>634</v>
      </c>
      <c r="B635" s="20" t="s">
        <v>112</v>
      </c>
      <c r="C635" s="14"/>
      <c r="D635" s="14" t="s">
        <v>298</v>
      </c>
      <c r="E635" s="21" t="s">
        <v>310</v>
      </c>
      <c r="F635" s="22" t="s">
        <v>412</v>
      </c>
      <c r="G635" s="16" t="s">
        <v>421</v>
      </c>
      <c r="H635" s="13">
        <v>33918</v>
      </c>
      <c r="I635" s="20" t="s">
        <v>491</v>
      </c>
      <c r="J635" s="14" t="s">
        <v>504</v>
      </c>
      <c r="K635" s="13">
        <v>44910</v>
      </c>
      <c r="L635" s="17">
        <v>90</v>
      </c>
      <c r="M635" s="13">
        <f t="shared" si="9"/>
        <v>45000</v>
      </c>
      <c r="N635" s="14" t="s">
        <v>497</v>
      </c>
      <c r="O635" s="16" t="s">
        <v>539</v>
      </c>
      <c r="P635" s="16"/>
      <c r="Q635" s="14" t="s">
        <v>968</v>
      </c>
      <c r="R635" s="23"/>
      <c r="S635" s="23"/>
      <c r="T635" s="24"/>
    </row>
    <row r="636" spans="1:20" s="19" customFormat="1" ht="21" customHeight="1" x14ac:dyDescent="0.25">
      <c r="A636" s="12">
        <f>IF(B636="","",COUNTA($B$2:B636))</f>
        <v>635</v>
      </c>
      <c r="B636" s="13" t="s">
        <v>912</v>
      </c>
      <c r="C636" s="14"/>
      <c r="D636" s="14" t="s">
        <v>300</v>
      </c>
      <c r="E636" s="14" t="s">
        <v>314</v>
      </c>
      <c r="F636" s="15" t="s">
        <v>328</v>
      </c>
      <c r="G636" s="16" t="s">
        <v>349</v>
      </c>
      <c r="H636" s="13">
        <v>32691</v>
      </c>
      <c r="I636" s="14" t="s">
        <v>491</v>
      </c>
      <c r="J636" s="14" t="s">
        <v>504</v>
      </c>
      <c r="K636" s="13">
        <v>44914</v>
      </c>
      <c r="L636" s="17">
        <v>60</v>
      </c>
      <c r="M636" s="13">
        <f t="shared" si="9"/>
        <v>44974</v>
      </c>
      <c r="N636" s="14"/>
      <c r="O636" s="14" t="s">
        <v>538</v>
      </c>
      <c r="P636" s="14"/>
      <c r="Q636" s="14"/>
      <c r="R636" s="13">
        <v>45088</v>
      </c>
      <c r="S636" s="13" t="s">
        <v>977</v>
      </c>
      <c r="T636" s="24"/>
    </row>
    <row r="637" spans="1:20" s="19" customFormat="1" ht="21" customHeight="1" x14ac:dyDescent="0.25">
      <c r="A637" s="12">
        <f>IF(B637="","",COUNTA($B$2:B637))</f>
        <v>636</v>
      </c>
      <c r="B637" s="20" t="s">
        <v>79</v>
      </c>
      <c r="C637" s="14"/>
      <c r="D637" s="14" t="s">
        <v>298</v>
      </c>
      <c r="E637" s="21" t="s">
        <v>308</v>
      </c>
      <c r="F637" s="22" t="s">
        <v>441</v>
      </c>
      <c r="G637" s="16" t="s">
        <v>444</v>
      </c>
      <c r="H637" s="13">
        <v>33561</v>
      </c>
      <c r="I637" s="20" t="s">
        <v>492</v>
      </c>
      <c r="J637" s="14" t="s">
        <v>504</v>
      </c>
      <c r="K637" s="13">
        <v>44915</v>
      </c>
      <c r="L637" s="17">
        <v>60</v>
      </c>
      <c r="M637" s="13">
        <f t="shared" si="9"/>
        <v>44975</v>
      </c>
      <c r="N637" s="14" t="s">
        <v>495</v>
      </c>
      <c r="O637" s="16" t="s">
        <v>538</v>
      </c>
      <c r="P637" s="16">
        <v>1</v>
      </c>
      <c r="Q637" s="14" t="s">
        <v>499</v>
      </c>
      <c r="R637" s="23"/>
      <c r="S637" s="23"/>
      <c r="T637" s="24"/>
    </row>
    <row r="638" spans="1:20" s="19" customFormat="1" ht="21" customHeight="1" x14ac:dyDescent="0.25">
      <c r="A638" s="12">
        <f>IF(B638="","",COUNTA($B$2:B638))</f>
        <v>637</v>
      </c>
      <c r="B638" s="20" t="s">
        <v>141</v>
      </c>
      <c r="C638" s="14"/>
      <c r="D638" s="14" t="s">
        <v>298</v>
      </c>
      <c r="E638" s="21" t="s">
        <v>306</v>
      </c>
      <c r="F638" s="22" t="s">
        <v>306</v>
      </c>
      <c r="G638" s="16" t="s">
        <v>432</v>
      </c>
      <c r="H638" s="13">
        <v>33369</v>
      </c>
      <c r="I638" s="20" t="s">
        <v>491</v>
      </c>
      <c r="J638" s="14" t="s">
        <v>504</v>
      </c>
      <c r="K638" s="13">
        <v>44917</v>
      </c>
      <c r="L638" s="17">
        <v>60</v>
      </c>
      <c r="M638" s="13">
        <f t="shared" si="9"/>
        <v>44977</v>
      </c>
      <c r="N638" s="14" t="s">
        <v>495</v>
      </c>
      <c r="O638" s="16" t="s">
        <v>539</v>
      </c>
      <c r="P638" s="16">
        <v>1</v>
      </c>
      <c r="Q638" s="14" t="s">
        <v>499</v>
      </c>
      <c r="R638" s="23"/>
      <c r="S638" s="23"/>
      <c r="T638" s="24"/>
    </row>
    <row r="639" spans="1:20" s="19" customFormat="1" ht="21" customHeight="1" x14ac:dyDescent="0.25">
      <c r="A639" s="12">
        <f>IF(B639="","",COUNTA($B$2:B639))</f>
        <v>638</v>
      </c>
      <c r="B639" s="20" t="s">
        <v>206</v>
      </c>
      <c r="C639" s="14"/>
      <c r="D639" s="14" t="s">
        <v>298</v>
      </c>
      <c r="E639" s="21" t="s">
        <v>313</v>
      </c>
      <c r="F639" s="22" t="s">
        <v>448</v>
      </c>
      <c r="G639" s="16" t="s">
        <v>374</v>
      </c>
      <c r="H639" s="13">
        <v>31913</v>
      </c>
      <c r="I639" s="20" t="s">
        <v>492</v>
      </c>
      <c r="J639" s="14" t="s">
        <v>504</v>
      </c>
      <c r="K639" s="13">
        <v>44917</v>
      </c>
      <c r="L639" s="17">
        <v>60</v>
      </c>
      <c r="M639" s="13">
        <f t="shared" si="9"/>
        <v>44977</v>
      </c>
      <c r="N639" s="14" t="s">
        <v>495</v>
      </c>
      <c r="O639" s="16" t="s">
        <v>538</v>
      </c>
      <c r="P639" s="16">
        <v>1</v>
      </c>
      <c r="Q639" s="14" t="s">
        <v>499</v>
      </c>
      <c r="R639" s="23"/>
      <c r="S639" s="23"/>
      <c r="T639" s="24"/>
    </row>
    <row r="640" spans="1:20" s="19" customFormat="1" ht="21" customHeight="1" x14ac:dyDescent="0.25">
      <c r="A640" s="12">
        <f>IF(B640="","",COUNTA($B$2:B640))</f>
        <v>639</v>
      </c>
      <c r="B640" s="20" t="s">
        <v>110</v>
      </c>
      <c r="C640" s="14"/>
      <c r="D640" s="14" t="s">
        <v>298</v>
      </c>
      <c r="E640" s="21" t="s">
        <v>310</v>
      </c>
      <c r="F640" s="22" t="s">
        <v>415</v>
      </c>
      <c r="G640" s="16" t="s">
        <v>419</v>
      </c>
      <c r="H640" s="13">
        <v>34713</v>
      </c>
      <c r="I640" s="20" t="s">
        <v>491</v>
      </c>
      <c r="J640" s="14" t="s">
        <v>504</v>
      </c>
      <c r="K640" s="13">
        <v>44921</v>
      </c>
      <c r="L640" s="17">
        <v>60</v>
      </c>
      <c r="M640" s="13">
        <f t="shared" si="9"/>
        <v>44981</v>
      </c>
      <c r="N640" s="14" t="s">
        <v>495</v>
      </c>
      <c r="O640" s="16" t="s">
        <v>539</v>
      </c>
      <c r="P640" s="16">
        <v>1</v>
      </c>
      <c r="Q640" s="14" t="s">
        <v>499</v>
      </c>
      <c r="R640" s="23"/>
      <c r="S640" s="23"/>
      <c r="T640" s="24"/>
    </row>
    <row r="641" spans="1:20" s="19" customFormat="1" ht="21" customHeight="1" x14ac:dyDescent="0.25">
      <c r="A641" s="12">
        <f>IF(B641="","",COUNTA($B$2:B641))</f>
        <v>640</v>
      </c>
      <c r="B641" s="20" t="s">
        <v>177</v>
      </c>
      <c r="C641" s="14"/>
      <c r="D641" s="14" t="s">
        <v>300</v>
      </c>
      <c r="E641" s="21" t="s">
        <v>311</v>
      </c>
      <c r="F641" s="22" t="s">
        <v>316</v>
      </c>
      <c r="G641" s="16" t="s">
        <v>320</v>
      </c>
      <c r="H641" s="13">
        <v>34490</v>
      </c>
      <c r="I641" s="20" t="s">
        <v>492</v>
      </c>
      <c r="J641" s="14" t="s">
        <v>504</v>
      </c>
      <c r="K641" s="13">
        <v>44929</v>
      </c>
      <c r="L641" s="17">
        <v>60</v>
      </c>
      <c r="M641" s="13">
        <f t="shared" si="9"/>
        <v>44989</v>
      </c>
      <c r="N641" s="14" t="s">
        <v>495</v>
      </c>
      <c r="O641" s="16" t="s">
        <v>538</v>
      </c>
      <c r="P641" s="16">
        <v>1</v>
      </c>
      <c r="Q641" s="14" t="s">
        <v>499</v>
      </c>
      <c r="R641" s="23"/>
      <c r="S641" s="23"/>
      <c r="T641" s="24"/>
    </row>
    <row r="642" spans="1:20" s="19" customFormat="1" ht="21" customHeight="1" x14ac:dyDescent="0.25">
      <c r="A642" s="12">
        <f>IF(B642="","",COUNTA($B$2:B642))</f>
        <v>641</v>
      </c>
      <c r="B642" s="20" t="s">
        <v>194</v>
      </c>
      <c r="C642" s="14"/>
      <c r="D642" s="14" t="s">
        <v>299</v>
      </c>
      <c r="E642" s="21" t="s">
        <v>311</v>
      </c>
      <c r="F642" s="22" t="s">
        <v>315</v>
      </c>
      <c r="G642" s="16" t="s">
        <v>315</v>
      </c>
      <c r="H642" s="13">
        <v>35865</v>
      </c>
      <c r="I642" s="20" t="s">
        <v>491</v>
      </c>
      <c r="J642" s="14" t="s">
        <v>504</v>
      </c>
      <c r="K642" s="13">
        <v>44929</v>
      </c>
      <c r="L642" s="17">
        <v>60</v>
      </c>
      <c r="M642" s="13">
        <f t="shared" ref="M642:M651" si="10">K642+L642</f>
        <v>44989</v>
      </c>
      <c r="N642" s="14" t="s">
        <v>495</v>
      </c>
      <c r="O642" s="16" t="s">
        <v>539</v>
      </c>
      <c r="P642" s="16">
        <v>1</v>
      </c>
      <c r="Q642" s="14" t="s">
        <v>499</v>
      </c>
      <c r="R642" s="23"/>
      <c r="S642" s="23"/>
      <c r="T642" s="24"/>
    </row>
    <row r="643" spans="1:20" s="19" customFormat="1" ht="21" customHeight="1" x14ac:dyDescent="0.25">
      <c r="A643" s="12">
        <f>IF(B643="","",COUNTA($B$2:B643))</f>
        <v>642</v>
      </c>
      <c r="B643" s="13" t="s">
        <v>933</v>
      </c>
      <c r="C643" s="14"/>
      <c r="D643" s="14" t="s">
        <v>298</v>
      </c>
      <c r="E643" s="14" t="s">
        <v>305</v>
      </c>
      <c r="F643" s="15" t="s">
        <v>393</v>
      </c>
      <c r="G643" s="16" t="s">
        <v>384</v>
      </c>
      <c r="H643" s="13">
        <v>36174</v>
      </c>
      <c r="I643" s="14" t="s">
        <v>492</v>
      </c>
      <c r="J643" s="14" t="s">
        <v>504</v>
      </c>
      <c r="K643" s="13">
        <v>44935</v>
      </c>
      <c r="L643" s="17">
        <v>60</v>
      </c>
      <c r="M643" s="13">
        <f t="shared" si="10"/>
        <v>44995</v>
      </c>
      <c r="N643" s="14"/>
      <c r="O643" s="14" t="s">
        <v>539</v>
      </c>
      <c r="P643" s="14"/>
      <c r="Q643" s="14"/>
      <c r="R643" s="13">
        <v>45170</v>
      </c>
      <c r="S643" s="13" t="s">
        <v>973</v>
      </c>
      <c r="T643" s="24"/>
    </row>
    <row r="644" spans="1:20" s="19" customFormat="1" ht="21" customHeight="1" x14ac:dyDescent="0.25">
      <c r="A644" s="12">
        <f>IF(B644="","",COUNTA($B$2:B644))</f>
        <v>643</v>
      </c>
      <c r="B644" s="20" t="s">
        <v>280</v>
      </c>
      <c r="C644" s="14"/>
      <c r="D644" s="14" t="s">
        <v>299</v>
      </c>
      <c r="E644" s="21" t="s">
        <v>314</v>
      </c>
      <c r="F644" s="22" t="s">
        <v>329</v>
      </c>
      <c r="G644" s="16" t="s">
        <v>353</v>
      </c>
      <c r="H644" s="13">
        <v>34211</v>
      </c>
      <c r="I644" s="20" t="s">
        <v>492</v>
      </c>
      <c r="J644" s="14" t="s">
        <v>935</v>
      </c>
      <c r="K644" s="13">
        <v>44936</v>
      </c>
      <c r="L644" s="17">
        <v>60</v>
      </c>
      <c r="M644" s="13">
        <f t="shared" si="10"/>
        <v>44996</v>
      </c>
      <c r="N644" s="14" t="s">
        <v>495</v>
      </c>
      <c r="O644" s="16" t="s">
        <v>539</v>
      </c>
      <c r="P644" s="16">
        <v>1</v>
      </c>
      <c r="Q644" s="14" t="s">
        <v>499</v>
      </c>
      <c r="R644" s="23"/>
      <c r="S644" s="23"/>
      <c r="T644" s="24"/>
    </row>
    <row r="645" spans="1:20" s="19" customFormat="1" ht="21" customHeight="1" x14ac:dyDescent="0.25">
      <c r="A645" s="12">
        <f>IF(B645="","",COUNTA($B$2:B645))</f>
        <v>644</v>
      </c>
      <c r="B645" s="13" t="s">
        <v>924</v>
      </c>
      <c r="C645" s="14"/>
      <c r="D645" s="14" t="s">
        <v>299</v>
      </c>
      <c r="E645" s="14" t="s">
        <v>311</v>
      </c>
      <c r="F645" s="22" t="s">
        <v>318</v>
      </c>
      <c r="G645" s="16" t="s">
        <v>320</v>
      </c>
      <c r="H645" s="13">
        <v>34593</v>
      </c>
      <c r="I645" s="14" t="s">
        <v>492</v>
      </c>
      <c r="J645" s="14" t="s">
        <v>507</v>
      </c>
      <c r="K645" s="13">
        <v>44942</v>
      </c>
      <c r="L645" s="17">
        <v>60</v>
      </c>
      <c r="M645" s="13">
        <f t="shared" si="10"/>
        <v>45002</v>
      </c>
      <c r="N645" s="14"/>
      <c r="O645" s="14" t="s">
        <v>539</v>
      </c>
      <c r="P645" s="14"/>
      <c r="Q645" s="14"/>
      <c r="R645" s="13">
        <v>45133</v>
      </c>
      <c r="S645" s="13" t="s">
        <v>976</v>
      </c>
      <c r="T645" s="24"/>
    </row>
    <row r="646" spans="1:20" s="19" customFormat="1" ht="21" customHeight="1" x14ac:dyDescent="0.25">
      <c r="A646" s="12">
        <f>IF(B646="","",COUNTA($B$2:B646))</f>
        <v>645</v>
      </c>
      <c r="B646" s="20" t="s">
        <v>54</v>
      </c>
      <c r="C646" s="14"/>
      <c r="D646" s="14" t="s">
        <v>298</v>
      </c>
      <c r="E646" s="21" t="s">
        <v>305</v>
      </c>
      <c r="F646" s="22" t="s">
        <v>391</v>
      </c>
      <c r="G646" s="16" t="s">
        <v>384</v>
      </c>
      <c r="H646" s="13">
        <v>35836</v>
      </c>
      <c r="I646" s="20" t="s">
        <v>491</v>
      </c>
      <c r="J646" s="14" t="s">
        <v>504</v>
      </c>
      <c r="K646" s="13">
        <v>44958</v>
      </c>
      <c r="L646" s="17">
        <v>60</v>
      </c>
      <c r="M646" s="13">
        <f t="shared" si="10"/>
        <v>45018</v>
      </c>
      <c r="N646" s="14" t="s">
        <v>495</v>
      </c>
      <c r="O646" s="16" t="s">
        <v>539</v>
      </c>
      <c r="P646" s="16">
        <v>1</v>
      </c>
      <c r="Q646" s="14" t="s">
        <v>499</v>
      </c>
      <c r="R646" s="23"/>
      <c r="S646" s="23"/>
      <c r="T646" s="24"/>
    </row>
    <row r="647" spans="1:20" s="19" customFormat="1" ht="21" customHeight="1" x14ac:dyDescent="0.25">
      <c r="A647" s="12">
        <f>IF(B647="","",COUNTA($B$2:B647))</f>
        <v>646</v>
      </c>
      <c r="B647" s="13" t="s">
        <v>919</v>
      </c>
      <c r="C647" s="14"/>
      <c r="D647" s="14" t="s">
        <v>298</v>
      </c>
      <c r="E647" s="14" t="s">
        <v>311</v>
      </c>
      <c r="F647" s="22" t="s">
        <v>324</v>
      </c>
      <c r="G647" s="16" t="s">
        <v>526</v>
      </c>
      <c r="H647" s="13">
        <v>32133</v>
      </c>
      <c r="I647" s="14" t="s">
        <v>492</v>
      </c>
      <c r="J647" s="14" t="s">
        <v>504</v>
      </c>
      <c r="K647" s="13">
        <v>44965</v>
      </c>
      <c r="L647" s="17">
        <v>60</v>
      </c>
      <c r="M647" s="13">
        <f t="shared" si="10"/>
        <v>45025</v>
      </c>
      <c r="N647" s="14"/>
      <c r="O647" s="14" t="s">
        <v>539</v>
      </c>
      <c r="P647" s="14"/>
      <c r="Q647" s="14"/>
      <c r="R647" s="13">
        <v>45108</v>
      </c>
      <c r="S647" s="13" t="s">
        <v>975</v>
      </c>
      <c r="T647" s="24"/>
    </row>
    <row r="648" spans="1:20" s="19" customFormat="1" ht="21" customHeight="1" x14ac:dyDescent="0.25">
      <c r="A648" s="12">
        <f>IF(B648="","",COUNTA($B$2:B648))</f>
        <v>647</v>
      </c>
      <c r="B648" s="20" t="s">
        <v>172</v>
      </c>
      <c r="C648" s="14"/>
      <c r="D648" s="14" t="s">
        <v>298</v>
      </c>
      <c r="E648" s="21" t="s">
        <v>311</v>
      </c>
      <c r="F648" s="22" t="s">
        <v>324</v>
      </c>
      <c r="G648" s="21" t="s">
        <v>320</v>
      </c>
      <c r="H648" s="13">
        <v>33456</v>
      </c>
      <c r="I648" s="20" t="s">
        <v>492</v>
      </c>
      <c r="J648" s="14" t="s">
        <v>504</v>
      </c>
      <c r="K648" s="13">
        <v>44966</v>
      </c>
      <c r="L648" s="17">
        <v>60</v>
      </c>
      <c r="M648" s="13">
        <f t="shared" si="10"/>
        <v>45026</v>
      </c>
      <c r="N648" s="14" t="s">
        <v>495</v>
      </c>
      <c r="O648" s="16" t="s">
        <v>538</v>
      </c>
      <c r="P648" s="16">
        <v>1</v>
      </c>
      <c r="Q648" s="14" t="s">
        <v>499</v>
      </c>
      <c r="R648" s="23"/>
      <c r="S648" s="23"/>
      <c r="T648" s="24"/>
    </row>
    <row r="649" spans="1:20" s="19" customFormat="1" ht="21" customHeight="1" x14ac:dyDescent="0.25">
      <c r="A649" s="12">
        <f>IF(B649="","",COUNTA($B$2:B649))</f>
        <v>648</v>
      </c>
      <c r="B649" s="20" t="s">
        <v>192</v>
      </c>
      <c r="C649" s="14"/>
      <c r="D649" s="14" t="s">
        <v>299</v>
      </c>
      <c r="E649" s="21" t="s">
        <v>311</v>
      </c>
      <c r="F649" s="22" t="s">
        <v>318</v>
      </c>
      <c r="G649" s="16" t="s">
        <v>320</v>
      </c>
      <c r="H649" s="13">
        <v>33477</v>
      </c>
      <c r="I649" s="20" t="s">
        <v>492</v>
      </c>
      <c r="J649" s="14" t="s">
        <v>507</v>
      </c>
      <c r="K649" s="13">
        <v>44972</v>
      </c>
      <c r="L649" s="17">
        <v>60</v>
      </c>
      <c r="M649" s="13">
        <f t="shared" si="10"/>
        <v>45032</v>
      </c>
      <c r="N649" s="14" t="s">
        <v>495</v>
      </c>
      <c r="O649" s="16" t="s">
        <v>538</v>
      </c>
      <c r="P649" s="16">
        <v>1</v>
      </c>
      <c r="Q649" s="14" t="s">
        <v>499</v>
      </c>
      <c r="R649" s="23"/>
      <c r="S649" s="23"/>
      <c r="T649" s="24"/>
    </row>
    <row r="650" spans="1:20" s="19" customFormat="1" ht="21" customHeight="1" x14ac:dyDescent="0.25">
      <c r="A650" s="12">
        <f>IF(B650="","",COUNTA($B$2:B650))</f>
        <v>649</v>
      </c>
      <c r="B650" s="13" t="s">
        <v>910</v>
      </c>
      <c r="C650" s="14"/>
      <c r="D650" s="14" t="s">
        <v>299</v>
      </c>
      <c r="E650" s="14" t="s">
        <v>311</v>
      </c>
      <c r="F650" s="22" t="s">
        <v>939</v>
      </c>
      <c r="G650" s="16" t="s">
        <v>964</v>
      </c>
      <c r="H650" s="13">
        <v>36434</v>
      </c>
      <c r="I650" s="14" t="s">
        <v>492</v>
      </c>
      <c r="J650" s="14" t="s">
        <v>504</v>
      </c>
      <c r="K650" s="13">
        <v>44972</v>
      </c>
      <c r="L650" s="17">
        <v>60</v>
      </c>
      <c r="M650" s="13">
        <f t="shared" si="10"/>
        <v>45032</v>
      </c>
      <c r="N650" s="14"/>
      <c r="O650" s="14" t="s">
        <v>539</v>
      </c>
      <c r="P650" s="14"/>
      <c r="Q650" s="14"/>
      <c r="R650" s="13">
        <v>45078</v>
      </c>
      <c r="S650" s="13" t="s">
        <v>975</v>
      </c>
      <c r="T650" s="24"/>
    </row>
    <row r="651" spans="1:20" s="19" customFormat="1" ht="21" customHeight="1" x14ac:dyDescent="0.25">
      <c r="A651" s="12">
        <f>IF(B651="","",COUNTA($B$2:B651))</f>
        <v>650</v>
      </c>
      <c r="B651" s="20" t="s">
        <v>160</v>
      </c>
      <c r="C651" s="30"/>
      <c r="D651" s="14" t="s">
        <v>299</v>
      </c>
      <c r="E651" s="21" t="s">
        <v>311</v>
      </c>
      <c r="F651" s="22" t="s">
        <v>326</v>
      </c>
      <c r="G651" s="16" t="s">
        <v>320</v>
      </c>
      <c r="H651" s="13">
        <v>35778</v>
      </c>
      <c r="I651" s="20" t="s">
        <v>492</v>
      </c>
      <c r="J651" s="14" t="s">
        <v>504</v>
      </c>
      <c r="K651" s="13">
        <v>44973</v>
      </c>
      <c r="L651" s="17">
        <v>60</v>
      </c>
      <c r="M651" s="13">
        <f t="shared" si="10"/>
        <v>45033</v>
      </c>
      <c r="N651" s="14" t="s">
        <v>495</v>
      </c>
      <c r="O651" s="16" t="s">
        <v>539</v>
      </c>
      <c r="P651" s="16">
        <v>1</v>
      </c>
      <c r="Q651" s="14" t="s">
        <v>499</v>
      </c>
      <c r="R651" s="23"/>
      <c r="S651" s="23"/>
      <c r="T651" s="24"/>
    </row>
    <row r="652" spans="1:20" s="19" customFormat="1" ht="21" customHeight="1" x14ac:dyDescent="0.25">
      <c r="A652" s="12">
        <f>IF(B652="","",COUNTA($B$2:B652))</f>
        <v>651</v>
      </c>
      <c r="B652" s="20" t="s">
        <v>160</v>
      </c>
      <c r="C652" s="14"/>
      <c r="D652" s="14" t="s">
        <v>299</v>
      </c>
      <c r="E652" s="21" t="s">
        <v>311</v>
      </c>
      <c r="F652" s="22" t="s">
        <v>326</v>
      </c>
      <c r="G652" s="16" t="s">
        <v>971</v>
      </c>
      <c r="H652" s="13">
        <v>35778</v>
      </c>
      <c r="I652" s="20" t="s">
        <v>492</v>
      </c>
      <c r="J652" s="14" t="s">
        <v>504</v>
      </c>
      <c r="K652" s="13">
        <v>44973</v>
      </c>
      <c r="L652" s="17">
        <v>60</v>
      </c>
      <c r="M652" s="13">
        <v>45033</v>
      </c>
      <c r="N652" s="14" t="s">
        <v>495</v>
      </c>
      <c r="O652" s="16" t="s">
        <v>539</v>
      </c>
      <c r="P652" s="16">
        <v>1</v>
      </c>
      <c r="Q652" s="14" t="s">
        <v>499</v>
      </c>
      <c r="R652" s="13">
        <v>45254</v>
      </c>
      <c r="S652" s="14" t="s">
        <v>972</v>
      </c>
      <c r="T652" s="18"/>
    </row>
    <row r="653" spans="1:20" s="19" customFormat="1" ht="21" customHeight="1" x14ac:dyDescent="0.25">
      <c r="A653" s="12">
        <f>IF(B653="","",COUNTA($B$2:B653))</f>
        <v>652</v>
      </c>
      <c r="B653" s="13" t="s">
        <v>914</v>
      </c>
      <c r="C653" s="14"/>
      <c r="D653" s="14" t="s">
        <v>298</v>
      </c>
      <c r="E653" s="14" t="s">
        <v>310</v>
      </c>
      <c r="F653" s="15" t="s">
        <v>414</v>
      </c>
      <c r="G653" s="26" t="s">
        <v>952</v>
      </c>
      <c r="H653" s="13">
        <v>33654</v>
      </c>
      <c r="I653" s="14" t="s">
        <v>492</v>
      </c>
      <c r="J653" s="14" t="s">
        <v>507</v>
      </c>
      <c r="K653" s="13">
        <v>44977</v>
      </c>
      <c r="L653" s="17">
        <v>60</v>
      </c>
      <c r="M653" s="13">
        <f>K653+L653</f>
        <v>45037</v>
      </c>
      <c r="N653" s="14"/>
      <c r="O653" s="14" t="s">
        <v>539</v>
      </c>
      <c r="P653" s="14"/>
      <c r="Q653" s="14"/>
      <c r="R653" s="13">
        <v>45098</v>
      </c>
      <c r="S653" s="13" t="s">
        <v>972</v>
      </c>
      <c r="T653" s="24"/>
    </row>
    <row r="654" spans="1:20" s="19" customFormat="1" ht="21" customHeight="1" x14ac:dyDescent="0.25">
      <c r="A654" s="12">
        <f>IF(B654="","",COUNTA($B$2:B654))</f>
        <v>653</v>
      </c>
      <c r="B654" s="20" t="s">
        <v>58</v>
      </c>
      <c r="C654" s="14"/>
      <c r="D654" s="14" t="s">
        <v>298</v>
      </c>
      <c r="E654" s="21" t="s">
        <v>305</v>
      </c>
      <c r="F654" s="22" t="s">
        <v>393</v>
      </c>
      <c r="G654" s="16" t="s">
        <v>388</v>
      </c>
      <c r="H654" s="13">
        <v>33423</v>
      </c>
      <c r="I654" s="20" t="s">
        <v>492</v>
      </c>
      <c r="J654" s="14" t="s">
        <v>504</v>
      </c>
      <c r="K654" s="13">
        <v>44991</v>
      </c>
      <c r="L654" s="17">
        <v>60</v>
      </c>
      <c r="M654" s="13">
        <f>K654+L654</f>
        <v>45051</v>
      </c>
      <c r="N654" s="14" t="s">
        <v>495</v>
      </c>
      <c r="O654" s="16" t="s">
        <v>538</v>
      </c>
      <c r="P654" s="16">
        <v>1</v>
      </c>
      <c r="Q654" s="14" t="s">
        <v>499</v>
      </c>
      <c r="R654" s="23"/>
      <c r="S654" s="23"/>
      <c r="T654" s="24"/>
    </row>
    <row r="655" spans="1:20" s="19" customFormat="1" ht="21" customHeight="1" x14ac:dyDescent="0.25">
      <c r="A655" s="12">
        <f>IF(B655="","",COUNTA($B$2:B655))</f>
        <v>654</v>
      </c>
      <c r="B655" s="20" t="s">
        <v>200</v>
      </c>
      <c r="C655" s="14"/>
      <c r="D655" s="14" t="s">
        <v>299</v>
      </c>
      <c r="E655" s="21" t="s">
        <v>311</v>
      </c>
      <c r="F655" s="22" t="s">
        <v>316</v>
      </c>
      <c r="G655" s="21" t="s">
        <v>320</v>
      </c>
      <c r="H655" s="13">
        <v>34282</v>
      </c>
      <c r="I655" s="20" t="s">
        <v>492</v>
      </c>
      <c r="J655" s="14" t="s">
        <v>507</v>
      </c>
      <c r="K655" s="13">
        <v>44991</v>
      </c>
      <c r="L655" s="17">
        <v>60</v>
      </c>
      <c r="M655" s="13">
        <f>K655+L655</f>
        <v>45051</v>
      </c>
      <c r="N655" s="14" t="s">
        <v>495</v>
      </c>
      <c r="O655" s="16" t="s">
        <v>538</v>
      </c>
      <c r="P655" s="16">
        <v>1</v>
      </c>
      <c r="Q655" s="14" t="s">
        <v>499</v>
      </c>
      <c r="R655" s="23"/>
      <c r="S655" s="23"/>
      <c r="T655" s="24"/>
    </row>
    <row r="656" spans="1:20" s="19" customFormat="1" ht="21" customHeight="1" x14ac:dyDescent="0.25">
      <c r="A656" s="12">
        <f>IF(B656="","",COUNTA($B$2:B656))</f>
        <v>655</v>
      </c>
      <c r="B656" s="20" t="s">
        <v>254</v>
      </c>
      <c r="C656" s="14"/>
      <c r="D656" s="14" t="s">
        <v>298</v>
      </c>
      <c r="E656" s="21" t="s">
        <v>314</v>
      </c>
      <c r="F656" s="22" t="s">
        <v>328</v>
      </c>
      <c r="G656" s="16" t="s">
        <v>342</v>
      </c>
      <c r="H656" s="13">
        <v>30902</v>
      </c>
      <c r="I656" s="20" t="s">
        <v>491</v>
      </c>
      <c r="J656" s="14" t="s">
        <v>504</v>
      </c>
      <c r="K656" s="13">
        <v>44991</v>
      </c>
      <c r="L656" s="17">
        <v>60</v>
      </c>
      <c r="M656" s="13">
        <f>K656+L656</f>
        <v>45051</v>
      </c>
      <c r="N656" s="14" t="s">
        <v>495</v>
      </c>
      <c r="O656" s="16" t="s">
        <v>538</v>
      </c>
      <c r="P656" s="16">
        <v>1</v>
      </c>
      <c r="Q656" s="14" t="s">
        <v>499</v>
      </c>
      <c r="R656" s="23"/>
      <c r="S656" s="23"/>
      <c r="T656" s="24"/>
    </row>
    <row r="657" spans="1:20" s="19" customFormat="1" ht="21" customHeight="1" x14ac:dyDescent="0.25">
      <c r="A657" s="12">
        <f>IF(B657="","",COUNTA($B$2:B657))</f>
        <v>656</v>
      </c>
      <c r="B657" s="20" t="s">
        <v>277</v>
      </c>
      <c r="C657" s="14"/>
      <c r="D657" s="14" t="s">
        <v>300</v>
      </c>
      <c r="E657" s="21" t="s">
        <v>314</v>
      </c>
      <c r="F657" s="22" t="s">
        <v>329</v>
      </c>
      <c r="G657" s="16" t="s">
        <v>354</v>
      </c>
      <c r="H657" s="13">
        <v>36498</v>
      </c>
      <c r="I657" s="20" t="s">
        <v>492</v>
      </c>
      <c r="J657" s="14" t="s">
        <v>935</v>
      </c>
      <c r="K657" s="13">
        <v>44991</v>
      </c>
      <c r="L657" s="17">
        <v>60</v>
      </c>
      <c r="M657" s="13">
        <f>K657+L657</f>
        <v>45051</v>
      </c>
      <c r="N657" s="14" t="s">
        <v>495</v>
      </c>
      <c r="O657" s="16" t="s">
        <v>539</v>
      </c>
      <c r="P657" s="16">
        <v>1</v>
      </c>
      <c r="Q657" s="14" t="s">
        <v>499</v>
      </c>
      <c r="R657" s="23"/>
      <c r="S657" s="23"/>
      <c r="T657" s="24"/>
    </row>
    <row r="658" spans="1:20" s="19" customFormat="1" ht="21" customHeight="1" x14ac:dyDescent="0.25">
      <c r="A658" s="12">
        <f>IF(B658="","",COUNTA($B$2:B658))</f>
        <v>657</v>
      </c>
      <c r="B658" s="13" t="s">
        <v>58</v>
      </c>
      <c r="C658" s="14"/>
      <c r="D658" s="14" t="s">
        <v>298</v>
      </c>
      <c r="E658" s="14" t="s">
        <v>305</v>
      </c>
      <c r="F658" s="15" t="s">
        <v>393</v>
      </c>
      <c r="G658" s="16" t="s">
        <v>386</v>
      </c>
      <c r="H658" s="13">
        <v>33423</v>
      </c>
      <c r="I658" s="14" t="s">
        <v>492</v>
      </c>
      <c r="J658" s="14" t="s">
        <v>504</v>
      </c>
      <c r="K658" s="13">
        <v>44991</v>
      </c>
      <c r="L658" s="17">
        <v>60</v>
      </c>
      <c r="M658" s="13">
        <v>45051</v>
      </c>
      <c r="N658" s="14" t="s">
        <v>495</v>
      </c>
      <c r="O658" s="14" t="s">
        <v>538</v>
      </c>
      <c r="P658" s="21">
        <v>1</v>
      </c>
      <c r="Q658" s="14" t="s">
        <v>499</v>
      </c>
      <c r="R658" s="13">
        <v>45240</v>
      </c>
      <c r="S658" s="14" t="s">
        <v>973</v>
      </c>
      <c r="T658" s="18"/>
    </row>
    <row r="659" spans="1:20" s="19" customFormat="1" ht="21" customHeight="1" x14ac:dyDescent="0.25">
      <c r="A659" s="12">
        <f>IF(B659="","",COUNTA($B$2:B659))</f>
        <v>658</v>
      </c>
      <c r="B659" s="20" t="s">
        <v>64</v>
      </c>
      <c r="C659" s="14"/>
      <c r="D659" s="14" t="s">
        <v>298</v>
      </c>
      <c r="E659" s="21" t="s">
        <v>307</v>
      </c>
      <c r="F659" s="22" t="s">
        <v>307</v>
      </c>
      <c r="G659" s="16" t="s">
        <v>435</v>
      </c>
      <c r="H659" s="13">
        <v>33952</v>
      </c>
      <c r="I659" s="20" t="s">
        <v>491</v>
      </c>
      <c r="J659" s="14" t="s">
        <v>504</v>
      </c>
      <c r="K659" s="13">
        <v>44994</v>
      </c>
      <c r="L659" s="17"/>
      <c r="M659" s="13">
        <f t="shared" ref="M659:M696" si="11">K659+L659</f>
        <v>44994</v>
      </c>
      <c r="N659" s="14" t="s">
        <v>495</v>
      </c>
      <c r="O659" s="16" t="s">
        <v>539</v>
      </c>
      <c r="P659" s="16">
        <v>3</v>
      </c>
      <c r="Q659" s="14" t="s">
        <v>501</v>
      </c>
      <c r="R659" s="23"/>
      <c r="S659" s="23"/>
      <c r="T659" s="24"/>
    </row>
    <row r="660" spans="1:20" s="19" customFormat="1" ht="21" customHeight="1" x14ac:dyDescent="0.25">
      <c r="A660" s="12">
        <f>IF(B660="","",COUNTA($B$2:B660))</f>
        <v>659</v>
      </c>
      <c r="B660" s="13" t="s">
        <v>891</v>
      </c>
      <c r="C660" s="14"/>
      <c r="D660" s="14" t="s">
        <v>299</v>
      </c>
      <c r="E660" s="20" t="s">
        <v>308</v>
      </c>
      <c r="F660" s="15" t="s">
        <v>441</v>
      </c>
      <c r="G660" s="16" t="s">
        <v>444</v>
      </c>
      <c r="H660" s="13">
        <v>35409</v>
      </c>
      <c r="I660" s="14" t="s">
        <v>492</v>
      </c>
      <c r="J660" s="14" t="s">
        <v>507</v>
      </c>
      <c r="K660" s="13">
        <v>45005</v>
      </c>
      <c r="L660" s="17">
        <v>60</v>
      </c>
      <c r="M660" s="13">
        <f t="shared" si="11"/>
        <v>45065</v>
      </c>
      <c r="N660" s="14"/>
      <c r="O660" s="14" t="s">
        <v>539</v>
      </c>
      <c r="P660" s="14"/>
      <c r="Q660" s="14"/>
      <c r="R660" s="13">
        <v>45008</v>
      </c>
      <c r="S660" s="13" t="s">
        <v>972</v>
      </c>
      <c r="T660" s="24"/>
    </row>
    <row r="661" spans="1:20" s="19" customFormat="1" ht="21" customHeight="1" x14ac:dyDescent="0.25">
      <c r="A661" s="12">
        <f>IF(B661="","",COUNTA($B$2:B661))</f>
        <v>660</v>
      </c>
      <c r="B661" s="13" t="s">
        <v>909</v>
      </c>
      <c r="C661" s="14"/>
      <c r="D661" s="14" t="s">
        <v>298</v>
      </c>
      <c r="E661" s="14" t="s">
        <v>308</v>
      </c>
      <c r="F661" s="15" t="s">
        <v>441</v>
      </c>
      <c r="G661" s="16" t="s">
        <v>444</v>
      </c>
      <c r="H661" s="13">
        <v>32800</v>
      </c>
      <c r="I661" s="14" t="s">
        <v>492</v>
      </c>
      <c r="J661" s="14" t="s">
        <v>504</v>
      </c>
      <c r="K661" s="13">
        <v>45020</v>
      </c>
      <c r="L661" s="17">
        <v>60</v>
      </c>
      <c r="M661" s="13">
        <f t="shared" si="11"/>
        <v>45080</v>
      </c>
      <c r="N661" s="14"/>
      <c r="O661" s="14" t="s">
        <v>539</v>
      </c>
      <c r="P661" s="14"/>
      <c r="Q661" s="14"/>
      <c r="R661" s="13">
        <v>45077</v>
      </c>
      <c r="S661" s="13" t="s">
        <v>976</v>
      </c>
      <c r="T661" s="24"/>
    </row>
    <row r="662" spans="1:20" s="19" customFormat="1" ht="21" customHeight="1" x14ac:dyDescent="0.25">
      <c r="A662" s="12">
        <f>IF(B662="","",COUNTA($B$2:B662))</f>
        <v>661</v>
      </c>
      <c r="B662" s="13" t="s">
        <v>906</v>
      </c>
      <c r="C662" s="14"/>
      <c r="D662" s="14" t="s">
        <v>298</v>
      </c>
      <c r="E662" s="14" t="s">
        <v>314</v>
      </c>
      <c r="F662" s="15" t="s">
        <v>329</v>
      </c>
      <c r="G662" s="16" t="s">
        <v>353</v>
      </c>
      <c r="H662" s="13">
        <v>29117</v>
      </c>
      <c r="I662" s="14" t="s">
        <v>492</v>
      </c>
      <c r="J662" s="14" t="s">
        <v>504</v>
      </c>
      <c r="K662" s="13">
        <v>45020</v>
      </c>
      <c r="L662" s="17">
        <v>60</v>
      </c>
      <c r="M662" s="13">
        <f t="shared" si="11"/>
        <v>45080</v>
      </c>
      <c r="N662" s="14"/>
      <c r="O662" s="14" t="s">
        <v>539</v>
      </c>
      <c r="P662" s="14"/>
      <c r="Q662" s="14"/>
      <c r="R662" s="13">
        <v>45062</v>
      </c>
      <c r="S662" s="13" t="s">
        <v>972</v>
      </c>
      <c r="T662" s="24"/>
    </row>
    <row r="663" spans="1:20" s="19" customFormat="1" ht="21" customHeight="1" x14ac:dyDescent="0.25">
      <c r="A663" s="12">
        <f>IF(B663="","",COUNTA($B$2:B663))</f>
        <v>662</v>
      </c>
      <c r="B663" s="20" t="s">
        <v>81</v>
      </c>
      <c r="C663" s="14"/>
      <c r="D663" s="14" t="s">
        <v>298</v>
      </c>
      <c r="E663" s="21" t="s">
        <v>308</v>
      </c>
      <c r="F663" s="22" t="s">
        <v>441</v>
      </c>
      <c r="G663" s="16" t="s">
        <v>444</v>
      </c>
      <c r="H663" s="13">
        <v>33756</v>
      </c>
      <c r="I663" s="20" t="s">
        <v>492</v>
      </c>
      <c r="J663" s="14" t="s">
        <v>504</v>
      </c>
      <c r="K663" s="13">
        <v>45026</v>
      </c>
      <c r="L663" s="17">
        <v>60</v>
      </c>
      <c r="M663" s="13">
        <f t="shared" si="11"/>
        <v>45086</v>
      </c>
      <c r="N663" s="14" t="s">
        <v>495</v>
      </c>
      <c r="O663" s="16" t="s">
        <v>538</v>
      </c>
      <c r="P663" s="16">
        <v>1</v>
      </c>
      <c r="Q663" s="14" t="s">
        <v>499</v>
      </c>
      <c r="R663" s="23"/>
      <c r="S663" s="23"/>
      <c r="T663" s="24"/>
    </row>
    <row r="664" spans="1:20" s="19" customFormat="1" ht="21" customHeight="1" x14ac:dyDescent="0.25">
      <c r="A664" s="12">
        <f>IF(B664="","",COUNTA($B$2:B664))</f>
        <v>663</v>
      </c>
      <c r="B664" s="20" t="s">
        <v>171</v>
      </c>
      <c r="C664" s="14"/>
      <c r="D664" s="14" t="s">
        <v>298</v>
      </c>
      <c r="E664" s="21" t="s">
        <v>311</v>
      </c>
      <c r="F664" s="22" t="s">
        <v>324</v>
      </c>
      <c r="G664" s="21" t="s">
        <v>320</v>
      </c>
      <c r="H664" s="13">
        <v>33600</v>
      </c>
      <c r="I664" s="20" t="s">
        <v>492</v>
      </c>
      <c r="J664" s="14" t="s">
        <v>504</v>
      </c>
      <c r="K664" s="13">
        <v>45026</v>
      </c>
      <c r="L664" s="17">
        <v>60</v>
      </c>
      <c r="M664" s="13">
        <f t="shared" si="11"/>
        <v>45086</v>
      </c>
      <c r="N664" s="14" t="s">
        <v>495</v>
      </c>
      <c r="O664" s="16" t="s">
        <v>538</v>
      </c>
      <c r="P664" s="16">
        <v>1</v>
      </c>
      <c r="Q664" s="14" t="s">
        <v>499</v>
      </c>
      <c r="R664" s="23"/>
      <c r="S664" s="23"/>
      <c r="T664" s="24"/>
    </row>
    <row r="665" spans="1:20" s="19" customFormat="1" ht="21" customHeight="1" x14ac:dyDescent="0.25">
      <c r="A665" s="12">
        <f>IF(B665="","",COUNTA($B$2:B665))</f>
        <v>664</v>
      </c>
      <c r="B665" s="13" t="s">
        <v>899</v>
      </c>
      <c r="C665" s="14"/>
      <c r="D665" s="14" t="s">
        <v>300</v>
      </c>
      <c r="E665" s="14" t="s">
        <v>314</v>
      </c>
      <c r="F665" s="15" t="s">
        <v>328</v>
      </c>
      <c r="G665" s="16" t="s">
        <v>349</v>
      </c>
      <c r="H665" s="13">
        <v>34700</v>
      </c>
      <c r="I665" s="14" t="s">
        <v>491</v>
      </c>
      <c r="J665" s="14" t="s">
        <v>504</v>
      </c>
      <c r="K665" s="13">
        <v>45033</v>
      </c>
      <c r="L665" s="17">
        <v>60</v>
      </c>
      <c r="M665" s="13">
        <f t="shared" si="11"/>
        <v>45093</v>
      </c>
      <c r="N665" s="14"/>
      <c r="O665" s="14" t="s">
        <v>539</v>
      </c>
      <c r="P665" s="14"/>
      <c r="Q665" s="14"/>
      <c r="R665" s="13">
        <v>45047</v>
      </c>
      <c r="S665" s="13" t="s">
        <v>972</v>
      </c>
      <c r="T665" s="24"/>
    </row>
    <row r="666" spans="1:20" s="19" customFormat="1" ht="21" customHeight="1" x14ac:dyDescent="0.25">
      <c r="A666" s="12">
        <f>IF(B666="","",COUNTA($B$2:B666))</f>
        <v>665</v>
      </c>
      <c r="B666" s="20" t="s">
        <v>113</v>
      </c>
      <c r="C666" s="14"/>
      <c r="D666" s="14" t="s">
        <v>298</v>
      </c>
      <c r="E666" s="21" t="s">
        <v>310</v>
      </c>
      <c r="F666" s="22" t="s">
        <v>412</v>
      </c>
      <c r="G666" s="16" t="s">
        <v>422</v>
      </c>
      <c r="H666" s="13">
        <v>34935</v>
      </c>
      <c r="I666" s="20" t="s">
        <v>492</v>
      </c>
      <c r="J666" s="14" t="s">
        <v>504</v>
      </c>
      <c r="K666" s="13">
        <v>45036</v>
      </c>
      <c r="L666" s="17">
        <v>60</v>
      </c>
      <c r="M666" s="13">
        <f t="shared" si="11"/>
        <v>45096</v>
      </c>
      <c r="N666" s="14" t="s">
        <v>495</v>
      </c>
      <c r="O666" s="16" t="s">
        <v>539</v>
      </c>
      <c r="P666" s="16">
        <v>1</v>
      </c>
      <c r="Q666" s="14" t="s">
        <v>499</v>
      </c>
      <c r="R666" s="23"/>
      <c r="S666" s="23"/>
      <c r="T666" s="24"/>
    </row>
    <row r="667" spans="1:20" s="19" customFormat="1" ht="21" customHeight="1" x14ac:dyDescent="0.25">
      <c r="A667" s="12">
        <f>IF(B667="","",COUNTA($B$2:B667))</f>
        <v>666</v>
      </c>
      <c r="B667" s="20" t="s">
        <v>248</v>
      </c>
      <c r="C667" s="14"/>
      <c r="D667" s="14" t="s">
        <v>299</v>
      </c>
      <c r="E667" s="21" t="s">
        <v>314</v>
      </c>
      <c r="F667" s="22" t="s">
        <v>327</v>
      </c>
      <c r="G667" s="16" t="s">
        <v>340</v>
      </c>
      <c r="H667" s="13">
        <v>34721</v>
      </c>
      <c r="I667" s="20" t="s">
        <v>491</v>
      </c>
      <c r="J667" s="14" t="s">
        <v>504</v>
      </c>
      <c r="K667" s="13">
        <v>45037</v>
      </c>
      <c r="L667" s="17">
        <v>60</v>
      </c>
      <c r="M667" s="13">
        <f t="shared" si="11"/>
        <v>45097</v>
      </c>
      <c r="N667" s="14" t="s">
        <v>495</v>
      </c>
      <c r="O667" s="16" t="s">
        <v>539</v>
      </c>
      <c r="P667" s="16">
        <v>1</v>
      </c>
      <c r="Q667" s="14" t="s">
        <v>499</v>
      </c>
      <c r="R667" s="23"/>
      <c r="S667" s="23"/>
      <c r="T667" s="24"/>
    </row>
    <row r="668" spans="1:20" s="19" customFormat="1" ht="21" customHeight="1" x14ac:dyDescent="0.25">
      <c r="A668" s="12">
        <f>IF(B668="","",COUNTA($B$2:B668))</f>
        <v>667</v>
      </c>
      <c r="B668" s="13" t="s">
        <v>903</v>
      </c>
      <c r="C668" s="14"/>
      <c r="D668" s="14" t="s">
        <v>298</v>
      </c>
      <c r="E668" s="14" t="s">
        <v>314</v>
      </c>
      <c r="F668" s="15" t="s">
        <v>327</v>
      </c>
      <c r="G668" s="16" t="s">
        <v>341</v>
      </c>
      <c r="H668" s="13">
        <v>34232</v>
      </c>
      <c r="I668" s="14" t="s">
        <v>492</v>
      </c>
      <c r="J668" s="14" t="s">
        <v>507</v>
      </c>
      <c r="K668" s="13">
        <v>45050</v>
      </c>
      <c r="L668" s="17">
        <v>60</v>
      </c>
      <c r="M668" s="13">
        <f t="shared" si="11"/>
        <v>45110</v>
      </c>
      <c r="N668" s="14"/>
      <c r="O668" s="14" t="s">
        <v>538</v>
      </c>
      <c r="P668" s="14"/>
      <c r="Q668" s="14"/>
      <c r="R668" s="13">
        <v>45061</v>
      </c>
      <c r="S668" s="13" t="s">
        <v>973</v>
      </c>
      <c r="T668" s="24"/>
    </row>
    <row r="669" spans="1:20" s="19" customFormat="1" ht="21" customHeight="1" x14ac:dyDescent="0.25">
      <c r="A669" s="12">
        <f>IF(B669="","",COUNTA($B$2:B669))</f>
        <v>668</v>
      </c>
      <c r="B669" s="13" t="s">
        <v>905</v>
      </c>
      <c r="C669" s="14"/>
      <c r="D669" s="14" t="s">
        <v>300</v>
      </c>
      <c r="E669" s="14" t="s">
        <v>314</v>
      </c>
      <c r="F669" s="15" t="s">
        <v>328</v>
      </c>
      <c r="G669" s="16" t="s">
        <v>349</v>
      </c>
      <c r="H669" s="13">
        <v>31063</v>
      </c>
      <c r="I669" s="14" t="s">
        <v>491</v>
      </c>
      <c r="J669" s="14" t="s">
        <v>504</v>
      </c>
      <c r="K669" s="13">
        <v>45057</v>
      </c>
      <c r="L669" s="17">
        <v>60</v>
      </c>
      <c r="M669" s="13">
        <f t="shared" si="11"/>
        <v>45117</v>
      </c>
      <c r="N669" s="14"/>
      <c r="O669" s="14" t="s">
        <v>538</v>
      </c>
      <c r="P669" s="14"/>
      <c r="Q669" s="14"/>
      <c r="R669" s="13">
        <v>45061</v>
      </c>
      <c r="S669" s="13" t="s">
        <v>977</v>
      </c>
      <c r="T669" s="24"/>
    </row>
    <row r="670" spans="1:20" s="19" customFormat="1" ht="21" customHeight="1" x14ac:dyDescent="0.25">
      <c r="A670" s="12">
        <f>IF(B670="","",COUNTA($B$2:B670))</f>
        <v>669</v>
      </c>
      <c r="B670" s="20" t="s">
        <v>82</v>
      </c>
      <c r="C670" s="14"/>
      <c r="D670" s="14" t="s">
        <v>299</v>
      </c>
      <c r="E670" s="21" t="s">
        <v>308</v>
      </c>
      <c r="F670" s="22" t="s">
        <v>441</v>
      </c>
      <c r="G670" s="16" t="s">
        <v>444</v>
      </c>
      <c r="H670" s="13">
        <v>34913</v>
      </c>
      <c r="I670" s="20" t="s">
        <v>492</v>
      </c>
      <c r="J670" s="14" t="s">
        <v>507</v>
      </c>
      <c r="K670" s="13">
        <v>45061</v>
      </c>
      <c r="L670" s="17">
        <v>60</v>
      </c>
      <c r="M670" s="13">
        <f t="shared" si="11"/>
        <v>45121</v>
      </c>
      <c r="N670" s="14" t="s">
        <v>495</v>
      </c>
      <c r="O670" s="16" t="s">
        <v>538</v>
      </c>
      <c r="P670" s="16">
        <v>1</v>
      </c>
      <c r="Q670" s="14" t="s">
        <v>499</v>
      </c>
      <c r="R670" s="23"/>
      <c r="S670" s="23"/>
      <c r="T670" s="24"/>
    </row>
    <row r="671" spans="1:20" s="19" customFormat="1" ht="21" customHeight="1" x14ac:dyDescent="0.25">
      <c r="A671" s="12">
        <f>IF(B671="","",COUNTA($B$2:B671))</f>
        <v>670</v>
      </c>
      <c r="B671" s="13" t="s">
        <v>921</v>
      </c>
      <c r="C671" s="14"/>
      <c r="D671" s="14" t="s">
        <v>298</v>
      </c>
      <c r="E671" s="14" t="s">
        <v>311</v>
      </c>
      <c r="F671" s="22" t="s">
        <v>318</v>
      </c>
      <c r="G671" s="16" t="s">
        <v>320</v>
      </c>
      <c r="H671" s="13">
        <v>34410</v>
      </c>
      <c r="I671" s="14" t="s">
        <v>492</v>
      </c>
      <c r="J671" s="14" t="s">
        <v>504</v>
      </c>
      <c r="K671" s="13">
        <v>45061</v>
      </c>
      <c r="L671" s="17">
        <v>60</v>
      </c>
      <c r="M671" s="13">
        <f t="shared" si="11"/>
        <v>45121</v>
      </c>
      <c r="N671" s="14"/>
      <c r="O671" s="14" t="s">
        <v>538</v>
      </c>
      <c r="P671" s="14"/>
      <c r="Q671" s="14"/>
      <c r="R671" s="13">
        <v>45123</v>
      </c>
      <c r="S671" s="13" t="s">
        <v>977</v>
      </c>
      <c r="T671" s="24"/>
    </row>
    <row r="672" spans="1:20" s="19" customFormat="1" ht="21" customHeight="1" x14ac:dyDescent="0.25">
      <c r="A672" s="12">
        <f>IF(B672="","",COUNTA($B$2:B672))</f>
        <v>671</v>
      </c>
      <c r="B672" s="20" t="s">
        <v>123</v>
      </c>
      <c r="C672" s="14"/>
      <c r="D672" s="14" t="s">
        <v>298</v>
      </c>
      <c r="E672" s="21" t="s">
        <v>303</v>
      </c>
      <c r="F672" s="22" t="s">
        <v>303</v>
      </c>
      <c r="G672" s="16" t="s">
        <v>366</v>
      </c>
      <c r="H672" s="13">
        <v>25781</v>
      </c>
      <c r="I672" s="20" t="s">
        <v>492</v>
      </c>
      <c r="J672" s="14" t="s">
        <v>504</v>
      </c>
      <c r="K672" s="13">
        <v>45063</v>
      </c>
      <c r="L672" s="17">
        <v>60</v>
      </c>
      <c r="M672" s="13">
        <f t="shared" si="11"/>
        <v>45123</v>
      </c>
      <c r="N672" s="14" t="s">
        <v>495</v>
      </c>
      <c r="O672" s="16" t="s">
        <v>538</v>
      </c>
      <c r="P672" s="16">
        <v>1</v>
      </c>
      <c r="Q672" s="14" t="s">
        <v>499</v>
      </c>
      <c r="R672" s="23"/>
      <c r="S672" s="23"/>
      <c r="T672" s="24"/>
    </row>
    <row r="673" spans="1:20" s="19" customFormat="1" ht="21" customHeight="1" x14ac:dyDescent="0.25">
      <c r="A673" s="12">
        <f>IF(B673="","",COUNTA($B$2:B673))</f>
        <v>672</v>
      </c>
      <c r="B673" s="13" t="s">
        <v>922</v>
      </c>
      <c r="C673" s="14"/>
      <c r="D673" s="14" t="s">
        <v>299</v>
      </c>
      <c r="E673" s="14" t="s">
        <v>314</v>
      </c>
      <c r="F673" s="15" t="s">
        <v>327</v>
      </c>
      <c r="G673" s="16" t="s">
        <v>341</v>
      </c>
      <c r="H673" s="13">
        <v>30817</v>
      </c>
      <c r="I673" s="14" t="s">
        <v>492</v>
      </c>
      <c r="J673" s="14" t="s">
        <v>937</v>
      </c>
      <c r="K673" s="13">
        <v>45064</v>
      </c>
      <c r="L673" s="17">
        <v>60</v>
      </c>
      <c r="M673" s="13">
        <f t="shared" si="11"/>
        <v>45124</v>
      </c>
      <c r="N673" s="14"/>
      <c r="O673" s="14" t="s">
        <v>538</v>
      </c>
      <c r="P673" s="14"/>
      <c r="Q673" s="14"/>
      <c r="R673" s="13">
        <v>45123</v>
      </c>
      <c r="S673" s="13" t="s">
        <v>972</v>
      </c>
      <c r="T673" s="24"/>
    </row>
    <row r="674" spans="1:20" s="19" customFormat="1" ht="21" customHeight="1" x14ac:dyDescent="0.25">
      <c r="A674" s="12">
        <f>IF(B674="","",COUNTA($B$2:B674))</f>
        <v>673</v>
      </c>
      <c r="B674" s="20" t="s">
        <v>14</v>
      </c>
      <c r="C674" s="14"/>
      <c r="D674" s="14" t="s">
        <v>298</v>
      </c>
      <c r="E674" s="21" t="s">
        <v>302</v>
      </c>
      <c r="F674" s="22" t="s">
        <v>302</v>
      </c>
      <c r="G674" s="16" t="s">
        <v>395</v>
      </c>
      <c r="H674" s="13">
        <v>33219</v>
      </c>
      <c r="I674" s="20" t="s">
        <v>491</v>
      </c>
      <c r="J674" s="14" t="s">
        <v>504</v>
      </c>
      <c r="K674" s="13">
        <v>45065</v>
      </c>
      <c r="L674" s="17">
        <v>60</v>
      </c>
      <c r="M674" s="13">
        <f t="shared" si="11"/>
        <v>45125</v>
      </c>
      <c r="N674" s="14" t="s">
        <v>495</v>
      </c>
      <c r="O674" s="16" t="s">
        <v>539</v>
      </c>
      <c r="P674" s="16">
        <v>1</v>
      </c>
      <c r="Q674" s="14" t="s">
        <v>499</v>
      </c>
      <c r="R674" s="23"/>
      <c r="S674" s="23"/>
      <c r="T674" s="24"/>
    </row>
    <row r="675" spans="1:20" s="19" customFormat="1" ht="21" customHeight="1" x14ac:dyDescent="0.25">
      <c r="A675" s="12">
        <f>IF(B675="","",COUNTA($B$2:B675))</f>
        <v>674</v>
      </c>
      <c r="B675" s="20" t="s">
        <v>116</v>
      </c>
      <c r="C675" s="14"/>
      <c r="D675" s="14" t="s">
        <v>298</v>
      </c>
      <c r="E675" s="21" t="s">
        <v>310</v>
      </c>
      <c r="F675" s="22" t="s">
        <v>414</v>
      </c>
      <c r="G675" s="16" t="s">
        <v>425</v>
      </c>
      <c r="H675" s="13">
        <v>36672</v>
      </c>
      <c r="I675" s="20" t="s">
        <v>492</v>
      </c>
      <c r="J675" s="14" t="s">
        <v>504</v>
      </c>
      <c r="K675" s="13">
        <v>45075</v>
      </c>
      <c r="L675" s="17">
        <v>60</v>
      </c>
      <c r="M675" s="13">
        <f t="shared" si="11"/>
        <v>45135</v>
      </c>
      <c r="N675" s="14" t="s">
        <v>495</v>
      </c>
      <c r="O675" s="16" t="s">
        <v>539</v>
      </c>
      <c r="P675" s="16"/>
      <c r="Q675" s="14" t="s">
        <v>543</v>
      </c>
      <c r="R675" s="23"/>
      <c r="S675" s="23"/>
      <c r="T675" s="24"/>
    </row>
    <row r="676" spans="1:20" s="19" customFormat="1" ht="21" customHeight="1" x14ac:dyDescent="0.25">
      <c r="A676" s="12">
        <f>IF(B676="","",COUNTA($B$2:B676))</f>
        <v>675</v>
      </c>
      <c r="B676" s="20" t="s">
        <v>115</v>
      </c>
      <c r="C676" s="14"/>
      <c r="D676" s="14" t="s">
        <v>298</v>
      </c>
      <c r="E676" s="21" t="s">
        <v>310</v>
      </c>
      <c r="F676" s="22" t="s">
        <v>414</v>
      </c>
      <c r="G676" s="16" t="s">
        <v>424</v>
      </c>
      <c r="H676" s="13">
        <v>35083</v>
      </c>
      <c r="I676" s="20" t="s">
        <v>491</v>
      </c>
      <c r="J676" s="14" t="s">
        <v>505</v>
      </c>
      <c r="K676" s="13">
        <v>45078</v>
      </c>
      <c r="L676" s="17">
        <v>60</v>
      </c>
      <c r="M676" s="13">
        <f t="shared" si="11"/>
        <v>45138</v>
      </c>
      <c r="N676" s="14" t="s">
        <v>495</v>
      </c>
      <c r="O676" s="16" t="s">
        <v>539</v>
      </c>
      <c r="P676" s="16">
        <v>1</v>
      </c>
      <c r="Q676" s="14" t="s">
        <v>499</v>
      </c>
      <c r="R676" s="23"/>
      <c r="S676" s="23"/>
      <c r="T676" s="24"/>
    </row>
    <row r="677" spans="1:20" s="19" customFormat="1" ht="21" customHeight="1" x14ac:dyDescent="0.25">
      <c r="A677" s="12">
        <f>IF(B677="","",COUNTA($B$2:B677))</f>
        <v>676</v>
      </c>
      <c r="B677" s="20" t="s">
        <v>290</v>
      </c>
      <c r="C677" s="14"/>
      <c r="D677" s="14" t="s">
        <v>298</v>
      </c>
      <c r="E677" s="21" t="s">
        <v>314</v>
      </c>
      <c r="F677" s="22" t="s">
        <v>330</v>
      </c>
      <c r="G677" s="16" t="s">
        <v>361</v>
      </c>
      <c r="H677" s="13">
        <v>33368</v>
      </c>
      <c r="I677" s="20" t="s">
        <v>491</v>
      </c>
      <c r="J677" s="14" t="s">
        <v>935</v>
      </c>
      <c r="K677" s="13">
        <v>45083</v>
      </c>
      <c r="L677" s="17">
        <v>60</v>
      </c>
      <c r="M677" s="13">
        <f t="shared" si="11"/>
        <v>45143</v>
      </c>
      <c r="N677" s="14" t="s">
        <v>495</v>
      </c>
      <c r="O677" s="16" t="s">
        <v>538</v>
      </c>
      <c r="P677" s="16">
        <v>1</v>
      </c>
      <c r="Q677" s="14" t="s">
        <v>499</v>
      </c>
      <c r="R677" s="23"/>
      <c r="S677" s="23"/>
      <c r="T677" s="24"/>
    </row>
    <row r="678" spans="1:20" s="19" customFormat="1" ht="21" customHeight="1" x14ac:dyDescent="0.25">
      <c r="A678" s="12">
        <f>IF(B678="","",COUNTA($B$2:B678))</f>
        <v>677</v>
      </c>
      <c r="B678" s="20" t="s">
        <v>297</v>
      </c>
      <c r="C678" s="14"/>
      <c r="D678" s="14" t="s">
        <v>298</v>
      </c>
      <c r="E678" s="21" t="s">
        <v>314</v>
      </c>
      <c r="F678" s="22" t="s">
        <v>330</v>
      </c>
      <c r="G678" s="16" t="s">
        <v>364</v>
      </c>
      <c r="H678" s="13">
        <v>35302</v>
      </c>
      <c r="I678" s="20" t="s">
        <v>492</v>
      </c>
      <c r="J678" s="14" t="s">
        <v>504</v>
      </c>
      <c r="K678" s="13">
        <v>45096</v>
      </c>
      <c r="L678" s="17">
        <v>60</v>
      </c>
      <c r="M678" s="13">
        <f t="shared" si="11"/>
        <v>45156</v>
      </c>
      <c r="N678" s="14" t="s">
        <v>495</v>
      </c>
      <c r="O678" s="16" t="s">
        <v>539</v>
      </c>
      <c r="P678" s="16">
        <v>1</v>
      </c>
      <c r="Q678" s="14" t="s">
        <v>499</v>
      </c>
      <c r="R678" s="23"/>
      <c r="S678" s="23"/>
      <c r="T678" s="24"/>
    </row>
    <row r="679" spans="1:20" s="19" customFormat="1" ht="21" customHeight="1" x14ac:dyDescent="0.25">
      <c r="A679" s="12">
        <f>IF(B679="","",COUNTA($B$2:B679))</f>
        <v>678</v>
      </c>
      <c r="B679" s="13" t="s">
        <v>929</v>
      </c>
      <c r="C679" s="14"/>
      <c r="D679" s="14" t="s">
        <v>300</v>
      </c>
      <c r="E679" s="14" t="s">
        <v>314</v>
      </c>
      <c r="F679" s="15" t="s">
        <v>328</v>
      </c>
      <c r="G679" s="16" t="s">
        <v>349</v>
      </c>
      <c r="H679" s="13">
        <v>33150</v>
      </c>
      <c r="I679" s="14" t="s">
        <v>491</v>
      </c>
      <c r="J679" s="14" t="s">
        <v>504</v>
      </c>
      <c r="K679" s="13">
        <v>45099</v>
      </c>
      <c r="L679" s="17">
        <v>60</v>
      </c>
      <c r="M679" s="13">
        <f t="shared" si="11"/>
        <v>45159</v>
      </c>
      <c r="N679" s="14"/>
      <c r="O679" s="14" t="s">
        <v>538</v>
      </c>
      <c r="P679" s="14"/>
      <c r="Q679" s="14"/>
      <c r="R679" s="13">
        <v>45161</v>
      </c>
      <c r="S679" s="13" t="s">
        <v>972</v>
      </c>
      <c r="T679" s="24"/>
    </row>
    <row r="680" spans="1:20" s="19" customFormat="1" ht="21" customHeight="1" x14ac:dyDescent="0.25">
      <c r="A680" s="12">
        <f>IF(B680="","",COUNTA($B$2:B680))</f>
        <v>679</v>
      </c>
      <c r="B680" s="13" t="s">
        <v>930</v>
      </c>
      <c r="C680" s="14"/>
      <c r="D680" s="14" t="s">
        <v>299</v>
      </c>
      <c r="E680" s="14" t="s">
        <v>314</v>
      </c>
      <c r="F680" s="15" t="s">
        <v>329</v>
      </c>
      <c r="G680" s="16" t="s">
        <v>353</v>
      </c>
      <c r="H680" s="13">
        <v>32844</v>
      </c>
      <c r="I680" s="14" t="s">
        <v>492</v>
      </c>
      <c r="J680" s="14" t="s">
        <v>507</v>
      </c>
      <c r="K680" s="13">
        <v>45104</v>
      </c>
      <c r="L680" s="17">
        <v>60</v>
      </c>
      <c r="M680" s="13">
        <f t="shared" si="11"/>
        <v>45164</v>
      </c>
      <c r="N680" s="14"/>
      <c r="O680" s="14" t="s">
        <v>538</v>
      </c>
      <c r="P680" s="14"/>
      <c r="Q680" s="14"/>
      <c r="R680" s="13">
        <v>45165</v>
      </c>
      <c r="S680" s="13" t="s">
        <v>977</v>
      </c>
      <c r="T680" s="24"/>
    </row>
    <row r="681" spans="1:20" s="19" customFormat="1" ht="21" customHeight="1" x14ac:dyDescent="0.25">
      <c r="A681" s="12">
        <f>IF(B681="","",COUNTA($B$2:B681))</f>
        <v>680</v>
      </c>
      <c r="B681" s="20" t="s">
        <v>170</v>
      </c>
      <c r="C681" s="14"/>
      <c r="D681" s="14" t="s">
        <v>298</v>
      </c>
      <c r="E681" s="21" t="s">
        <v>311</v>
      </c>
      <c r="F681" s="22" t="s">
        <v>324</v>
      </c>
      <c r="G681" s="21" t="s">
        <v>322</v>
      </c>
      <c r="H681" s="13">
        <v>32031</v>
      </c>
      <c r="I681" s="20" t="s">
        <v>492</v>
      </c>
      <c r="J681" s="14" t="s">
        <v>504</v>
      </c>
      <c r="K681" s="13">
        <v>45110</v>
      </c>
      <c r="L681" s="17">
        <v>60</v>
      </c>
      <c r="M681" s="13">
        <f t="shared" si="11"/>
        <v>45170</v>
      </c>
      <c r="N681" s="14" t="s">
        <v>495</v>
      </c>
      <c r="O681" s="16" t="s">
        <v>538</v>
      </c>
      <c r="P681" s="16">
        <v>1</v>
      </c>
      <c r="Q681" s="14" t="s">
        <v>499</v>
      </c>
      <c r="R681" s="23"/>
      <c r="S681" s="23"/>
      <c r="T681" s="24"/>
    </row>
    <row r="682" spans="1:20" s="19" customFormat="1" ht="21" customHeight="1" x14ac:dyDescent="0.25">
      <c r="A682" s="12">
        <f>IF(B682="","",COUNTA($B$2:B682))</f>
        <v>681</v>
      </c>
      <c r="B682" s="20" t="s">
        <v>291</v>
      </c>
      <c r="C682" s="14"/>
      <c r="D682" s="14" t="s">
        <v>298</v>
      </c>
      <c r="E682" s="21" t="s">
        <v>314</v>
      </c>
      <c r="F682" s="22" t="s">
        <v>330</v>
      </c>
      <c r="G682" s="16" t="s">
        <v>362</v>
      </c>
      <c r="H682" s="13">
        <v>33029</v>
      </c>
      <c r="I682" s="20" t="s">
        <v>491</v>
      </c>
      <c r="J682" s="14" t="s">
        <v>936</v>
      </c>
      <c r="K682" s="13">
        <v>45110</v>
      </c>
      <c r="L682" s="17">
        <v>60</v>
      </c>
      <c r="M682" s="13">
        <f t="shared" si="11"/>
        <v>45170</v>
      </c>
      <c r="N682" s="14" t="s">
        <v>495</v>
      </c>
      <c r="O682" s="16" t="s">
        <v>538</v>
      </c>
      <c r="P682" s="16">
        <v>1</v>
      </c>
      <c r="Q682" s="14" t="s">
        <v>499</v>
      </c>
      <c r="R682" s="23"/>
      <c r="S682" s="23"/>
      <c r="T682" s="24"/>
    </row>
    <row r="683" spans="1:20" s="19" customFormat="1" ht="21" customHeight="1" x14ac:dyDescent="0.25">
      <c r="A683" s="12">
        <f>IF(B683="","",COUNTA($B$2:B683))</f>
        <v>682</v>
      </c>
      <c r="B683" s="20" t="s">
        <v>510</v>
      </c>
      <c r="C683" s="14"/>
      <c r="D683" s="14" t="s">
        <v>298</v>
      </c>
      <c r="E683" s="21" t="s">
        <v>311</v>
      </c>
      <c r="F683" s="22" t="s">
        <v>324</v>
      </c>
      <c r="G683" s="16" t="s">
        <v>526</v>
      </c>
      <c r="H683" s="13">
        <v>35285</v>
      </c>
      <c r="I683" s="20" t="s">
        <v>492</v>
      </c>
      <c r="J683" s="14" t="s">
        <v>504</v>
      </c>
      <c r="K683" s="13">
        <v>45118</v>
      </c>
      <c r="L683" s="17">
        <v>60</v>
      </c>
      <c r="M683" s="13">
        <f t="shared" si="11"/>
        <v>45178</v>
      </c>
      <c r="N683" s="14" t="s">
        <v>495</v>
      </c>
      <c r="O683" s="16" t="s">
        <v>539</v>
      </c>
      <c r="P683" s="16">
        <v>1</v>
      </c>
      <c r="Q683" s="14" t="s">
        <v>499</v>
      </c>
      <c r="R683" s="13">
        <v>45206</v>
      </c>
      <c r="S683" s="13" t="s">
        <v>976</v>
      </c>
      <c r="T683" s="24"/>
    </row>
    <row r="684" spans="1:20" s="19" customFormat="1" ht="21" customHeight="1" x14ac:dyDescent="0.25">
      <c r="A684" s="12">
        <f>IF(B684="","",COUNTA($B$2:B684))</f>
        <v>683</v>
      </c>
      <c r="B684" s="20" t="s">
        <v>63</v>
      </c>
      <c r="C684" s="14"/>
      <c r="D684" s="14" t="s">
        <v>298</v>
      </c>
      <c r="E684" s="21" t="s">
        <v>306</v>
      </c>
      <c r="F684" s="22" t="s">
        <v>306</v>
      </c>
      <c r="G684" s="16" t="s">
        <v>430</v>
      </c>
      <c r="H684" s="13">
        <v>36243</v>
      </c>
      <c r="I684" s="20" t="s">
        <v>491</v>
      </c>
      <c r="J684" s="14" t="s">
        <v>504</v>
      </c>
      <c r="K684" s="13">
        <v>45120</v>
      </c>
      <c r="L684" s="17">
        <v>60</v>
      </c>
      <c r="M684" s="13">
        <f t="shared" si="11"/>
        <v>45180</v>
      </c>
      <c r="N684" s="14" t="s">
        <v>495</v>
      </c>
      <c r="O684" s="16" t="s">
        <v>539</v>
      </c>
      <c r="P684" s="16">
        <v>1</v>
      </c>
      <c r="Q684" s="14" t="s">
        <v>499</v>
      </c>
      <c r="R684" s="23"/>
      <c r="S684" s="23"/>
      <c r="T684" s="24"/>
    </row>
    <row r="685" spans="1:20" s="19" customFormat="1" ht="21" customHeight="1" x14ac:dyDescent="0.25">
      <c r="A685" s="12">
        <f>IF(B685="","",COUNTA($B$2:B685))</f>
        <v>684</v>
      </c>
      <c r="B685" s="20" t="s">
        <v>508</v>
      </c>
      <c r="C685" s="14"/>
      <c r="D685" s="14" t="s">
        <v>298</v>
      </c>
      <c r="E685" s="21" t="s">
        <v>309</v>
      </c>
      <c r="F685" s="22" t="s">
        <v>329</v>
      </c>
      <c r="G685" s="16" t="s">
        <v>407</v>
      </c>
      <c r="H685" s="13">
        <v>32240</v>
      </c>
      <c r="I685" s="20" t="s">
        <v>492</v>
      </c>
      <c r="J685" s="14" t="s">
        <v>504</v>
      </c>
      <c r="K685" s="13">
        <v>45121</v>
      </c>
      <c r="L685" s="17">
        <v>60</v>
      </c>
      <c r="M685" s="13">
        <f t="shared" si="11"/>
        <v>45181</v>
      </c>
      <c r="N685" s="14" t="s">
        <v>495</v>
      </c>
      <c r="O685" s="16" t="s">
        <v>539</v>
      </c>
      <c r="P685" s="16">
        <v>1</v>
      </c>
      <c r="Q685" s="14" t="s">
        <v>499</v>
      </c>
      <c r="R685" s="13">
        <v>45200</v>
      </c>
      <c r="S685" s="13" t="s">
        <v>977</v>
      </c>
      <c r="T685" s="24"/>
    </row>
    <row r="686" spans="1:20" s="19" customFormat="1" ht="21" customHeight="1" x14ac:dyDescent="0.25">
      <c r="A686" s="12">
        <f>IF(B686="","",COUNTA($B$2:B686))</f>
        <v>685</v>
      </c>
      <c r="B686" s="20" t="s">
        <v>166</v>
      </c>
      <c r="C686" s="14"/>
      <c r="D686" s="14" t="s">
        <v>298</v>
      </c>
      <c r="E686" s="21" t="s">
        <v>311</v>
      </c>
      <c r="F686" s="22" t="s">
        <v>318</v>
      </c>
      <c r="G686" s="16" t="s">
        <v>320</v>
      </c>
      <c r="H686" s="13">
        <v>33108</v>
      </c>
      <c r="I686" s="20" t="s">
        <v>492</v>
      </c>
      <c r="J686" s="14" t="s">
        <v>504</v>
      </c>
      <c r="K686" s="13">
        <v>45139</v>
      </c>
      <c r="L686" s="17">
        <v>60</v>
      </c>
      <c r="M686" s="13">
        <f t="shared" si="11"/>
        <v>45199</v>
      </c>
      <c r="N686" s="14" t="s">
        <v>495</v>
      </c>
      <c r="O686" s="16" t="s">
        <v>538</v>
      </c>
      <c r="P686" s="16">
        <v>1</v>
      </c>
      <c r="Q686" s="14" t="s">
        <v>499</v>
      </c>
      <c r="R686" s="23"/>
      <c r="S686" s="23"/>
      <c r="T686" s="24"/>
    </row>
    <row r="687" spans="1:20" s="19" customFormat="1" ht="21" customHeight="1" x14ac:dyDescent="0.25">
      <c r="A687" s="12">
        <f>IF(B687="","",COUNTA($B$2:B687))</f>
        <v>686</v>
      </c>
      <c r="B687" s="20" t="s">
        <v>228</v>
      </c>
      <c r="C687" s="14"/>
      <c r="D687" s="14" t="s">
        <v>298</v>
      </c>
      <c r="E687" s="21" t="s">
        <v>313</v>
      </c>
      <c r="F687" s="22" t="s">
        <v>451</v>
      </c>
      <c r="G687" s="16" t="s">
        <v>463</v>
      </c>
      <c r="H687" s="13">
        <v>36258</v>
      </c>
      <c r="I687" s="20" t="s">
        <v>491</v>
      </c>
      <c r="J687" s="14" t="s">
        <v>504</v>
      </c>
      <c r="K687" s="13">
        <v>45145</v>
      </c>
      <c r="L687" s="17">
        <v>60</v>
      </c>
      <c r="M687" s="13">
        <f t="shared" si="11"/>
        <v>45205</v>
      </c>
      <c r="N687" s="14" t="s">
        <v>495</v>
      </c>
      <c r="O687" s="16" t="s">
        <v>539</v>
      </c>
      <c r="P687" s="16">
        <v>1</v>
      </c>
      <c r="Q687" s="14" t="s">
        <v>499</v>
      </c>
      <c r="R687" s="23"/>
      <c r="S687" s="23"/>
      <c r="T687" s="24"/>
    </row>
    <row r="688" spans="1:20" s="19" customFormat="1" ht="21" customHeight="1" x14ac:dyDescent="0.25">
      <c r="A688" s="12">
        <f>IF(B688="","",COUNTA($B$2:B688))</f>
        <v>687</v>
      </c>
      <c r="B688" s="20" t="s">
        <v>20</v>
      </c>
      <c r="C688" s="14"/>
      <c r="D688" s="14" t="s">
        <v>299</v>
      </c>
      <c r="E688" s="21" t="s">
        <v>302</v>
      </c>
      <c r="F688" s="22" t="s">
        <v>302</v>
      </c>
      <c r="G688" s="16" t="s">
        <v>398</v>
      </c>
      <c r="H688" s="13">
        <v>33873</v>
      </c>
      <c r="I688" s="20" t="s">
        <v>492</v>
      </c>
      <c r="J688" s="14" t="s">
        <v>504</v>
      </c>
      <c r="K688" s="13">
        <v>45147</v>
      </c>
      <c r="L688" s="17">
        <v>60</v>
      </c>
      <c r="M688" s="13">
        <f t="shared" si="11"/>
        <v>45207</v>
      </c>
      <c r="N688" s="14" t="s">
        <v>495</v>
      </c>
      <c r="O688" s="16" t="s">
        <v>538</v>
      </c>
      <c r="P688" s="16">
        <v>1</v>
      </c>
      <c r="Q688" s="14" t="s">
        <v>499</v>
      </c>
      <c r="R688" s="23"/>
      <c r="S688" s="23"/>
      <c r="T688" s="24"/>
    </row>
    <row r="689" spans="1:20" s="19" customFormat="1" ht="21" customHeight="1" x14ac:dyDescent="0.25">
      <c r="A689" s="12">
        <f>IF(B689="","",COUNTA($B$2:B689))</f>
        <v>688</v>
      </c>
      <c r="B689" s="20" t="s">
        <v>264</v>
      </c>
      <c r="C689" s="14"/>
      <c r="D689" s="14" t="s">
        <v>298</v>
      </c>
      <c r="E689" s="21" t="s">
        <v>314</v>
      </c>
      <c r="F689" s="22" t="s">
        <v>328</v>
      </c>
      <c r="G689" s="16" t="s">
        <v>351</v>
      </c>
      <c r="H689" s="13">
        <v>37001</v>
      </c>
      <c r="I689" s="20" t="s">
        <v>491</v>
      </c>
      <c r="J689" s="14" t="s">
        <v>504</v>
      </c>
      <c r="K689" s="13">
        <v>45161</v>
      </c>
      <c r="L689" s="17">
        <v>69</v>
      </c>
      <c r="M689" s="13">
        <f t="shared" si="11"/>
        <v>45230</v>
      </c>
      <c r="N689" s="14" t="s">
        <v>497</v>
      </c>
      <c r="O689" s="16" t="s">
        <v>539</v>
      </c>
      <c r="P689" s="16"/>
      <c r="Q689" s="14" t="s">
        <v>543</v>
      </c>
      <c r="R689" s="23"/>
      <c r="S689" s="23"/>
      <c r="T689" s="24"/>
    </row>
    <row r="690" spans="1:20" s="19" customFormat="1" ht="21" customHeight="1" x14ac:dyDescent="0.25">
      <c r="A690" s="12">
        <f>IF(B690="","",COUNTA($B$2:B690))</f>
        <v>689</v>
      </c>
      <c r="B690" s="20" t="s">
        <v>139</v>
      </c>
      <c r="C690" s="14"/>
      <c r="D690" s="14" t="s">
        <v>298</v>
      </c>
      <c r="E690" s="21" t="s">
        <v>301</v>
      </c>
      <c r="F690" s="22" t="s">
        <v>467</v>
      </c>
      <c r="G690" s="16" t="s">
        <v>486</v>
      </c>
      <c r="H690" s="13">
        <v>35970</v>
      </c>
      <c r="I690" s="20" t="s">
        <v>491</v>
      </c>
      <c r="J690" s="14" t="s">
        <v>504</v>
      </c>
      <c r="K690" s="13">
        <v>45174</v>
      </c>
      <c r="L690" s="17">
        <v>60</v>
      </c>
      <c r="M690" s="13">
        <f t="shared" si="11"/>
        <v>45234</v>
      </c>
      <c r="N690" s="14" t="s">
        <v>495</v>
      </c>
      <c r="O690" s="16" t="s">
        <v>539</v>
      </c>
      <c r="P690" s="16">
        <v>5</v>
      </c>
      <c r="Q690" s="14" t="s">
        <v>503</v>
      </c>
      <c r="R690" s="23"/>
      <c r="S690" s="23"/>
      <c r="T690" s="24"/>
    </row>
    <row r="691" spans="1:20" s="19" customFormat="1" ht="21" customHeight="1" x14ac:dyDescent="0.25">
      <c r="A691" s="12">
        <f>IF(B691="","",COUNTA($B$2:B691))</f>
        <v>690</v>
      </c>
      <c r="B691" s="20" t="s">
        <v>249</v>
      </c>
      <c r="C691" s="14"/>
      <c r="D691" s="14" t="s">
        <v>299</v>
      </c>
      <c r="E691" s="21" t="s">
        <v>314</v>
      </c>
      <c r="F691" s="22" t="s">
        <v>327</v>
      </c>
      <c r="G691" s="16" t="s">
        <v>340</v>
      </c>
      <c r="H691" s="13">
        <v>32641</v>
      </c>
      <c r="I691" s="20" t="s">
        <v>491</v>
      </c>
      <c r="J691" s="14" t="s">
        <v>504</v>
      </c>
      <c r="K691" s="13">
        <v>45174</v>
      </c>
      <c r="L691" s="17">
        <v>60</v>
      </c>
      <c r="M691" s="13">
        <f t="shared" si="11"/>
        <v>45234</v>
      </c>
      <c r="N691" s="14" t="s">
        <v>495</v>
      </c>
      <c r="O691" s="16" t="s">
        <v>538</v>
      </c>
      <c r="P691" s="16">
        <v>5</v>
      </c>
      <c r="Q691" s="14" t="s">
        <v>503</v>
      </c>
      <c r="R691" s="23"/>
      <c r="S691" s="23"/>
      <c r="T691" s="24"/>
    </row>
    <row r="692" spans="1:20" s="19" customFormat="1" ht="21" customHeight="1" x14ac:dyDescent="0.25">
      <c r="A692" s="12">
        <f>IF(B692="","",COUNTA($B$2:B692))</f>
        <v>691</v>
      </c>
      <c r="B692" s="20" t="s">
        <v>35</v>
      </c>
      <c r="C692" s="14"/>
      <c r="D692" s="14" t="s">
        <v>298</v>
      </c>
      <c r="E692" s="21" t="s">
        <v>301</v>
      </c>
      <c r="F692" s="22" t="s">
        <v>464</v>
      </c>
      <c r="G692" s="16" t="s">
        <v>475</v>
      </c>
      <c r="H692" s="13">
        <v>37345</v>
      </c>
      <c r="I692" s="20" t="s">
        <v>491</v>
      </c>
      <c r="J692" s="14" t="s">
        <v>504</v>
      </c>
      <c r="K692" s="13">
        <v>45181</v>
      </c>
      <c r="L692" s="17">
        <v>110</v>
      </c>
      <c r="M692" s="13">
        <f t="shared" si="11"/>
        <v>45291</v>
      </c>
      <c r="N692" s="14" t="s">
        <v>497</v>
      </c>
      <c r="O692" s="16" t="s">
        <v>540</v>
      </c>
      <c r="P692" s="16"/>
      <c r="Q692" s="14"/>
      <c r="R692" s="23"/>
      <c r="S692" s="23"/>
      <c r="T692" s="24"/>
    </row>
    <row r="693" spans="1:20" s="19" customFormat="1" ht="21" customHeight="1" x14ac:dyDescent="0.25">
      <c r="A693" s="12">
        <f>IF(B693="","",COUNTA($B$2:B693))</f>
        <v>692</v>
      </c>
      <c r="B693" s="20" t="s">
        <v>511</v>
      </c>
      <c r="C693" s="14"/>
      <c r="D693" s="14" t="s">
        <v>299</v>
      </c>
      <c r="E693" s="21" t="s">
        <v>314</v>
      </c>
      <c r="F693" s="22" t="s">
        <v>327</v>
      </c>
      <c r="G693" s="16" t="s">
        <v>527</v>
      </c>
      <c r="H693" s="13">
        <v>31876</v>
      </c>
      <c r="I693" s="20" t="s">
        <v>492</v>
      </c>
      <c r="J693" s="14" t="s">
        <v>504</v>
      </c>
      <c r="K693" s="13">
        <v>45182</v>
      </c>
      <c r="L693" s="17">
        <v>60</v>
      </c>
      <c r="M693" s="13">
        <f t="shared" si="11"/>
        <v>45242</v>
      </c>
      <c r="N693" s="14" t="s">
        <v>495</v>
      </c>
      <c r="O693" s="16" t="s">
        <v>539</v>
      </c>
      <c r="P693" s="16">
        <v>5</v>
      </c>
      <c r="Q693" s="14" t="s">
        <v>503</v>
      </c>
      <c r="R693" s="13">
        <v>45200</v>
      </c>
      <c r="S693" s="13" t="s">
        <v>973</v>
      </c>
      <c r="T693" s="24"/>
    </row>
    <row r="694" spans="1:20" s="19" customFormat="1" ht="21" customHeight="1" x14ac:dyDescent="0.25">
      <c r="A694" s="12">
        <f>IF(B694="","",COUNTA($B$2:B694))</f>
        <v>693</v>
      </c>
      <c r="B694" s="20" t="s">
        <v>173</v>
      </c>
      <c r="C694" s="14"/>
      <c r="D694" s="14" t="s">
        <v>298</v>
      </c>
      <c r="E694" s="21" t="s">
        <v>311</v>
      </c>
      <c r="F694" s="22" t="s">
        <v>324</v>
      </c>
      <c r="G694" s="21" t="s">
        <v>320</v>
      </c>
      <c r="H694" s="13">
        <v>33540</v>
      </c>
      <c r="I694" s="20" t="s">
        <v>492</v>
      </c>
      <c r="J694" s="14" t="s">
        <v>504</v>
      </c>
      <c r="K694" s="13">
        <v>45189</v>
      </c>
      <c r="L694" s="17">
        <v>60</v>
      </c>
      <c r="M694" s="13">
        <f t="shared" si="11"/>
        <v>45249</v>
      </c>
      <c r="N694" s="14" t="s">
        <v>495</v>
      </c>
      <c r="O694" s="16" t="s">
        <v>538</v>
      </c>
      <c r="P694" s="16">
        <v>5</v>
      </c>
      <c r="Q694" s="14" t="s">
        <v>503</v>
      </c>
      <c r="R694" s="23"/>
      <c r="S694" s="23"/>
      <c r="T694" s="24"/>
    </row>
    <row r="695" spans="1:20" s="19" customFormat="1" ht="21" customHeight="1" x14ac:dyDescent="0.25">
      <c r="A695" s="12">
        <f>IF(B695="","",COUNTA($B$2:B695))</f>
        <v>694</v>
      </c>
      <c r="B695" s="20" t="s">
        <v>190</v>
      </c>
      <c r="C695" s="14"/>
      <c r="D695" s="14" t="s">
        <v>299</v>
      </c>
      <c r="E695" s="21" t="s">
        <v>311</v>
      </c>
      <c r="F695" s="22" t="s">
        <v>317</v>
      </c>
      <c r="G695" s="16" t="s">
        <v>321</v>
      </c>
      <c r="H695" s="13">
        <v>32225</v>
      </c>
      <c r="I695" s="20" t="s">
        <v>492</v>
      </c>
      <c r="J695" s="14" t="s">
        <v>504</v>
      </c>
      <c r="K695" s="13">
        <v>45194</v>
      </c>
      <c r="L695" s="17">
        <v>60</v>
      </c>
      <c r="M695" s="13">
        <f t="shared" si="11"/>
        <v>45254</v>
      </c>
      <c r="N695" s="14" t="s">
        <v>495</v>
      </c>
      <c r="O695" s="16" t="s">
        <v>540</v>
      </c>
      <c r="P695" s="16">
        <v>5</v>
      </c>
      <c r="Q695" s="14" t="s">
        <v>503</v>
      </c>
      <c r="R695" s="23"/>
      <c r="S695" s="23"/>
      <c r="T695" s="24"/>
    </row>
    <row r="696" spans="1:20" s="19" customFormat="1" ht="21" customHeight="1" x14ac:dyDescent="0.25">
      <c r="A696" s="12">
        <f>IF(B696="","",COUNTA($B$2:B696))</f>
        <v>695</v>
      </c>
      <c r="B696" s="20" t="s">
        <v>229</v>
      </c>
      <c r="C696" s="20"/>
      <c r="D696" s="20" t="s">
        <v>298</v>
      </c>
      <c r="E696" s="20" t="s">
        <v>314</v>
      </c>
      <c r="F696" s="25" t="s">
        <v>314</v>
      </c>
      <c r="G696" s="16" t="s">
        <v>331</v>
      </c>
      <c r="H696" s="13">
        <v>28471</v>
      </c>
      <c r="I696" s="20" t="s">
        <v>492</v>
      </c>
      <c r="J696" s="14" t="s">
        <v>504</v>
      </c>
      <c r="K696" s="13">
        <v>45194</v>
      </c>
      <c r="L696" s="17">
        <v>60</v>
      </c>
      <c r="M696" s="13">
        <f t="shared" si="11"/>
        <v>45254</v>
      </c>
      <c r="N696" s="14" t="s">
        <v>495</v>
      </c>
      <c r="O696" s="16" t="s">
        <v>538</v>
      </c>
      <c r="P696" s="16">
        <v>5</v>
      </c>
      <c r="Q696" s="14" t="s">
        <v>503</v>
      </c>
      <c r="R696" s="23"/>
      <c r="S696" s="23"/>
      <c r="T696" s="24"/>
    </row>
    <row r="697" spans="1:20" s="19" customFormat="1" ht="21" customHeight="1" x14ac:dyDescent="0.25">
      <c r="A697" s="12">
        <f>IF(B697="","",COUNTA($B$2:B697))</f>
        <v>696</v>
      </c>
      <c r="B697" s="20" t="s">
        <v>229</v>
      </c>
      <c r="C697" s="14"/>
      <c r="D697" s="14" t="s">
        <v>298</v>
      </c>
      <c r="E697" s="21" t="s">
        <v>314</v>
      </c>
      <c r="F697" s="22" t="s">
        <v>314</v>
      </c>
      <c r="G697" s="16" t="s">
        <v>331</v>
      </c>
      <c r="H697" s="13">
        <v>28471</v>
      </c>
      <c r="I697" s="20" t="s">
        <v>492</v>
      </c>
      <c r="J697" s="14" t="s">
        <v>504</v>
      </c>
      <c r="K697" s="13">
        <v>45194</v>
      </c>
      <c r="L697" s="17">
        <v>60</v>
      </c>
      <c r="M697" s="13">
        <v>45254</v>
      </c>
      <c r="N697" s="14" t="s">
        <v>536</v>
      </c>
      <c r="O697" s="16" t="s">
        <v>538</v>
      </c>
      <c r="P697" s="16">
        <v>5</v>
      </c>
      <c r="Q697" s="14" t="s">
        <v>503</v>
      </c>
      <c r="R697" s="13">
        <v>45258</v>
      </c>
      <c r="S697" s="14" t="s">
        <v>973</v>
      </c>
      <c r="T697" s="18"/>
    </row>
    <row r="698" spans="1:20" s="19" customFormat="1" ht="21" customHeight="1" x14ac:dyDescent="0.25">
      <c r="A698" s="12">
        <f>IF(B698="","",COUNTA($B$2:B698))</f>
        <v>697</v>
      </c>
      <c r="B698" s="20" t="s">
        <v>226</v>
      </c>
      <c r="C698" s="14"/>
      <c r="D698" s="14" t="s">
        <v>298</v>
      </c>
      <c r="E698" s="21" t="s">
        <v>313</v>
      </c>
      <c r="F698" s="22" t="s">
        <v>450</v>
      </c>
      <c r="G698" s="16" t="s">
        <v>461</v>
      </c>
      <c r="H698" s="13">
        <v>34690</v>
      </c>
      <c r="I698" s="20" t="s">
        <v>491</v>
      </c>
      <c r="J698" s="14" t="s">
        <v>504</v>
      </c>
      <c r="K698" s="13">
        <v>45201</v>
      </c>
      <c r="L698" s="17">
        <v>60</v>
      </c>
      <c r="M698" s="13">
        <f t="shared" ref="M698:M710" si="12">K698+L698</f>
        <v>45261</v>
      </c>
      <c r="N698" s="14" t="s">
        <v>536</v>
      </c>
      <c r="O698" s="16" t="s">
        <v>538</v>
      </c>
      <c r="P698" s="16">
        <v>5</v>
      </c>
      <c r="Q698" s="14" t="s">
        <v>503</v>
      </c>
      <c r="R698" s="23"/>
      <c r="S698" s="23"/>
      <c r="T698" s="24"/>
    </row>
    <row r="699" spans="1:20" s="19" customFormat="1" ht="21" customHeight="1" x14ac:dyDescent="0.25">
      <c r="A699" s="12">
        <f>IF(B699="","",COUNTA($B$2:B699))</f>
        <v>698</v>
      </c>
      <c r="B699" s="20" t="s">
        <v>532</v>
      </c>
      <c r="C699" s="14"/>
      <c r="D699" s="14" t="s">
        <v>298</v>
      </c>
      <c r="E699" s="21" t="s">
        <v>313</v>
      </c>
      <c r="F699" s="22" t="s">
        <v>451</v>
      </c>
      <c r="G699" s="16" t="s">
        <v>535</v>
      </c>
      <c r="H699" s="13">
        <v>33622</v>
      </c>
      <c r="I699" s="20" t="s">
        <v>492</v>
      </c>
      <c r="J699" s="14" t="s">
        <v>504</v>
      </c>
      <c r="K699" s="13">
        <v>45204</v>
      </c>
      <c r="L699" s="17">
        <v>60</v>
      </c>
      <c r="M699" s="13">
        <f t="shared" si="12"/>
        <v>45264</v>
      </c>
      <c r="N699" s="14" t="s">
        <v>536</v>
      </c>
      <c r="O699" s="16" t="s">
        <v>538</v>
      </c>
      <c r="P699" s="16">
        <v>5</v>
      </c>
      <c r="Q699" s="14" t="s">
        <v>503</v>
      </c>
      <c r="R699" s="13">
        <v>45225</v>
      </c>
      <c r="S699" s="13" t="s">
        <v>973</v>
      </c>
      <c r="T699" s="24"/>
    </row>
    <row r="700" spans="1:20" s="19" customFormat="1" ht="21" customHeight="1" x14ac:dyDescent="0.25">
      <c r="A700" s="12">
        <f>IF(B700="","",COUNTA($B$2:B700))</f>
        <v>699</v>
      </c>
      <c r="B700" s="20" t="s">
        <v>36</v>
      </c>
      <c r="C700" s="14"/>
      <c r="D700" s="14" t="s">
        <v>298</v>
      </c>
      <c r="E700" s="21" t="s">
        <v>301</v>
      </c>
      <c r="F700" s="22" t="s">
        <v>464</v>
      </c>
      <c r="G700" s="16" t="s">
        <v>476</v>
      </c>
      <c r="H700" s="13">
        <v>37423</v>
      </c>
      <c r="I700" s="20" t="s">
        <v>491</v>
      </c>
      <c r="J700" s="14" t="s">
        <v>504</v>
      </c>
      <c r="K700" s="13">
        <v>45208</v>
      </c>
      <c r="L700" s="17">
        <v>83</v>
      </c>
      <c r="M700" s="13">
        <f t="shared" si="12"/>
        <v>45291</v>
      </c>
      <c r="N700" s="14" t="s">
        <v>497</v>
      </c>
      <c r="O700" s="16" t="s">
        <v>539</v>
      </c>
      <c r="P700" s="16">
        <v>5</v>
      </c>
      <c r="Q700" s="14" t="s">
        <v>503</v>
      </c>
      <c r="R700" s="23"/>
      <c r="S700" s="23"/>
      <c r="T700" s="24"/>
    </row>
    <row r="701" spans="1:20" s="19" customFormat="1" ht="21" customHeight="1" x14ac:dyDescent="0.25">
      <c r="A701" s="12">
        <f>IF(B701="","",COUNTA($B$2:B701))</f>
        <v>700</v>
      </c>
      <c r="B701" s="20" t="s">
        <v>135</v>
      </c>
      <c r="C701" s="14"/>
      <c r="D701" s="14" t="s">
        <v>298</v>
      </c>
      <c r="E701" s="21" t="s">
        <v>301</v>
      </c>
      <c r="F701" s="22" t="s">
        <v>464</v>
      </c>
      <c r="G701" s="16" t="s">
        <v>476</v>
      </c>
      <c r="H701" s="13">
        <v>37531</v>
      </c>
      <c r="I701" s="20" t="s">
        <v>491</v>
      </c>
      <c r="J701" s="14" t="s">
        <v>504</v>
      </c>
      <c r="K701" s="13">
        <v>45208</v>
      </c>
      <c r="L701" s="17">
        <v>83</v>
      </c>
      <c r="M701" s="13">
        <f t="shared" si="12"/>
        <v>45291</v>
      </c>
      <c r="N701" s="14" t="s">
        <v>497</v>
      </c>
      <c r="O701" s="16" t="s">
        <v>539</v>
      </c>
      <c r="P701" s="16">
        <v>5</v>
      </c>
      <c r="Q701" s="14" t="s">
        <v>503</v>
      </c>
      <c r="R701" s="23"/>
      <c r="S701" s="23"/>
      <c r="T701" s="24"/>
    </row>
    <row r="702" spans="1:20" s="19" customFormat="1" ht="21" customHeight="1" x14ac:dyDescent="0.25">
      <c r="A702" s="12">
        <f>IF(B702="","",COUNTA($B$2:B702))</f>
        <v>701</v>
      </c>
      <c r="B702" s="20" t="s">
        <v>37</v>
      </c>
      <c r="C702" s="14"/>
      <c r="D702" s="14" t="s">
        <v>298</v>
      </c>
      <c r="E702" s="21" t="s">
        <v>301</v>
      </c>
      <c r="F702" s="22" t="s">
        <v>464</v>
      </c>
      <c r="G702" s="16" t="s">
        <v>476</v>
      </c>
      <c r="H702" s="13">
        <v>37119</v>
      </c>
      <c r="I702" s="20" t="s">
        <v>491</v>
      </c>
      <c r="J702" s="14" t="s">
        <v>504</v>
      </c>
      <c r="K702" s="13">
        <v>45210</v>
      </c>
      <c r="L702" s="17">
        <v>81</v>
      </c>
      <c r="M702" s="13">
        <f t="shared" si="12"/>
        <v>45291</v>
      </c>
      <c r="N702" s="14" t="s">
        <v>497</v>
      </c>
      <c r="O702" s="16" t="s">
        <v>539</v>
      </c>
      <c r="P702" s="16">
        <v>5</v>
      </c>
      <c r="Q702" s="14" t="s">
        <v>503</v>
      </c>
      <c r="R702" s="23"/>
      <c r="S702" s="23"/>
      <c r="T702" s="24"/>
    </row>
    <row r="703" spans="1:20" s="19" customFormat="1" ht="21" customHeight="1" x14ac:dyDescent="0.25">
      <c r="A703" s="12">
        <f>IF(B703="","",COUNTA($B$2:B703))</f>
        <v>702</v>
      </c>
      <c r="B703" s="20" t="s">
        <v>80</v>
      </c>
      <c r="C703" s="14"/>
      <c r="D703" s="14" t="s">
        <v>298</v>
      </c>
      <c r="E703" s="21" t="s">
        <v>308</v>
      </c>
      <c r="F703" s="22" t="s">
        <v>441</v>
      </c>
      <c r="G703" s="16" t="s">
        <v>444</v>
      </c>
      <c r="H703" s="13">
        <v>34772</v>
      </c>
      <c r="I703" s="20" t="s">
        <v>492</v>
      </c>
      <c r="J703" s="14" t="s">
        <v>504</v>
      </c>
      <c r="K703" s="13">
        <v>45210</v>
      </c>
      <c r="L703" s="17">
        <v>60</v>
      </c>
      <c r="M703" s="13">
        <f t="shared" si="12"/>
        <v>45270</v>
      </c>
      <c r="N703" s="14" t="s">
        <v>536</v>
      </c>
      <c r="O703" s="16" t="s">
        <v>538</v>
      </c>
      <c r="P703" s="16">
        <v>5</v>
      </c>
      <c r="Q703" s="14" t="s">
        <v>503</v>
      </c>
      <c r="R703" s="23"/>
      <c r="S703" s="23"/>
      <c r="T703" s="24"/>
    </row>
    <row r="704" spans="1:20" s="19" customFormat="1" ht="21" customHeight="1" x14ac:dyDescent="0.25">
      <c r="A704" s="12">
        <f>IF(B704="","",COUNTA($B$2:B704))</f>
        <v>703</v>
      </c>
      <c r="B704" s="20" t="s">
        <v>108</v>
      </c>
      <c r="C704" s="14"/>
      <c r="D704" s="14" t="s">
        <v>298</v>
      </c>
      <c r="E704" s="21" t="s">
        <v>310</v>
      </c>
      <c r="F704" s="22" t="s">
        <v>415</v>
      </c>
      <c r="G704" s="16" t="s">
        <v>417</v>
      </c>
      <c r="H704" s="13">
        <v>34219</v>
      </c>
      <c r="I704" s="20" t="s">
        <v>492</v>
      </c>
      <c r="J704" s="14" t="s">
        <v>504</v>
      </c>
      <c r="K704" s="13">
        <v>45210</v>
      </c>
      <c r="L704" s="17">
        <v>60</v>
      </c>
      <c r="M704" s="13">
        <f t="shared" si="12"/>
        <v>45270</v>
      </c>
      <c r="N704" s="14" t="s">
        <v>536</v>
      </c>
      <c r="O704" s="16" t="s">
        <v>540</v>
      </c>
      <c r="P704" s="16">
        <v>5</v>
      </c>
      <c r="Q704" s="14" t="s">
        <v>503</v>
      </c>
      <c r="R704" s="23"/>
      <c r="S704" s="23"/>
      <c r="T704" s="24"/>
    </row>
    <row r="705" spans="1:20" s="19" customFormat="1" ht="21" customHeight="1" x14ac:dyDescent="0.25">
      <c r="A705" s="12">
        <f>IF(B705="","",COUNTA($B$2:B705))</f>
        <v>704</v>
      </c>
      <c r="B705" s="20" t="s">
        <v>174</v>
      </c>
      <c r="C705" s="14"/>
      <c r="D705" s="14" t="s">
        <v>299</v>
      </c>
      <c r="E705" s="21" t="s">
        <v>311</v>
      </c>
      <c r="F705" s="22" t="s">
        <v>324</v>
      </c>
      <c r="G705" s="21" t="s">
        <v>323</v>
      </c>
      <c r="H705" s="13">
        <v>32417</v>
      </c>
      <c r="I705" s="20" t="s">
        <v>492</v>
      </c>
      <c r="J705" s="14" t="s">
        <v>504</v>
      </c>
      <c r="K705" s="13">
        <v>45215</v>
      </c>
      <c r="L705" s="17">
        <v>60</v>
      </c>
      <c r="M705" s="13">
        <f t="shared" si="12"/>
        <v>45275</v>
      </c>
      <c r="N705" s="14" t="s">
        <v>536</v>
      </c>
      <c r="O705" s="16" t="s">
        <v>538</v>
      </c>
      <c r="P705" s="16">
        <v>5</v>
      </c>
      <c r="Q705" s="14" t="s">
        <v>503</v>
      </c>
      <c r="R705" s="23"/>
      <c r="S705" s="23"/>
      <c r="T705" s="24"/>
    </row>
    <row r="706" spans="1:20" s="19" customFormat="1" ht="21" customHeight="1" x14ac:dyDescent="0.25">
      <c r="A706" s="12">
        <f>IF(B706="","",COUNTA($B$2:B706))</f>
        <v>705</v>
      </c>
      <c r="B706" s="20" t="s">
        <v>262</v>
      </c>
      <c r="C706" s="14"/>
      <c r="D706" s="14" t="s">
        <v>298</v>
      </c>
      <c r="E706" s="21" t="s">
        <v>314</v>
      </c>
      <c r="F706" s="22" t="s">
        <v>328</v>
      </c>
      <c r="G706" s="16" t="s">
        <v>349</v>
      </c>
      <c r="H706" s="13">
        <v>36454</v>
      </c>
      <c r="I706" s="20" t="s">
        <v>492</v>
      </c>
      <c r="J706" s="14" t="s">
        <v>505</v>
      </c>
      <c r="K706" s="13">
        <v>45215</v>
      </c>
      <c r="L706" s="17">
        <v>60</v>
      </c>
      <c r="M706" s="13">
        <f t="shared" si="12"/>
        <v>45275</v>
      </c>
      <c r="N706" s="14" t="s">
        <v>536</v>
      </c>
      <c r="O706" s="16" t="s">
        <v>540</v>
      </c>
      <c r="P706" s="16">
        <v>5</v>
      </c>
      <c r="Q706" s="14" t="s">
        <v>503</v>
      </c>
      <c r="R706" s="23"/>
      <c r="S706" s="23"/>
      <c r="T706" s="24"/>
    </row>
    <row r="707" spans="1:20" s="19" customFormat="1" ht="21" customHeight="1" x14ac:dyDescent="0.25">
      <c r="A707" s="12">
        <f>IF(B707="","",COUNTA($B$2:B707))</f>
        <v>706</v>
      </c>
      <c r="B707" s="20" t="s">
        <v>60</v>
      </c>
      <c r="C707" s="14"/>
      <c r="D707" s="14" t="s">
        <v>298</v>
      </c>
      <c r="E707" s="21" t="s">
        <v>305</v>
      </c>
      <c r="F707" s="22" t="s">
        <v>393</v>
      </c>
      <c r="G707" s="16" t="s">
        <v>390</v>
      </c>
      <c r="H707" s="13">
        <v>37048</v>
      </c>
      <c r="I707" s="20" t="s">
        <v>492</v>
      </c>
      <c r="J707" s="14" t="s">
        <v>504</v>
      </c>
      <c r="K707" s="13">
        <v>45217</v>
      </c>
      <c r="L707" s="17">
        <v>60</v>
      </c>
      <c r="M707" s="13">
        <f t="shared" si="12"/>
        <v>45277</v>
      </c>
      <c r="N707" s="14" t="s">
        <v>497</v>
      </c>
      <c r="O707" s="16" t="s">
        <v>539</v>
      </c>
      <c r="P707" s="16">
        <v>5</v>
      </c>
      <c r="Q707" s="14" t="s">
        <v>503</v>
      </c>
      <c r="R707" s="23"/>
      <c r="S707" s="23"/>
      <c r="T707" s="24"/>
    </row>
    <row r="708" spans="1:20" s="19" customFormat="1" ht="21" customHeight="1" x14ac:dyDescent="0.25">
      <c r="A708" s="12">
        <f>IF(B708="","",COUNTA($B$2:B708))</f>
        <v>707</v>
      </c>
      <c r="B708" s="20" t="s">
        <v>193</v>
      </c>
      <c r="C708" s="14"/>
      <c r="D708" s="14" t="s">
        <v>299</v>
      </c>
      <c r="E708" s="21" t="s">
        <v>311</v>
      </c>
      <c r="F708" s="22" t="s">
        <v>318</v>
      </c>
      <c r="G708" s="16" t="s">
        <v>320</v>
      </c>
      <c r="H708" s="13">
        <v>33253</v>
      </c>
      <c r="I708" s="20" t="s">
        <v>492</v>
      </c>
      <c r="J708" s="14" t="s">
        <v>504</v>
      </c>
      <c r="K708" s="13">
        <v>45222</v>
      </c>
      <c r="L708" s="17">
        <v>60</v>
      </c>
      <c r="M708" s="13">
        <f t="shared" si="12"/>
        <v>45282</v>
      </c>
      <c r="N708" s="14" t="s">
        <v>536</v>
      </c>
      <c r="O708" s="16" t="s">
        <v>538</v>
      </c>
      <c r="P708" s="16">
        <v>5</v>
      </c>
      <c r="Q708" s="14" t="s">
        <v>503</v>
      </c>
      <c r="R708" s="23"/>
      <c r="S708" s="23"/>
      <c r="T708" s="24"/>
    </row>
    <row r="709" spans="1:20" s="19" customFormat="1" ht="21" customHeight="1" x14ac:dyDescent="0.25">
      <c r="A709" s="12">
        <f>IF(B709="","",COUNTA($B$2:B709))</f>
        <v>708</v>
      </c>
      <c r="B709" s="20" t="s">
        <v>227</v>
      </c>
      <c r="C709" s="14"/>
      <c r="D709" s="14" t="s">
        <v>298</v>
      </c>
      <c r="E709" s="21" t="s">
        <v>313</v>
      </c>
      <c r="F709" s="22" t="s">
        <v>451</v>
      </c>
      <c r="G709" s="16" t="s">
        <v>462</v>
      </c>
      <c r="H709" s="13">
        <v>33071</v>
      </c>
      <c r="I709" s="20" t="s">
        <v>491</v>
      </c>
      <c r="J709" s="14" t="s">
        <v>504</v>
      </c>
      <c r="K709" s="13">
        <v>45222</v>
      </c>
      <c r="L709" s="17">
        <v>60</v>
      </c>
      <c r="M709" s="13">
        <f t="shared" si="12"/>
        <v>45282</v>
      </c>
      <c r="N709" s="14" t="s">
        <v>536</v>
      </c>
      <c r="O709" s="16" t="s">
        <v>538</v>
      </c>
      <c r="P709" s="16">
        <v>5</v>
      </c>
      <c r="Q709" s="14" t="s">
        <v>503</v>
      </c>
      <c r="R709" s="23"/>
      <c r="S709" s="23"/>
      <c r="T709" s="24"/>
    </row>
    <row r="710" spans="1:20" s="19" customFormat="1" ht="21" customHeight="1" x14ac:dyDescent="0.25">
      <c r="A710" s="12">
        <f>IF(B710="","",COUNTA($B$2:B710))</f>
        <v>709</v>
      </c>
      <c r="B710" s="20" t="s">
        <v>98</v>
      </c>
      <c r="C710" s="14"/>
      <c r="D710" s="14" t="s">
        <v>298</v>
      </c>
      <c r="E710" s="21" t="s">
        <v>309</v>
      </c>
      <c r="F710" s="22" t="s">
        <v>329</v>
      </c>
      <c r="G710" s="16" t="s">
        <v>407</v>
      </c>
      <c r="H710" s="13">
        <v>34021</v>
      </c>
      <c r="I710" s="20" t="s">
        <v>492</v>
      </c>
      <c r="J710" s="14" t="s">
        <v>504</v>
      </c>
      <c r="K710" s="13">
        <v>45225</v>
      </c>
      <c r="L710" s="17">
        <v>60</v>
      </c>
      <c r="M710" s="13">
        <f t="shared" si="12"/>
        <v>45285</v>
      </c>
      <c r="N710" s="14" t="s">
        <v>536</v>
      </c>
      <c r="O710" s="16" t="s">
        <v>539</v>
      </c>
      <c r="P710" s="16">
        <v>5</v>
      </c>
      <c r="Q710" s="14" t="s">
        <v>503</v>
      </c>
      <c r="R710" s="23"/>
      <c r="S710" s="23"/>
      <c r="T710" s="24"/>
    </row>
    <row r="711" spans="1:20" s="19" customFormat="1" ht="21" customHeight="1" x14ac:dyDescent="0.25">
      <c r="A711" s="12">
        <f>IF(B711="","",COUNTA($B$2:B711))</f>
        <v>710</v>
      </c>
      <c r="B711" s="20" t="s">
        <v>969</v>
      </c>
      <c r="C711" s="14"/>
      <c r="D711" s="14" t="s">
        <v>298</v>
      </c>
      <c r="E711" s="21" t="s">
        <v>301</v>
      </c>
      <c r="F711" s="22" t="s">
        <v>301</v>
      </c>
      <c r="G711" s="16" t="s">
        <v>476</v>
      </c>
      <c r="H711" s="13">
        <v>37455</v>
      </c>
      <c r="I711" s="20" t="s">
        <v>491</v>
      </c>
      <c r="J711" s="14" t="s">
        <v>504</v>
      </c>
      <c r="K711" s="13">
        <v>45239</v>
      </c>
      <c r="L711" s="17">
        <v>60</v>
      </c>
      <c r="M711" s="13">
        <v>45299</v>
      </c>
      <c r="N711" s="14" t="s">
        <v>497</v>
      </c>
      <c r="O711" s="16" t="s">
        <v>539</v>
      </c>
      <c r="P711" s="16">
        <v>5</v>
      </c>
      <c r="Q711" s="14" t="s">
        <v>503</v>
      </c>
      <c r="R711" s="13"/>
      <c r="S711" s="13"/>
      <c r="T711" s="18"/>
    </row>
    <row r="712" spans="1:20" s="19" customFormat="1" ht="21" customHeight="1" x14ac:dyDescent="0.25">
      <c r="A712" s="12">
        <f>IF(B712="","",COUNTA($B$2:B712))</f>
        <v>711</v>
      </c>
      <c r="B712" s="31" t="s">
        <v>970</v>
      </c>
      <c r="C712" s="32"/>
      <c r="D712" s="32" t="s">
        <v>299</v>
      </c>
      <c r="E712" s="33" t="s">
        <v>311</v>
      </c>
      <c r="F712" s="34" t="s">
        <v>317</v>
      </c>
      <c r="G712" s="35" t="s">
        <v>971</v>
      </c>
      <c r="H712" s="36">
        <v>34535</v>
      </c>
      <c r="I712" s="31" t="s">
        <v>492</v>
      </c>
      <c r="J712" s="32" t="s">
        <v>504</v>
      </c>
      <c r="K712" s="36">
        <v>45245</v>
      </c>
      <c r="L712" s="28">
        <v>60</v>
      </c>
      <c r="M712" s="36">
        <v>45305</v>
      </c>
      <c r="N712" s="32" t="s">
        <v>536</v>
      </c>
      <c r="O712" s="35" t="s">
        <v>539</v>
      </c>
      <c r="P712" s="35">
        <v>5</v>
      </c>
      <c r="Q712" s="32" t="s">
        <v>503</v>
      </c>
      <c r="R712" s="36"/>
      <c r="S712" s="36"/>
      <c r="T712" s="37"/>
    </row>
  </sheetData>
  <sortState xmlns:xlrd2="http://schemas.microsoft.com/office/spreadsheetml/2017/richdata2" ref="A287:R707">
    <sortCondition descending="1" ref="R287:R707"/>
  </sortState>
  <dataValidations count="1">
    <dataValidation type="list" allowBlank="1" showInputMessage="1" showErrorMessage="1" sqref="P2:P286" xr:uid="{991EE493-E093-4DA9-AB92-814227487179}">
      <formula1>#REF!</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A8DB-88C8-4BDF-92AB-024B2B5D95C6}">
  <dimension ref="A3:L60"/>
  <sheetViews>
    <sheetView workbookViewId="0">
      <selection activeCell="C3" sqref="C3:C4"/>
    </sheetView>
  </sheetViews>
  <sheetFormatPr defaultRowHeight="15" x14ac:dyDescent="0.25"/>
  <cols>
    <col min="1" max="1" width="12.140625" bestFit="1" customWidth="1"/>
    <col min="2" max="2" width="6.28515625" bestFit="1" customWidth="1"/>
    <col min="3" max="3" width="12.85546875" bestFit="1" customWidth="1"/>
    <col min="4" max="5" width="11.140625" bestFit="1" customWidth="1"/>
    <col min="7" max="7" width="7.42578125" bestFit="1" customWidth="1"/>
    <col min="8" max="8" width="12.140625" bestFit="1" customWidth="1"/>
    <col min="9" max="9" width="14.140625" bestFit="1" customWidth="1"/>
    <col min="10" max="10" width="14.28515625" bestFit="1" customWidth="1"/>
    <col min="11" max="11" width="19.42578125" bestFit="1" customWidth="1"/>
    <col min="12" max="12" width="6.28515625" bestFit="1" customWidth="1"/>
  </cols>
  <sheetData>
    <row r="3" spans="1:12" x14ac:dyDescent="0.25">
      <c r="A3" t="s">
        <v>978</v>
      </c>
      <c r="C3" t="s">
        <v>980</v>
      </c>
      <c r="E3" t="s">
        <v>981</v>
      </c>
      <c r="G3" t="s">
        <v>982</v>
      </c>
      <c r="I3" t="s">
        <v>983</v>
      </c>
    </row>
    <row r="4" spans="1:12" x14ac:dyDescent="0.25">
      <c r="A4" s="38">
        <v>384</v>
      </c>
      <c r="C4" s="38">
        <v>72</v>
      </c>
      <c r="E4" s="38">
        <v>97</v>
      </c>
      <c r="G4" s="8">
        <v>32.005625879043599</v>
      </c>
      <c r="I4" s="7">
        <v>0.25260416666666669</v>
      </c>
    </row>
    <row r="8" spans="1:12" x14ac:dyDescent="0.25">
      <c r="A8" s="6" t="s">
        <v>985</v>
      </c>
      <c r="B8" t="s">
        <v>978</v>
      </c>
      <c r="C8" t="s">
        <v>979</v>
      </c>
      <c r="D8" t="s">
        <v>981</v>
      </c>
      <c r="G8" s="6" t="s">
        <v>974</v>
      </c>
      <c r="H8" t="s">
        <v>978</v>
      </c>
      <c r="K8" s="6" t="s">
        <v>995</v>
      </c>
      <c r="L8" t="s">
        <v>978</v>
      </c>
    </row>
    <row r="9" spans="1:12" x14ac:dyDescent="0.25">
      <c r="A9" s="9" t="s">
        <v>300</v>
      </c>
      <c r="B9" s="38">
        <v>34</v>
      </c>
      <c r="C9" s="38">
        <v>5</v>
      </c>
      <c r="D9" s="38">
        <v>10</v>
      </c>
      <c r="G9" s="9" t="s">
        <v>975</v>
      </c>
      <c r="H9" s="38">
        <v>28</v>
      </c>
      <c r="K9" s="9" t="s">
        <v>987</v>
      </c>
      <c r="L9" s="38">
        <v>249</v>
      </c>
    </row>
    <row r="10" spans="1:12" x14ac:dyDescent="0.25">
      <c r="A10" s="9" t="s">
        <v>299</v>
      </c>
      <c r="B10" s="38">
        <v>88</v>
      </c>
      <c r="C10" s="38">
        <v>20</v>
      </c>
      <c r="D10" s="38">
        <v>29</v>
      </c>
      <c r="G10" s="9" t="s">
        <v>972</v>
      </c>
      <c r="H10" s="38">
        <v>22</v>
      </c>
      <c r="K10" s="9" t="s">
        <v>988</v>
      </c>
      <c r="L10" s="38">
        <v>95</v>
      </c>
    </row>
    <row r="11" spans="1:12" x14ac:dyDescent="0.25">
      <c r="A11" s="9" t="s">
        <v>298</v>
      </c>
      <c r="B11" s="38">
        <v>262</v>
      </c>
      <c r="C11" s="38">
        <v>47</v>
      </c>
      <c r="D11" s="38">
        <v>58</v>
      </c>
      <c r="G11" s="9" t="s">
        <v>977</v>
      </c>
      <c r="H11" s="38">
        <v>18</v>
      </c>
      <c r="K11" s="9" t="s">
        <v>989</v>
      </c>
      <c r="L11" s="38">
        <v>17</v>
      </c>
    </row>
    <row r="12" spans="1:12" x14ac:dyDescent="0.25">
      <c r="A12" s="9" t="s">
        <v>984</v>
      </c>
      <c r="B12" s="38">
        <v>384</v>
      </c>
      <c r="C12" s="38">
        <v>72</v>
      </c>
      <c r="D12" s="38">
        <v>97</v>
      </c>
      <c r="G12" s="9" t="s">
        <v>976</v>
      </c>
      <c r="H12" s="38">
        <v>7</v>
      </c>
      <c r="K12" s="9" t="s">
        <v>990</v>
      </c>
      <c r="L12" s="38">
        <v>23</v>
      </c>
    </row>
    <row r="13" spans="1:12" x14ac:dyDescent="0.25">
      <c r="G13" s="9" t="s">
        <v>973</v>
      </c>
      <c r="H13" s="38">
        <v>22</v>
      </c>
      <c r="K13" s="9" t="s">
        <v>984</v>
      </c>
      <c r="L13" s="38">
        <v>384</v>
      </c>
    </row>
    <row r="14" spans="1:12" x14ac:dyDescent="0.25">
      <c r="G14" s="9" t="s">
        <v>984</v>
      </c>
      <c r="H14" s="38">
        <v>97</v>
      </c>
    </row>
    <row r="16" spans="1:12" x14ac:dyDescent="0.25">
      <c r="A16" s="6" t="s">
        <v>986</v>
      </c>
      <c r="B16" t="s">
        <v>978</v>
      </c>
      <c r="C16" t="s">
        <v>979</v>
      </c>
      <c r="D16" t="s">
        <v>981</v>
      </c>
    </row>
    <row r="17" spans="1:12" x14ac:dyDescent="0.25">
      <c r="A17" s="9" t="s">
        <v>303</v>
      </c>
      <c r="B17" s="38">
        <v>4</v>
      </c>
      <c r="C17" s="38">
        <v>1</v>
      </c>
      <c r="D17" s="38"/>
      <c r="G17" s="6" t="s">
        <v>974</v>
      </c>
      <c r="H17" t="s">
        <v>978</v>
      </c>
      <c r="K17" s="6" t="s">
        <v>996</v>
      </c>
      <c r="L17" t="s">
        <v>978</v>
      </c>
    </row>
    <row r="18" spans="1:12" x14ac:dyDescent="0.25">
      <c r="A18" s="9" t="s">
        <v>314</v>
      </c>
      <c r="B18" s="38">
        <v>112</v>
      </c>
      <c r="C18" s="38">
        <v>20</v>
      </c>
      <c r="D18" s="38">
        <v>43</v>
      </c>
      <c r="G18" s="9" t="s">
        <v>507</v>
      </c>
      <c r="H18" s="38">
        <v>59</v>
      </c>
      <c r="K18" s="9" t="s">
        <v>991</v>
      </c>
      <c r="L18" s="38">
        <v>124</v>
      </c>
    </row>
    <row r="19" spans="1:12" x14ac:dyDescent="0.25">
      <c r="A19" s="9" t="s">
        <v>304</v>
      </c>
      <c r="B19" s="38">
        <v>23</v>
      </c>
      <c r="C19" s="38"/>
      <c r="D19" s="38">
        <v>3</v>
      </c>
      <c r="G19" s="9" t="s">
        <v>504</v>
      </c>
      <c r="H19" s="38">
        <v>284</v>
      </c>
      <c r="K19" s="9" t="s">
        <v>992</v>
      </c>
      <c r="L19" s="38">
        <v>125</v>
      </c>
    </row>
    <row r="20" spans="1:12" x14ac:dyDescent="0.25">
      <c r="A20" s="9" t="s">
        <v>305</v>
      </c>
      <c r="B20" s="38">
        <v>12</v>
      </c>
      <c r="C20" s="38">
        <v>5</v>
      </c>
      <c r="D20" s="38">
        <v>2</v>
      </c>
      <c r="G20" s="9" t="s">
        <v>505</v>
      </c>
      <c r="H20" s="38">
        <v>7</v>
      </c>
      <c r="K20" s="9" t="s">
        <v>993</v>
      </c>
      <c r="L20" s="38">
        <v>88</v>
      </c>
    </row>
    <row r="21" spans="1:12" x14ac:dyDescent="0.25">
      <c r="A21" s="9" t="s">
        <v>311</v>
      </c>
      <c r="B21" s="38">
        <v>76</v>
      </c>
      <c r="C21" s="38">
        <v>20</v>
      </c>
      <c r="D21" s="38">
        <v>18</v>
      </c>
      <c r="G21" s="9" t="s">
        <v>506</v>
      </c>
      <c r="H21" s="38">
        <v>14</v>
      </c>
      <c r="K21" s="9" t="s">
        <v>994</v>
      </c>
      <c r="L21" s="38">
        <v>24</v>
      </c>
    </row>
    <row r="22" spans="1:12" x14ac:dyDescent="0.25">
      <c r="A22" s="9" t="s">
        <v>302</v>
      </c>
      <c r="B22" s="38">
        <v>8</v>
      </c>
      <c r="C22" s="38">
        <v>2</v>
      </c>
      <c r="D22" s="38">
        <v>1</v>
      </c>
      <c r="G22" s="9" t="s">
        <v>935</v>
      </c>
      <c r="H22" s="38">
        <v>20</v>
      </c>
      <c r="K22" s="9" t="s">
        <v>997</v>
      </c>
      <c r="L22" s="38">
        <v>23</v>
      </c>
    </row>
    <row r="23" spans="1:12" x14ac:dyDescent="0.25">
      <c r="A23" s="9" t="s">
        <v>309</v>
      </c>
      <c r="B23" s="38">
        <v>27</v>
      </c>
      <c r="C23" s="38">
        <v>2</v>
      </c>
      <c r="D23" s="38">
        <v>7</v>
      </c>
      <c r="G23" s="9" t="s">
        <v>984</v>
      </c>
      <c r="H23" s="38">
        <v>384</v>
      </c>
      <c r="K23" s="9" t="s">
        <v>984</v>
      </c>
      <c r="L23" s="38">
        <v>384</v>
      </c>
    </row>
    <row r="24" spans="1:12" x14ac:dyDescent="0.25">
      <c r="A24" s="9" t="s">
        <v>310</v>
      </c>
      <c r="B24" s="38">
        <v>19</v>
      </c>
      <c r="C24" s="38">
        <v>5</v>
      </c>
      <c r="D24" s="38">
        <v>7</v>
      </c>
    </row>
    <row r="25" spans="1:12" x14ac:dyDescent="0.25">
      <c r="A25" s="9" t="s">
        <v>306</v>
      </c>
      <c r="B25" s="38">
        <v>6</v>
      </c>
      <c r="C25" s="38">
        <v>1</v>
      </c>
      <c r="D25" s="38">
        <v>1</v>
      </c>
    </row>
    <row r="26" spans="1:12" x14ac:dyDescent="0.25">
      <c r="A26" s="9" t="s">
        <v>307</v>
      </c>
      <c r="B26" s="38">
        <v>13</v>
      </c>
      <c r="C26" s="38">
        <v>1</v>
      </c>
      <c r="D26" s="38">
        <v>2</v>
      </c>
    </row>
    <row r="27" spans="1:12" x14ac:dyDescent="0.25">
      <c r="A27" s="9" t="s">
        <v>308</v>
      </c>
      <c r="B27" s="38">
        <v>14</v>
      </c>
      <c r="C27" s="38">
        <v>5</v>
      </c>
      <c r="D27" s="38">
        <v>2</v>
      </c>
    </row>
    <row r="28" spans="1:12" x14ac:dyDescent="0.25">
      <c r="A28" s="9" t="s">
        <v>313</v>
      </c>
      <c r="B28" s="38">
        <v>31</v>
      </c>
      <c r="C28" s="38">
        <v>4</v>
      </c>
      <c r="D28" s="38">
        <v>8</v>
      </c>
    </row>
    <row r="29" spans="1:12" x14ac:dyDescent="0.25">
      <c r="A29" s="9" t="s">
        <v>301</v>
      </c>
      <c r="B29" s="38">
        <v>36</v>
      </c>
      <c r="C29" s="38">
        <v>6</v>
      </c>
      <c r="D29" s="38">
        <v>3</v>
      </c>
    </row>
    <row r="30" spans="1:12" x14ac:dyDescent="0.25">
      <c r="A30" s="9" t="s">
        <v>312</v>
      </c>
      <c r="B30" s="38">
        <v>3</v>
      </c>
      <c r="C30" s="38"/>
      <c r="D30" s="38"/>
    </row>
    <row r="31" spans="1:12" x14ac:dyDescent="0.25">
      <c r="A31" s="9" t="s">
        <v>984</v>
      </c>
      <c r="B31" s="38">
        <v>384</v>
      </c>
      <c r="C31" s="38">
        <v>72</v>
      </c>
      <c r="D31" s="38">
        <v>97</v>
      </c>
    </row>
    <row r="46" spans="1:11" x14ac:dyDescent="0.25">
      <c r="A46" s="6" t="s">
        <v>985</v>
      </c>
      <c r="B46" t="s">
        <v>978</v>
      </c>
      <c r="C46" t="s">
        <v>979</v>
      </c>
      <c r="D46" t="s">
        <v>981</v>
      </c>
      <c r="H46" s="6" t="s">
        <v>985</v>
      </c>
      <c r="I46" t="s">
        <v>998</v>
      </c>
      <c r="J46" t="s">
        <v>999</v>
      </c>
      <c r="K46" t="s">
        <v>1000</v>
      </c>
    </row>
    <row r="47" spans="1:11" x14ac:dyDescent="0.25">
      <c r="A47" s="9">
        <v>2023</v>
      </c>
      <c r="B47" s="38"/>
      <c r="C47" s="38"/>
      <c r="D47" s="38"/>
      <c r="H47" s="9">
        <v>2023</v>
      </c>
      <c r="I47" s="38"/>
      <c r="J47" s="38"/>
      <c r="K47" s="38"/>
    </row>
    <row r="48" spans="1:11" x14ac:dyDescent="0.25">
      <c r="A48" s="10">
        <v>1</v>
      </c>
      <c r="B48" s="38">
        <v>317</v>
      </c>
      <c r="C48" s="38">
        <v>5</v>
      </c>
      <c r="D48" s="38">
        <v>7</v>
      </c>
      <c r="H48" s="10">
        <v>1</v>
      </c>
      <c r="I48" s="38">
        <v>-60</v>
      </c>
      <c r="J48" s="38">
        <v>0</v>
      </c>
      <c r="K48" s="38">
        <v>2</v>
      </c>
    </row>
    <row r="49" spans="1:11" x14ac:dyDescent="0.25">
      <c r="A49" s="10">
        <v>2</v>
      </c>
      <c r="B49" s="38">
        <v>318</v>
      </c>
      <c r="C49" s="38">
        <v>8</v>
      </c>
      <c r="D49" s="38">
        <v>7</v>
      </c>
      <c r="H49" s="10">
        <v>2</v>
      </c>
      <c r="I49" s="38">
        <v>-65</v>
      </c>
      <c r="J49" s="38">
        <v>-3</v>
      </c>
      <c r="K49" s="38">
        <v>-16</v>
      </c>
    </row>
    <row r="50" spans="1:11" x14ac:dyDescent="0.25">
      <c r="A50" s="10">
        <v>3</v>
      </c>
      <c r="B50" s="38">
        <v>318</v>
      </c>
      <c r="C50" s="38">
        <v>7</v>
      </c>
      <c r="D50" s="38">
        <v>17</v>
      </c>
      <c r="H50" s="10">
        <v>3</v>
      </c>
      <c r="I50" s="38">
        <v>-63</v>
      </c>
      <c r="J50" s="38">
        <v>-14</v>
      </c>
      <c r="K50" s="38">
        <v>-4</v>
      </c>
    </row>
    <row r="51" spans="1:11" x14ac:dyDescent="0.25">
      <c r="A51" s="10">
        <v>4</v>
      </c>
      <c r="B51" s="38">
        <v>308</v>
      </c>
      <c r="C51" s="38">
        <v>7</v>
      </c>
      <c r="D51" s="38">
        <v>4</v>
      </c>
      <c r="H51" s="10">
        <v>4</v>
      </c>
      <c r="I51" s="38">
        <v>-66</v>
      </c>
      <c r="J51" s="38">
        <v>-7</v>
      </c>
      <c r="K51" s="38">
        <v>-12</v>
      </c>
    </row>
    <row r="52" spans="1:11" x14ac:dyDescent="0.25">
      <c r="A52" s="10">
        <v>5</v>
      </c>
      <c r="B52" s="38">
        <v>312</v>
      </c>
      <c r="C52" s="38">
        <v>8</v>
      </c>
      <c r="D52" s="38">
        <v>13</v>
      </c>
      <c r="H52" s="10">
        <v>5</v>
      </c>
      <c r="I52" s="38">
        <v>-70</v>
      </c>
      <c r="J52" s="38">
        <v>-16</v>
      </c>
      <c r="K52" s="38">
        <v>-50</v>
      </c>
    </row>
    <row r="53" spans="1:11" x14ac:dyDescent="0.25">
      <c r="A53" s="10">
        <v>6</v>
      </c>
      <c r="B53" s="38">
        <v>304</v>
      </c>
      <c r="C53" s="38">
        <v>5</v>
      </c>
      <c r="D53" s="38">
        <v>8</v>
      </c>
      <c r="H53" s="10">
        <v>6</v>
      </c>
      <c r="I53" s="38">
        <v>-27</v>
      </c>
      <c r="J53" s="38">
        <v>-7</v>
      </c>
      <c r="K53" s="38">
        <v>-4</v>
      </c>
    </row>
    <row r="54" spans="1:11" x14ac:dyDescent="0.25">
      <c r="A54" s="10">
        <v>7</v>
      </c>
      <c r="B54" s="38">
        <v>301</v>
      </c>
      <c r="C54" s="38">
        <v>5</v>
      </c>
      <c r="D54" s="38">
        <v>8</v>
      </c>
      <c r="H54" s="10">
        <v>7</v>
      </c>
      <c r="I54" s="38">
        <v>-31</v>
      </c>
      <c r="J54" s="38">
        <v>-8</v>
      </c>
      <c r="K54" s="38">
        <v>-4</v>
      </c>
    </row>
    <row r="55" spans="1:11" x14ac:dyDescent="0.25">
      <c r="A55" s="10">
        <v>8</v>
      </c>
      <c r="B55" s="38">
        <v>297</v>
      </c>
      <c r="C55" s="38">
        <v>4</v>
      </c>
      <c r="D55" s="38">
        <v>7</v>
      </c>
      <c r="H55" s="10">
        <v>8</v>
      </c>
      <c r="I55" s="38">
        <v>-31</v>
      </c>
      <c r="J55" s="38">
        <v>-4</v>
      </c>
      <c r="K55" s="38">
        <v>-5</v>
      </c>
    </row>
    <row r="56" spans="1:11" x14ac:dyDescent="0.25">
      <c r="A56" s="10">
        <v>9</v>
      </c>
      <c r="B56" s="38">
        <v>298</v>
      </c>
      <c r="C56" s="38">
        <v>8</v>
      </c>
      <c r="D56" s="38">
        <v>3</v>
      </c>
      <c r="H56" s="10">
        <v>9</v>
      </c>
      <c r="I56" s="38">
        <v>-24</v>
      </c>
      <c r="J56" s="38">
        <v>2</v>
      </c>
      <c r="K56" s="38">
        <v>-8</v>
      </c>
    </row>
    <row r="57" spans="1:11" x14ac:dyDescent="0.25">
      <c r="A57" s="10">
        <v>10</v>
      </c>
      <c r="B57" s="38">
        <v>308</v>
      </c>
      <c r="C57" s="38">
        <v>13</v>
      </c>
      <c r="D57" s="38">
        <v>20</v>
      </c>
      <c r="H57" s="10">
        <v>10</v>
      </c>
      <c r="I57" s="38">
        <v>-11</v>
      </c>
      <c r="J57" s="38">
        <v>5</v>
      </c>
      <c r="K57" s="38">
        <v>8</v>
      </c>
    </row>
    <row r="58" spans="1:11" x14ac:dyDescent="0.25">
      <c r="A58" s="10">
        <v>11</v>
      </c>
      <c r="B58" s="38">
        <v>290</v>
      </c>
      <c r="C58" s="38">
        <v>2</v>
      </c>
      <c r="D58" s="38">
        <v>3</v>
      </c>
      <c r="H58" s="10">
        <v>11</v>
      </c>
      <c r="I58" s="38">
        <v>-28</v>
      </c>
      <c r="J58" s="38">
        <v>-9</v>
      </c>
      <c r="K58" s="38">
        <v>-5</v>
      </c>
    </row>
    <row r="59" spans="1:11" x14ac:dyDescent="0.25">
      <c r="A59" s="10">
        <v>12</v>
      </c>
      <c r="B59" s="38">
        <v>287</v>
      </c>
      <c r="C59" s="38"/>
      <c r="D59" s="38"/>
      <c r="H59" s="10">
        <v>12</v>
      </c>
      <c r="I59" s="38">
        <v>-32</v>
      </c>
      <c r="J59" s="38"/>
      <c r="K59" s="38"/>
    </row>
    <row r="60" spans="1:11" x14ac:dyDescent="0.25">
      <c r="A60" s="9" t="s">
        <v>984</v>
      </c>
      <c r="B60" s="38">
        <v>384</v>
      </c>
      <c r="C60" s="38">
        <v>72</v>
      </c>
      <c r="D60" s="38">
        <v>97</v>
      </c>
      <c r="H60" s="9" t="s">
        <v>984</v>
      </c>
      <c r="I60" s="38">
        <v>-130</v>
      </c>
      <c r="J60" s="38">
        <v>-70</v>
      </c>
      <c r="K60" s="38">
        <v>-105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58D5-6ADE-433D-9DCE-9DB284111329}">
  <dimension ref="A1:AA40"/>
  <sheetViews>
    <sheetView showGridLines="0" showRowColHeaders="0" tabSelected="1" zoomScale="87" zoomScaleNormal="87" workbookViewId="0">
      <selection activeCell="B8" sqref="B8"/>
    </sheetView>
  </sheetViews>
  <sheetFormatPr defaultRowHeight="15" x14ac:dyDescent="0.25"/>
  <sheetData>
    <row r="1" spans="1:27" x14ac:dyDescent="0.25">
      <c r="A1" s="11"/>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7" spans="1:27"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���� ph���� h�c v��L��p ������ tu����� vi��� vi���n m���n m�� l����������� ph���� h�c v��L��p ������ tu����� vi��� vi���n m���n m�� l���������������� vi�� vi�� vi��� vi��� vi��� vi���n m���n m���n m���n m���n m���n m�� l�� l�� l��������� vi��� vi��� vi�� tu�� tu�� tu�� tu�� tu�� tu��� ph���� h�c v��L��p ������ tu��� tu�� tu�� tu�� tu�� tu�� tu�� tu�� tu�� tu�� tu�� tu�� tu�������� vi�� vi�� vi��� vi��� vi��� vi���n m���n m���n m���n m���n m���n m�� l�� l�� l��������� vi��� vi��� vi�� tu�� tu�� tu�� tu�� tu�� tu��� ph���� h�c v��L��p ������ tu��� tu�� tu�� tu�� tu�� tu�� tu�� tu�� tu�� tu�� tu�� tu�� tu�
</file>

<file path=customXml/item6.xml>���� ph���� h�c v��L��p ������ tu��
</file>

<file path=customXml/item7.xml>������� vi�� vi��� vi��� vi���n m���n m���n m���n m�� l�� l������� vi��� vi�
</file>

<file path=customXml/item8.xml>������� vi�� vi��� vi��� vi���n m���n m���n m���n m�� l�� l������� vi��� vi�
</file>

<file path=customXml/item9.xml>������� vi�� vi��� vi��� vi���n m���n m���n m���n m�� l�� l������� vi��� vi�
</file>

<file path=customXml/item10.xml>������� vi�� vi��� vi��� vi���n m���n m���n m���n m�� l�� l������� vi��� vi�
</file>

<file path=customXml/item11.xml>����� ph���� h�c v��L��p �������� ph���� h�c v��L��p �����
</file>

<file path=customXml/item12.xml>��
</file>

<file path=customXml/item13.xml>������� vi�� vi��� vi��� vi���n m���n m���n m���n m�� l�� l������� vi��� vi�
</file>

<file path=customXml/item14.xml>������� vi�� vi��� vi��� vi���n m���n m���n m���n m�� l�� l������� vi��� vi�
</file>

<file path=customXml/item15.xml>������� vi�� vi��� vi��� vi���n m���n m���n m���n m�� l�� l������� vi��� vi�
</file>

<file path=customXml/item16.xml>���� ph���� h�c v��L��p ������ tu���� ph���� h�c v��L��p ������ tu��
</file>

<file path=customXml/item17.xml>��
</file>

<file path=customXml/item18.xml>������� vi�� vi��� vi��� vi���n m���n m���n m���n m�� l�� l������� vi��� vi�
</file>

<file path=customXml/item19.xml>������� vi�� vi��� vi��� vi���n m���n m���n m���n m�� l�� l������� vi��� vi�
</file>

<file path=customXml/item20.xml>������� vi�� vi��� vi��� vi���n m���n m���n m���n m�� l�� l������� vi��� vi�
</file>

<file path=customXml/item21.xml>��
</file>

<file path=customXml/item22.xml>������� vi�� vi��� vi��� vi���n m���n m���n m���n m�� l�� l�
</file>

<file path=customXml/item23.xml>������� vi�� vi��� vi��� vi���n m���n m���n m���n m�� l�� l������� vi��� vi�
</file>

<file path=customXml/item24.xml>��
</file>

<file path=customXml/item25.xml>������� vi�� vi��� vi��� vi���n m���n m���n m���n m�� l�� l������� vi��� vi�
</file>

<file path=customXml/item26.xml>����� ph���� h�c v��L��p �������� ph���� h�c v��L��p �����
</file>

<file path=customXml/item27.xml>������� vi�� vi��� vi��� vi���n m���n m���n m���n m�� l�� l������� vi��� vi�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F1CC7896-0398-448A-90D2-E3E8C98C2A9C}">
  <ds:schemaRefs/>
</ds:datastoreItem>
</file>

<file path=customXml/itemProps2.xml><?xml version="1.0" encoding="utf-8"?>
<ds:datastoreItem xmlns:ds="http://schemas.openxmlformats.org/officeDocument/2006/customXml" ds:itemID="{78AACD03-5813-4127-A44F-DAD17876AEFA}">
  <ds:schemaRefs/>
</ds:datastoreItem>
</file>

<file path=customXml/itemProps3.xml><?xml version="1.0" encoding="utf-8"?>
<ds:datastoreItem xmlns:ds="http://schemas.openxmlformats.org/officeDocument/2006/customXml" ds:itemID="{C7F910E7-44F2-4E0C-B45C-D348937427AA}">
  <ds:schemaRefs/>
</ds:datastoreItem>
</file>

<file path=customXml/itemProps4.xml><?xml version="1.0" encoding="utf-8"?>
<ds:datastoreItem xmlns:ds="http://schemas.openxmlformats.org/officeDocument/2006/customXml" ds:itemID="{67734779-0D70-4FE0-B798-E9E552D48ACB}">
  <ds:schemaRefs/>
</ds:datastoreItem>
</file>

<file path=customXml/itemProps5.xml><?xml version="1.0" encoding="utf-8"?>
<ds:datastoreItem xmlns:ds="http://schemas.openxmlformats.org/officeDocument/2006/customXml" ds:itemID="{FE35E414-6830-4A53-9852-4154D462D5E3}">
  <ds:schemaRefs/>
</ds:datastoreItem>
</file>

<file path=customXml/itemProps6.xml><?xml version="1.0" encoding="utf-8"?>
<ds:datastoreItem xmlns:ds="http://schemas.openxmlformats.org/officeDocument/2006/customXml" ds:itemID="{77440643-8EA1-4B32-93B1-D2D7EE774714}">
  <ds:schemaRefs/>
</ds:datastoreItem>
</file>

<file path=customXml/itemProps7.xml><?xml version="1.0" encoding="utf-8"?>
<ds:datastoreItem xmlns:ds="http://schemas.openxmlformats.org/officeDocument/2006/customXml" ds:itemID="{B0D2C7E3-D6D4-4222-82F6-4CEFE1594F6A}">
  <ds:schemaRefs/>
</ds:datastoreItem>
</file>

<file path=customXml/itemProps8.xml><?xml version="1.0" encoding="utf-8"?>
<ds:datastoreItem xmlns:ds="http://schemas.openxmlformats.org/officeDocument/2006/customXml" ds:itemID="{E87468A2-8804-4F8A-8C11-3D8432103B3B}">
  <ds:schemaRefs/>
</ds:datastoreItem>
</file>

<file path=customXml/itemProps9.xml><?xml version="1.0" encoding="utf-8"?>
<ds:datastoreItem xmlns:ds="http://schemas.openxmlformats.org/officeDocument/2006/customXml" ds:itemID="{AFB3C6E2-F27B-45B3-A4B3-9687FC5706D6}">
  <ds:schemaRefs/>
</ds:datastoreItem>
</file>

<file path=customXml/itemProps10.xml><?xml version="1.0" encoding="utf-8"?>
<ds:datastoreItem xmlns:ds="http://schemas.openxmlformats.org/officeDocument/2006/customXml" ds:itemID="{ED233EBA-A85A-4AEB-B73A-92F043CBBF83}">
  <ds:schemaRefs/>
</ds:datastoreItem>
</file>

<file path=customXml/itemProps11.xml><?xml version="1.0" encoding="utf-8"?>
<ds:datastoreItem xmlns:ds="http://schemas.openxmlformats.org/officeDocument/2006/customXml" ds:itemID="{0A71C39E-160F-4E46-AF72-DB9E0B9B5633}">
  <ds:schemaRefs/>
</ds:datastoreItem>
</file>

<file path=customXml/itemProps12.xml><?xml version="1.0" encoding="utf-8"?>
<ds:datastoreItem xmlns:ds="http://schemas.openxmlformats.org/officeDocument/2006/customXml" ds:itemID="{5B607184-1A43-494E-9D7A-24D670CE4CA2}">
  <ds:schemaRefs/>
</ds:datastoreItem>
</file>

<file path=customXml/itemProps13.xml><?xml version="1.0" encoding="utf-8"?>
<ds:datastoreItem xmlns:ds="http://schemas.openxmlformats.org/officeDocument/2006/customXml" ds:itemID="{5A8E98AE-50EC-47C2-B442-55E123A2F255}">
  <ds:schemaRefs/>
</ds:datastoreItem>
</file>

<file path=customXml/itemProps14.xml><?xml version="1.0" encoding="utf-8"?>
<ds:datastoreItem xmlns:ds="http://schemas.openxmlformats.org/officeDocument/2006/customXml" ds:itemID="{60AB6BBD-E686-4741-87E1-5871B16BB292}">
  <ds:schemaRefs/>
</ds:datastoreItem>
</file>

<file path=customXml/itemProps15.xml><?xml version="1.0" encoding="utf-8"?>
<ds:datastoreItem xmlns:ds="http://schemas.openxmlformats.org/officeDocument/2006/customXml" ds:itemID="{A2A5A75C-63B1-4ECF-BCB1-4E1F2460C5EB}">
  <ds:schemaRefs/>
</ds:datastoreItem>
</file>

<file path=customXml/itemProps16.xml><?xml version="1.0" encoding="utf-8"?>
<ds:datastoreItem xmlns:ds="http://schemas.openxmlformats.org/officeDocument/2006/customXml" ds:itemID="{D2AE5982-7C9D-4E66-BF94-EBA2D85D8CC9}">
  <ds:schemaRefs/>
</ds:datastoreItem>
</file>

<file path=customXml/itemProps17.xml><?xml version="1.0" encoding="utf-8"?>
<ds:datastoreItem xmlns:ds="http://schemas.openxmlformats.org/officeDocument/2006/customXml" ds:itemID="{D5A04572-64CC-40C0-A01C-1685893E04CB}">
  <ds:schemaRefs/>
</ds:datastoreItem>
</file>

<file path=customXml/itemProps18.xml><?xml version="1.0" encoding="utf-8"?>
<ds:datastoreItem xmlns:ds="http://schemas.openxmlformats.org/officeDocument/2006/customXml" ds:itemID="{5F5B2001-FB2F-4292-AFDC-903062897F37}">
  <ds:schemaRefs/>
</ds:datastoreItem>
</file>

<file path=customXml/itemProps19.xml><?xml version="1.0" encoding="utf-8"?>
<ds:datastoreItem xmlns:ds="http://schemas.openxmlformats.org/officeDocument/2006/customXml" ds:itemID="{65B52687-3382-4B93-8E18-189540A6F798}">
  <ds:schemaRefs/>
</ds:datastoreItem>
</file>

<file path=customXml/itemProps20.xml><?xml version="1.0" encoding="utf-8"?>
<ds:datastoreItem xmlns:ds="http://schemas.openxmlformats.org/officeDocument/2006/customXml" ds:itemID="{0327BED0-E5AC-4095-B68F-FBE9D72F7ED8}">
  <ds:schemaRefs/>
</ds:datastoreItem>
</file>

<file path=customXml/itemProps21.xml><?xml version="1.0" encoding="utf-8"?>
<ds:datastoreItem xmlns:ds="http://schemas.openxmlformats.org/officeDocument/2006/customXml" ds:itemID="{DD333616-40E9-4AED-9B1B-DE1FEB0F7C1A}">
  <ds:schemaRefs/>
</ds:datastoreItem>
</file>

<file path=customXml/itemProps22.xml><?xml version="1.0" encoding="utf-8"?>
<ds:datastoreItem xmlns:ds="http://schemas.openxmlformats.org/officeDocument/2006/customXml" ds:itemID="{3E538F84-7DD7-49DF-93E6-079C42AEC0F6}">
  <ds:schemaRefs/>
</ds:datastoreItem>
</file>

<file path=customXml/itemProps23.xml><?xml version="1.0" encoding="utf-8"?>
<ds:datastoreItem xmlns:ds="http://schemas.openxmlformats.org/officeDocument/2006/customXml" ds:itemID="{0F8B300D-9874-46C6-81E9-C01ABD54A4DE}">
  <ds:schemaRefs/>
</ds:datastoreItem>
</file>

<file path=customXml/itemProps24.xml><?xml version="1.0" encoding="utf-8"?>
<ds:datastoreItem xmlns:ds="http://schemas.openxmlformats.org/officeDocument/2006/customXml" ds:itemID="{59002D67-D476-448C-B456-ED600348FA6E}">
  <ds:schemaRefs/>
</ds:datastoreItem>
</file>

<file path=customXml/itemProps25.xml><?xml version="1.0" encoding="utf-8"?>
<ds:datastoreItem xmlns:ds="http://schemas.openxmlformats.org/officeDocument/2006/customXml" ds:itemID="{2E788072-B164-4258-80EA-87C5F1BAB828}">
  <ds:schemaRefs/>
</ds:datastoreItem>
</file>

<file path=customXml/itemProps26.xml><?xml version="1.0" encoding="utf-8"?>
<ds:datastoreItem xmlns:ds="http://schemas.openxmlformats.org/officeDocument/2006/customXml" ds:itemID="{E717AAD2-E9CA-438F-875D-408C7EE21EC7}">
  <ds:schemaRefs/>
</ds:datastoreItem>
</file>

<file path=customXml/itemProps27.xml><?xml version="1.0" encoding="utf-8"?>
<ds:datastoreItem xmlns:ds="http://schemas.openxmlformats.org/officeDocument/2006/customXml" ds:itemID="{B03B8F40-2CB3-4EE2-B402-8D0DADB76D39}">
  <ds:schemaRefs/>
</ds:datastoreItem>
</file>

<file path=customXml/itemProps28.xml><?xml version="1.0" encoding="utf-8"?>
<ds:datastoreItem xmlns:ds="http://schemas.openxmlformats.org/officeDocument/2006/customXml" ds:itemID="{D96E6AEE-1E07-4A6F-BDF5-200EAFB31F5C}">
  <ds:schemaRefs/>
</ds:datastoreItem>
</file>

<file path=customXml/itemProps29.xml><?xml version="1.0" encoding="utf-8"?>
<ds:datastoreItem xmlns:ds="http://schemas.openxmlformats.org/officeDocument/2006/customXml" ds:itemID="{1A090A00-D33F-400B-B9B5-229385B0EEA6}">
  <ds:schemaRefs>
    <ds:schemaRef ds:uri="http://schemas.microsoft.com/DataMashup"/>
  </ds:schemaRefs>
</ds:datastoreItem>
</file>

<file path=customXml/itemProps30.xml><?xml version="1.0" encoding="utf-8"?>
<ds:datastoreItem xmlns:ds="http://schemas.openxmlformats.org/officeDocument/2006/customXml" ds:itemID="{C5478E11-882B-413A-9116-7B2D3E83A2FC}">
  <ds:schemaRefs/>
</ds:datastoreItem>
</file>

<file path=customXml/itemProps31.xml><?xml version="1.0" encoding="utf-8"?>
<ds:datastoreItem xmlns:ds="http://schemas.openxmlformats.org/officeDocument/2006/customXml" ds:itemID="{419F6661-DAA2-458D-B8CC-4086CD85C7F6}">
  <ds:schemaRefs/>
</ds:datastoreItem>
</file>

<file path=customXml/itemProps32.xml><?xml version="1.0" encoding="utf-8"?>
<ds:datastoreItem xmlns:ds="http://schemas.openxmlformats.org/officeDocument/2006/customXml" ds:itemID="{D4F06DA3-968F-482F-866E-3A3F967662FB}">
  <ds:schemaRefs/>
</ds:datastoreItem>
</file>

<file path=customXml/itemProps33.xml><?xml version="1.0" encoding="utf-8"?>
<ds:datastoreItem xmlns:ds="http://schemas.openxmlformats.org/officeDocument/2006/customXml" ds:itemID="{6050C975-3BAC-4428-80F2-0396FF039740}">
  <ds:schemaRefs/>
</ds:datastoreItem>
</file>

<file path=customXml/itemProps34.xml><?xml version="1.0" encoding="utf-8"?>
<ds:datastoreItem xmlns:ds="http://schemas.openxmlformats.org/officeDocument/2006/customXml" ds:itemID="{F8EF981E-1AF8-4E71-901A-8E1C204734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Phân tích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Tiệp Trần</dc:creator>
  <cp:lastModifiedBy>Tiệp Trần</cp:lastModifiedBy>
  <dcterms:created xsi:type="dcterms:W3CDTF">2023-11-13T01:41:00Z</dcterms:created>
  <dcterms:modified xsi:type="dcterms:W3CDTF">2024-01-19T12:28:04Z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2023-11-13T01:43:09Z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fb20c0d3-4bc3-4e02-803c-8f0972db089b</vt:lpwstr>
  </property>
  <property fmtid="{D5CDD505-2E9C-101B-9397-08002B2CF9AE}" pid="8" name="MSIP_Label_defa4170-0d19-0005-0004-bc88714345d2_ContentBits">
    <vt:lpwstr>0</vt:lpwstr>
  </property>
</Properties>
</file>