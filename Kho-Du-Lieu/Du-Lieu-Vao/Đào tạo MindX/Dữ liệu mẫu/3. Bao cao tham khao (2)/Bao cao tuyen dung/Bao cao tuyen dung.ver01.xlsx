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029"/>
  <workbookPr filterPrivacy="1" hidePivotFieldList="1"/>
  <xr:revisionPtr revIDLastSave="0" documentId="13_ncr:1_{64852912-C506-4EF6-A055-2710335A7169}" xr6:coauthVersionLast="47" xr6:coauthVersionMax="47" xr10:uidLastSave="{00000000-0000-0000-0000-000000000000}"/>
  <bookViews>
    <workbookView xWindow="-120" yWindow="-120" windowWidth="20730" windowHeight="11160" activeTab="3" xr2:uid="{00000000-000D-0000-FFFF-FFFF00000000}"/>
  </bookViews>
  <sheets>
    <sheet name="Yêu cầu" sheetId="2" r:id="rId1"/>
    <sheet name="Data" sheetId="1" r:id="rId2"/>
    <sheet name="Phân tích" sheetId="3" r:id="rId3"/>
    <sheet name="Dashboard" sheetId="5" r:id="rId4"/>
  </sheets>
  <definedNames>
    <definedName name="_xlnm._FilterDatabase" localSheetId="1" hidden="1">Data!$A$1:$V$631</definedName>
    <definedName name="Slicer_Đơn_vị___Chi_nhánh">#N/A</definedName>
    <definedName name="Slicer_Months2">#N/A</definedName>
  </definedNames>
  <calcPr calcId="191029"/>
  <pivotCaches>
    <pivotCache cacheId="11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 i="3" l="1"/>
  <c r="E2" i="3"/>
</calcChain>
</file>

<file path=xl/sharedStrings.xml><?xml version="1.0" encoding="utf-8"?>
<sst xmlns="http://schemas.openxmlformats.org/spreadsheetml/2006/main" count="7037" uniqueCount="190">
  <si>
    <t>STT</t>
  </si>
  <si>
    <t>Ngày nhận hồ sơ</t>
  </si>
  <si>
    <t>Đơn vị / Chi nhánh</t>
  </si>
  <si>
    <t>Phòng ban/Bộ phận</t>
  </si>
  <si>
    <t>Vị trí</t>
  </si>
  <si>
    <t>Họ và tên</t>
  </si>
  <si>
    <t>Ngày tháng năm sinh</t>
  </si>
  <si>
    <t>Tuổi</t>
  </si>
  <si>
    <t>Giới tính</t>
  </si>
  <si>
    <t>Tốt nghiệp trường</t>
  </si>
  <si>
    <t>Trình độ cao nhất</t>
  </si>
  <si>
    <t>Quê quán</t>
  </si>
  <si>
    <t>Nguồn</t>
  </si>
  <si>
    <t>Hình thức</t>
  </si>
  <si>
    <t>Kênh</t>
  </si>
  <si>
    <t>Tại</t>
  </si>
  <si>
    <t>Số lượng  hồ sơ</t>
  </si>
  <si>
    <t>Vượt qua vòng 1</t>
  </si>
  <si>
    <t>Vượt qua vòng 2</t>
  </si>
  <si>
    <t>Nhận việc</t>
  </si>
  <si>
    <t>Thời gian hoàn thành</t>
  </si>
  <si>
    <t>Chi phí</t>
  </si>
  <si>
    <t>Thái Nguyên</t>
  </si>
  <si>
    <t>Phòng Đào tạo</t>
  </si>
  <si>
    <t>Giảng viên</t>
  </si>
  <si>
    <t>Lê Thị Hương Giang</t>
  </si>
  <si>
    <t>Nữ</t>
  </si>
  <si>
    <t>FTU</t>
  </si>
  <si>
    <t>Cao học</t>
  </si>
  <si>
    <t>Nghệ An</t>
  </si>
  <si>
    <t>Bên trong</t>
  </si>
  <si>
    <t>Giới thiệu</t>
  </si>
  <si>
    <t>Trụ sở chính</t>
  </si>
  <si>
    <t>Phòng Marekting</t>
  </si>
  <si>
    <t>NV Marketing</t>
  </si>
  <si>
    <t>Phạm Thị Cẩm Trà</t>
  </si>
  <si>
    <t>Kinh doanh công nghệ</t>
  </si>
  <si>
    <t>Đại học</t>
  </si>
  <si>
    <t>Bên ngoài</t>
  </si>
  <si>
    <t>Online</t>
  </si>
  <si>
    <t>Mạng xã hội</t>
  </si>
  <si>
    <t>Facebook</t>
  </si>
  <si>
    <t>Phòng kế toán</t>
  </si>
  <si>
    <t>Kế toán thuế</t>
  </si>
  <si>
    <t>Nguyễn Thu Hiền</t>
  </si>
  <si>
    <t>Hà Nội</t>
  </si>
  <si>
    <t>Website</t>
  </si>
  <si>
    <t>vietnamworks.com</t>
  </si>
  <si>
    <t>TP HCM</t>
  </si>
  <si>
    <t>Đặng Thị Thu Hương</t>
  </si>
  <si>
    <t>Thương mại</t>
  </si>
  <si>
    <t>Admin</t>
  </si>
  <si>
    <t>Tạp vụ</t>
  </si>
  <si>
    <t>Nguyễn Mai Liên</t>
  </si>
  <si>
    <t>Lê Thùy Linh</t>
  </si>
  <si>
    <t>Nam Định</t>
  </si>
  <si>
    <t>Khác</t>
  </si>
  <si>
    <t>Đà Nẵng</t>
  </si>
  <si>
    <t>Nguyễn Ngọc Quỳnh</t>
  </si>
  <si>
    <t>Bảo vệ</t>
  </si>
  <si>
    <t>Nguyễn Thị Kiều</t>
  </si>
  <si>
    <t>ĐH Công nghiệp HCM</t>
  </si>
  <si>
    <t>Vĩnh Phúc</t>
  </si>
  <si>
    <t>Offline</t>
  </si>
  <si>
    <t>Thông báo, poster</t>
  </si>
  <si>
    <t>Lê Mai Linh</t>
  </si>
  <si>
    <t>Hải Phòng</t>
  </si>
  <si>
    <t>Phòng kinh doanh</t>
  </si>
  <si>
    <t>NV kinh doanh</t>
  </si>
  <si>
    <t>Nguyễn Thu Hằng</t>
  </si>
  <si>
    <t>Thăng Long</t>
  </si>
  <si>
    <t>Phòng hành chính nhân sự</t>
  </si>
  <si>
    <t>Lê Hà Linh</t>
  </si>
  <si>
    <t>ĐH Mở</t>
  </si>
  <si>
    <t>Đào Thị Lan</t>
  </si>
  <si>
    <t>HV ngân hàng</t>
  </si>
  <si>
    <t>Hải Dương</t>
  </si>
  <si>
    <t>Zalo</t>
  </si>
  <si>
    <t>Vũ Thị Thư</t>
  </si>
  <si>
    <t>HV tài chính</t>
  </si>
  <si>
    <t>Vũ Thị Bích</t>
  </si>
  <si>
    <t>Nội bộ</t>
  </si>
  <si>
    <t>Lương Thị Hương Liên</t>
  </si>
  <si>
    <t>ĐH Văn Hóa</t>
  </si>
  <si>
    <t>Carrerbuilder.vn</t>
  </si>
  <si>
    <t>Trưởng bộ phận Đào tạo</t>
  </si>
  <si>
    <t>Trần Gia Mạnh</t>
  </si>
  <si>
    <t>Nam</t>
  </si>
  <si>
    <t>KTQD</t>
  </si>
  <si>
    <t>Headhunt</t>
  </si>
  <si>
    <t>Đinh Thị Kim Huệ</t>
  </si>
  <si>
    <t>Cao đẳng</t>
  </si>
  <si>
    <t>Bắc Giang</t>
  </si>
  <si>
    <t>Ngoại ngữ QG</t>
  </si>
  <si>
    <t>Nguyễn Thị Thanh Hằng</t>
  </si>
  <si>
    <t>timviecnhanh.com</t>
  </si>
  <si>
    <t>Trương Thanh Hằng</t>
  </si>
  <si>
    <t>Đại Nam</t>
  </si>
  <si>
    <t>Phạm Thị Thanh Mai</t>
  </si>
  <si>
    <t>Bùi Thị Thanh Hoài</t>
  </si>
  <si>
    <t>Bùi Thị Quế</t>
  </si>
  <si>
    <t>Trịnh Văn Mạnh</t>
  </si>
  <si>
    <t>ĐH Kinh tế QG</t>
  </si>
  <si>
    <t>Thanh Hóa</t>
  </si>
  <si>
    <t>Vũ Ngọc Linh</t>
  </si>
  <si>
    <t>Nguyễn Thị Trang</t>
  </si>
  <si>
    <t>Dương Thị Tuyết</t>
  </si>
  <si>
    <t>Đoàn Hoàng Linh</t>
  </si>
  <si>
    <t>Mỏ địa chất</t>
  </si>
  <si>
    <t>Nguyễn Thị Anh Thư</t>
  </si>
  <si>
    <t>ĐH Quốc gia</t>
  </si>
  <si>
    <t>Nguyễn Song Toàn</t>
  </si>
  <si>
    <t>Linkedln</t>
  </si>
  <si>
    <t>Nguyễn Quỳnh Trang</t>
  </si>
  <si>
    <t>Hưng Yên</t>
  </si>
  <si>
    <t>Phan Thị Liễu</t>
  </si>
  <si>
    <t>Hoàng Thị Thanh Huyền</t>
  </si>
  <si>
    <t>Nguyễn Thị Xuân Hạnh</t>
  </si>
  <si>
    <t>Website công ty</t>
  </si>
  <si>
    <t>Quản Thị Thùy Dương</t>
  </si>
  <si>
    <t>Phạm Thị Hà</t>
  </si>
  <si>
    <t>Đỗ Bích Liên</t>
  </si>
  <si>
    <t>Phạm Minh Trang</t>
  </si>
  <si>
    <t>Nguyễn Tố An</t>
  </si>
  <si>
    <t>Cao Thị Huyền Trang</t>
  </si>
  <si>
    <t>Trần Đức Thành</t>
  </si>
  <si>
    <t>Nguyễn Thị Thanh</t>
  </si>
  <si>
    <t>Trần Thị Hiền</t>
  </si>
  <si>
    <t>Nguyễn Thanh Hương</t>
  </si>
  <si>
    <t>Nhân viên Call Center</t>
  </si>
  <si>
    <t>Nhân viên kinh doanh</t>
  </si>
  <si>
    <t>Nhân viên tuyển dụng</t>
  </si>
  <si>
    <t>a</t>
  </si>
  <si>
    <t>Phòng dự án</t>
  </si>
  <si>
    <t>NV dự án</t>
  </si>
  <si>
    <t>vieclam24h.vn</t>
  </si>
  <si>
    <t>Nhân viên đào tạo</t>
  </si>
  <si>
    <t>Mywork.com</t>
  </si>
  <si>
    <t>NV Content</t>
  </si>
  <si>
    <t>Nhân viên C&amp;B</t>
  </si>
  <si>
    <t>Phòng Marketing</t>
  </si>
  <si>
    <t>Nhân viên thiết kế</t>
  </si>
  <si>
    <t>Nhân viên quay dựng</t>
  </si>
  <si>
    <t>Lê Trúc Mai</t>
  </si>
  <si>
    <t>Chưa đạt</t>
  </si>
  <si>
    <t>Row Labels</t>
  </si>
  <si>
    <t>Grand Total</t>
  </si>
  <si>
    <t>Values</t>
  </si>
  <si>
    <t>Column Labels</t>
  </si>
  <si>
    <t>Chi phí/CV</t>
  </si>
  <si>
    <t>Chi phí/NV</t>
  </si>
  <si>
    <t>()</t>
  </si>
  <si>
    <t xml:space="preserve"> Chi phí</t>
  </si>
  <si>
    <t xml:space="preserve">CV </t>
  </si>
  <si>
    <t xml:space="preserve"> Số lượng  hồ sơ</t>
  </si>
  <si>
    <t xml:space="preserve"> Vượt qua vòng 1</t>
  </si>
  <si>
    <t xml:space="preserve"> Vượt qua vòng 2</t>
  </si>
  <si>
    <t>Thg1</t>
  </si>
  <si>
    <t>Thg2</t>
  </si>
  <si>
    <t>Thg3</t>
  </si>
  <si>
    <t>Thg4</t>
  </si>
  <si>
    <t>Thg5</t>
  </si>
  <si>
    <t>Thg6</t>
  </si>
  <si>
    <t>Thg7</t>
  </si>
  <si>
    <t>Thg8</t>
  </si>
  <si>
    <t>Thg9</t>
  </si>
  <si>
    <t>Thg10</t>
  </si>
  <si>
    <t>Thg11</t>
  </si>
  <si>
    <t>Thg12</t>
  </si>
  <si>
    <t>(All)</t>
  </si>
  <si>
    <t>Số CV</t>
  </si>
  <si>
    <t>Số nhận việc</t>
  </si>
  <si>
    <t>A. Chỉ số</t>
  </si>
  <si>
    <t>B. Biểu đồ</t>
  </si>
  <si>
    <t>C. Bảng điều khiển (Slicer)</t>
  </si>
  <si>
    <t>1. Chi nhánh</t>
  </si>
  <si>
    <t>Minh họa tham khảo</t>
  </si>
  <si>
    <t>1. Xác định tổng chi phí tuyển dụng</t>
  </si>
  <si>
    <t>2. Xác định số lượng CV</t>
  </si>
  <si>
    <t>3. Xác định số lượng pass V1</t>
  </si>
  <si>
    <t>4. Xác định số lượng pass V2</t>
  </si>
  <si>
    <t>5. Xác định số lương nhận việc</t>
  </si>
  <si>
    <t>6. Xác định chi phí/CV</t>
  </si>
  <si>
    <t>7. Xác định chi phí/Nhận việc</t>
  </si>
  <si>
    <t>1. Thể hiện số lượng nhận việc và CV chưa đạt theo tháng</t>
  </si>
  <si>
    <t>2. Thể hiện số lượng CV và chi phí theo tháng</t>
  </si>
  <si>
    <t>3. Thể hiện chi phí và nhận việc theo nguồn</t>
  </si>
  <si>
    <t>4. Thể hiện số lượng nhận việc theo chi nhánh và tháng</t>
  </si>
  <si>
    <t>5. Thể hiện số lượng CV và chi phí theo tháng</t>
  </si>
  <si>
    <t>2. Tháng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</si>
</sst>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3" formatCode="_-* #,##0.00_-;\-* #,##0.00_-;_-* &quot;-&quot;??_-;_-@_-"/>
    <numFmt numFmtId="164" formatCode="#,##0_ ;\-#,##0\ "/>
    <numFmt numFmtId="165" formatCode="#,##0.0,,&quot;M&quot;"/>
  </numFmts>
  <fonts count="8" x14ac:knownFonts="1">
    <font>
      <sz val="11"/>
      <color theme="1"/>
      <name val="Calibri"/>
      <family val="2"/>
      <scheme val="minor"/>
    </font>
    <font>
      <sz val="11"/>
      <color theme="1"/>
      <name val="Calibri"/>
      <family val="2"/>
      <scheme val="minor"/>
    </font>
    <font>
      <sz val="11"/>
      <color theme="1"/>
      <name val="Arial"/>
      <family val="2"/>
    </font>
    <font>
      <sz val="11"/>
      <color theme="0"/>
      <name val="Arial"/>
      <family val="2"/>
    </font>
    <font>
      <b/>
      <sz val="11"/>
      <color theme="0"/>
      <name val="Arial"/>
      <family val="2"/>
    </font>
    <font>
      <sz val="12"/>
      <color rgb="FFFFFF00"/>
      <name val="Impact"/>
      <family val="2"/>
    </font>
    <font>
      <b/>
      <sz val="11"/>
      <color rgb="FFC00000"/>
      <name val="Arial"/>
      <family val="2"/>
    </font>
    <font>
      <b/>
      <sz val="11"/>
      <color rgb="FFC00000"/>
      <name val="Times New Roman"/>
      <family val="1"/>
    </font>
  </fonts>
  <fills count="4">
    <fill>
      <patternFill patternType="none"/>
    </fill>
    <fill>
      <patternFill patternType="gray125"/>
    </fill>
    <fill>
      <patternFill patternType="solid">
        <fgColor theme="4" tint="0.59999389629810485"/>
        <bgColor indexed="64"/>
      </patternFill>
    </fill>
    <fill>
      <patternFill patternType="solid">
        <fgColor theme="8" tint="-0.249977111117893"/>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2">
    <xf numFmtId="0" fontId="0" fillId="0" borderId="0"/>
    <xf numFmtId="43" fontId="1" fillId="0" borderId="0" applyFont="0" applyFill="0" applyBorder="0" applyAlignment="0" applyProtection="0"/>
  </cellStyleXfs>
  <cellXfs count="34">
    <xf numFmtId="0" fontId="0" fillId="0" borderId="0" xfId="0"/>
    <xf numFmtId="14" fontId="0" fillId="0" borderId="0" xfId="0" applyNumberFormat="1"/>
    <xf numFmtId="0" fontId="0" fillId="0" borderId="1" xfId="0" applyBorder="1"/>
    <xf numFmtId="14" fontId="0" fillId="0" borderId="1" xfId="0" applyNumberFormat="1" applyBorder="1"/>
    <xf numFmtId="0" fontId="0" fillId="0" borderId="0" xfId="0" applyAlignment="1">
      <alignment horizontal="center" vertical="center" wrapText="1"/>
    </xf>
    <xf numFmtId="0" fontId="0" fillId="0" borderId="0" xfId="0" applyAlignment="1">
      <alignment horizontal="center" vertical="center"/>
    </xf>
    <xf numFmtId="0" fontId="0" fillId="0" borderId="0" xfId="0" applyAlignment="1">
      <alignment vertical="center"/>
    </xf>
    <xf numFmtId="0" fontId="0" fillId="0" borderId="2" xfId="0" applyBorder="1" applyAlignment="1">
      <alignment horizontal="center" vertical="center"/>
    </xf>
    <xf numFmtId="0" fontId="0" fillId="0" borderId="3" xfId="0" applyBorder="1"/>
    <xf numFmtId="0" fontId="0" fillId="0" borderId="4" xfId="0" applyBorder="1" applyAlignment="1">
      <alignment horizontal="center" vertical="center" wrapText="1"/>
    </xf>
    <xf numFmtId="14" fontId="0" fillId="0" borderId="5" xfId="0" applyNumberFormat="1" applyBorder="1" applyAlignment="1">
      <alignment horizontal="center" vertical="center" wrapText="1"/>
    </xf>
    <xf numFmtId="0" fontId="0" fillId="0" borderId="5" xfId="0" applyBorder="1" applyAlignment="1">
      <alignment horizontal="center" vertical="center" wrapText="1"/>
    </xf>
    <xf numFmtId="0" fontId="0" fillId="0" borderId="6" xfId="0" applyBorder="1" applyAlignment="1">
      <alignment horizontal="center" vertical="center" wrapText="1"/>
    </xf>
    <xf numFmtId="0" fontId="0" fillId="0" borderId="7" xfId="0" applyBorder="1" applyAlignment="1">
      <alignment horizontal="center" vertical="center"/>
    </xf>
    <xf numFmtId="14" fontId="0" fillId="0" borderId="8" xfId="0" applyNumberFormat="1" applyBorder="1"/>
    <xf numFmtId="0" fontId="0" fillId="0" borderId="8" xfId="0" applyBorder="1"/>
    <xf numFmtId="0" fontId="0" fillId="0" borderId="9" xfId="0" applyBorder="1"/>
    <xf numFmtId="0" fontId="0" fillId="0" borderId="0" xfId="0" pivotButton="1"/>
    <xf numFmtId="0" fontId="0" fillId="0" borderId="0" xfId="0" applyAlignment="1">
      <alignment horizontal="left"/>
    </xf>
    <xf numFmtId="0" fontId="0" fillId="0" borderId="0" xfId="0" applyAlignment="1">
      <alignment horizontal="left" indent="1"/>
    </xf>
    <xf numFmtId="164" fontId="0" fillId="0" borderId="0" xfId="1" applyNumberFormat="1" applyFont="1"/>
    <xf numFmtId="0" fontId="0" fillId="2" borderId="0" xfId="0" applyFill="1"/>
    <xf numFmtId="0" fontId="0" fillId="0" borderId="0" xfId="0" applyAlignment="1">
      <alignment horizontal="left" indent="2"/>
    </xf>
    <xf numFmtId="0" fontId="0" fillId="0" borderId="0" xfId="0" applyAlignment="1">
      <alignment horizontal="left" indent="3"/>
    </xf>
    <xf numFmtId="165" fontId="0" fillId="0" borderId="0" xfId="0" applyNumberFormat="1"/>
    <xf numFmtId="0" fontId="4" fillId="3" borderId="0" xfId="0" applyFont="1" applyFill="1" applyAlignment="1">
      <alignment horizontal="center"/>
    </xf>
    <xf numFmtId="0" fontId="3" fillId="3" borderId="0" xfId="0" applyFont="1" applyFill="1" applyAlignment="1">
      <alignment horizontal="center" vertical="center"/>
    </xf>
    <xf numFmtId="0" fontId="5" fillId="3" borderId="0" xfId="0" applyFont="1" applyFill="1" applyAlignment="1">
      <alignment horizontal="center" vertical="center"/>
    </xf>
    <xf numFmtId="3" fontId="5" fillId="3" borderId="0" xfId="0" applyNumberFormat="1" applyFont="1" applyFill="1" applyAlignment="1">
      <alignment horizontal="center" vertical="center"/>
    </xf>
    <xf numFmtId="0" fontId="2" fillId="3" borderId="0" xfId="0" applyFont="1" applyFill="1" applyAlignment="1">
      <alignment horizontal="center"/>
    </xf>
    <xf numFmtId="0" fontId="6" fillId="0" borderId="0" xfId="0" applyFont="1"/>
    <xf numFmtId="0" fontId="0" fillId="0" borderId="0" xfId="0" applyAlignment="1">
      <alignment horizontal="left" vertical="center"/>
    </xf>
    <xf numFmtId="0" fontId="7" fillId="0" borderId="0" xfId="0" applyFont="1" applyAlignment="1">
      <alignment horizontal="left" vertical="center"/>
    </xf>
    <xf numFmtId="0" fontId="4" fillId="3" borderId="0" xfId="0" applyFont="1" applyFill="1" applyAlignment="1">
      <alignment horizontal="center" vertical="center" wrapText="1"/>
    </xf>
  </cellXfs>
  <cellStyles count="2">
    <cellStyle name="Comma" xfId="1" builtinId="3"/>
    <cellStyle name="Normal" xfId="0" builtinId="0"/>
  </cellStyles>
  <dxfs count="28">
    <dxf>
      <border diagonalUp="0" diagonalDown="0">
        <left style="thin">
          <color indexed="64"/>
        </left>
        <right/>
        <top style="thin">
          <color indexed="64"/>
        </top>
        <bottom style="thin">
          <color indexed="64"/>
        </bottom>
        <vertical/>
        <horizontal/>
      </border>
    </dxf>
    <dxf>
      <numFmt numFmtId="19" formatCode="dd/mm/yyyy"/>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9" formatCode="dd/mm/yyyy"/>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9" formatCode="dd/mm/yyyy"/>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alignment horizontal="center" vertical="center" textRotation="0" wrapText="1" indent="0" justifyLastLine="0" shrinkToFit="0" readingOrder="0"/>
      <border diagonalUp="0" diagonalDown="0" outline="0">
        <left style="thin">
          <color indexed="64"/>
        </left>
        <right style="thin">
          <color indexed="64"/>
        </right>
        <top/>
        <bottom/>
      </border>
    </dxf>
    <dxf>
      <font>
        <b/>
        <i/>
        <color rgb="FFFFFF00"/>
      </font>
      <fill>
        <patternFill>
          <bgColor theme="8" tint="-0.24994659260841701"/>
        </patternFill>
      </fill>
      <border>
        <bottom style="thin">
          <color theme="8"/>
        </bottom>
        <vertical/>
        <horizontal/>
      </border>
    </dxf>
    <dxf>
      <font>
        <color theme="8" tint="-0.24994659260841701"/>
      </font>
      <fill>
        <patternFill>
          <bgColor theme="8" tint="-0.24994659260841701"/>
        </patternFill>
      </fill>
      <border>
        <left style="thin">
          <color theme="8"/>
        </left>
        <right style="thin">
          <color theme="8"/>
        </right>
        <top style="thin">
          <color theme="8"/>
        </top>
        <bottom style="thin">
          <color theme="8"/>
        </bottom>
        <vertical/>
        <horizontal/>
      </border>
    </dxf>
  </dxfs>
  <tableStyles count="1" defaultTableStyle="TableStyleMedium2" defaultPivotStyle="PivotStyleLight16">
    <tableStyle name="SlicerStyleDark5 2" pivot="0" table="0" count="10" xr9:uid="{84C730A2-9A01-4448-B1E6-24DAF512A81F}">
      <tableStyleElement type="wholeTable" dxfId="27"/>
      <tableStyleElement type="headerRow" dxfId="26"/>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8" tint="-0.24994659260841701"/>
          </font>
          <fill>
            <patternFill patternType="solid">
              <fgColor theme="8" tint="-0.24994659260841701"/>
              <bgColor theme="8" tint="0.59999389629810485"/>
            </patternFill>
          </fill>
          <border>
            <left style="thin">
              <color theme="8" tint="0.59999389629810485"/>
            </left>
            <right style="thin">
              <color theme="8" tint="0.59999389629810485"/>
            </right>
            <top style="thin">
              <color theme="8" tint="0.59999389629810485"/>
            </top>
            <bottom style="thin">
              <color theme="8" tint="0.59999389629810485"/>
            </bottom>
            <vertical/>
            <horizontal/>
          </border>
        </dxf>
        <dxf>
          <font>
            <color theme="0"/>
          </font>
          <fill>
            <patternFill patternType="solid">
              <fgColor theme="8" tint="-0.24994659260841701"/>
              <bgColor theme="8"/>
            </patternFill>
          </fill>
          <border>
            <left style="thin">
              <color theme="8"/>
            </left>
            <right style="thin">
              <color theme="8"/>
            </right>
            <top style="thin">
              <color theme="8"/>
            </top>
            <bottom style="thin">
              <color theme="8"/>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StyleDark5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[Bao cao tuyen dung.ver01.xlsx]Phân tích!Chi phí CN</c:name>
    <c:fmtId val="1"/>
  </c:pivotSource>
  <c:chart>
    <c:title>
      <c:tx>
        <c:rich>
          <a:bodyPr rot="0" spcFirstLastPara="1" vertOverflow="ellipsis" vert="horz" wrap="square" anchor="ctr" anchorCtr="1"/>
          <a:lstStyle/>
          <a:p>
            <a:pPr>
              <a:defRPr sz="1200" b="1" i="0" u="none" strike="noStrike" kern="1200" spc="0" baseline="0">
                <a:solidFill>
                  <a:schemeClr val="accent4"/>
                </a:solidFill>
                <a:latin typeface="+mn-lt"/>
                <a:ea typeface="+mn-ea"/>
                <a:cs typeface="+mn-cs"/>
              </a:defRPr>
            </a:pPr>
            <a:r>
              <a:rPr lang="en-US" sz="1200" b="1">
                <a:solidFill>
                  <a:schemeClr val="accent4"/>
                </a:solidFill>
              </a:rPr>
              <a:t>Chi</a:t>
            </a:r>
            <a:r>
              <a:rPr lang="en-US" sz="1200" b="1" baseline="0">
                <a:solidFill>
                  <a:schemeClr val="accent4"/>
                </a:solidFill>
              </a:rPr>
              <a:t> phí CN</a:t>
            </a:r>
            <a:endParaRPr lang="en-US" sz="1200" b="1">
              <a:solidFill>
                <a:schemeClr val="accent4"/>
              </a:solidFill>
            </a:endParaRPr>
          </a:p>
        </c:rich>
      </c:tx>
      <c:layout>
        <c:manualLayout>
          <c:xMode val="edge"/>
          <c:yMode val="edge"/>
          <c:x val="3.3895369357671173E-3"/>
          <c:y val="7.5329566854990581E-3"/>
        </c:manualLayout>
      </c:layout>
      <c:overlay val="0"/>
      <c:spPr>
        <a:noFill/>
        <a:ln>
          <a:noFill/>
        </a:ln>
        <a:effectLst/>
      </c:spPr>
      <c:txPr>
        <a:bodyPr rot="0" spcFirstLastPara="1" vertOverflow="ellipsis" vert="horz" wrap="square" anchor="ctr" anchorCtr="1"/>
        <a:lstStyle/>
        <a:p>
          <a:pPr>
            <a:defRPr sz="1200" b="1" i="0" u="none" strike="noStrike" kern="1200" spc="0" baseline="0">
              <a:solidFill>
                <a:schemeClr val="accent4"/>
              </a:solidFill>
              <a:latin typeface="+mn-lt"/>
              <a:ea typeface="+mn-ea"/>
              <a:cs typeface="+mn-cs"/>
            </a:defRPr>
          </a:pPr>
          <a:endParaRPr lang="en-US"/>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450021351413765"/>
          <c:y val="8.9977126817962549E-2"/>
          <c:w val="0.80549978648586229"/>
          <c:h val="0.82250258925770103"/>
        </c:manualLayout>
      </c:layout>
      <c:barChart>
        <c:barDir val="col"/>
        <c:grouping val="clustered"/>
        <c:varyColors val="0"/>
        <c:ser>
          <c:idx val="0"/>
          <c:order val="0"/>
          <c:tx>
            <c:strRef>
              <c:f>'Phân tích'!$B$46</c:f>
              <c:strCache>
                <c:ptCount val="1"/>
                <c:pt idx="0">
                  <c:v> Chi phí</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'Phân tích'!$A$47:$A$52</c:f>
              <c:strCache>
                <c:ptCount val="5"/>
                <c:pt idx="0">
                  <c:v>Đà Nẵng</c:v>
                </c:pt>
                <c:pt idx="1">
                  <c:v>Hải Phòng</c:v>
                </c:pt>
                <c:pt idx="2">
                  <c:v>Thái Nguyên</c:v>
                </c:pt>
                <c:pt idx="3">
                  <c:v>TP HCM</c:v>
                </c:pt>
                <c:pt idx="4">
                  <c:v>Trụ sở chính</c:v>
                </c:pt>
              </c:strCache>
            </c:strRef>
          </c:cat>
          <c:val>
            <c:numRef>
              <c:f>'Phân tích'!$B$47:$B$52</c:f>
              <c:numCache>
                <c:formatCode>#,##0.0,,"M"</c:formatCode>
                <c:ptCount val="5"/>
                <c:pt idx="0">
                  <c:v>20879000</c:v>
                </c:pt>
                <c:pt idx="1">
                  <c:v>13211000</c:v>
                </c:pt>
                <c:pt idx="2">
                  <c:v>8001000</c:v>
                </c:pt>
                <c:pt idx="3">
                  <c:v>39045200</c:v>
                </c:pt>
                <c:pt idx="4">
                  <c:v>18370000</c:v>
                </c:pt>
              </c:numCache>
            </c:numRef>
          </c:val>
          <c:extLst>
            <c:ext xmlns:c16="http://schemas.microsoft.com/office/drawing/2014/chart" uri="{C3380CC4-5D6E-409C-BE32-E72D297353CC}">
              <c16:uniqueId val="{00000000-8F45-41D4-AC88-5FDA4BE11FFB}"/>
            </c:ext>
          </c:extLst>
        </c:ser>
        <c:dLbls>
          <c:dLblPos val="outEnd"/>
          <c:showLegendKey val="0"/>
          <c:showVal val="1"/>
          <c:showCatName val="0"/>
          <c:showSerName val="0"/>
          <c:showPercent val="0"/>
          <c:showBubbleSize val="0"/>
        </c:dLbls>
        <c:gapWidth val="60"/>
        <c:axId val="592065160"/>
        <c:axId val="592066144"/>
      </c:barChart>
      <c:lineChart>
        <c:grouping val="standard"/>
        <c:varyColors val="0"/>
        <c:ser>
          <c:idx val="1"/>
          <c:order val="1"/>
          <c:tx>
            <c:strRef>
              <c:f>'Phân tích'!$C$46</c:f>
              <c:strCache>
                <c:ptCount val="1"/>
                <c:pt idx="0">
                  <c:v>Số CV</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'Phân tích'!$A$47:$A$52</c:f>
              <c:strCache>
                <c:ptCount val="5"/>
                <c:pt idx="0">
                  <c:v>Đà Nẵng</c:v>
                </c:pt>
                <c:pt idx="1">
                  <c:v>Hải Phòng</c:v>
                </c:pt>
                <c:pt idx="2">
                  <c:v>Thái Nguyên</c:v>
                </c:pt>
                <c:pt idx="3">
                  <c:v>TP HCM</c:v>
                </c:pt>
                <c:pt idx="4">
                  <c:v>Trụ sở chính</c:v>
                </c:pt>
              </c:strCache>
            </c:strRef>
          </c:cat>
          <c:val>
            <c:numRef>
              <c:f>'Phân tích'!$C$47:$C$52</c:f>
              <c:numCache>
                <c:formatCode>General</c:formatCode>
                <c:ptCount val="5"/>
                <c:pt idx="0">
                  <c:v>30</c:v>
                </c:pt>
                <c:pt idx="1">
                  <c:v>15</c:v>
                </c:pt>
                <c:pt idx="2">
                  <c:v>10</c:v>
                </c:pt>
                <c:pt idx="3">
                  <c:v>37</c:v>
                </c:pt>
                <c:pt idx="4">
                  <c:v>33</c:v>
                </c:pt>
              </c:numCache>
            </c:numRef>
          </c:val>
          <c:smooth val="0"/>
          <c:extLst>
            <c:ext xmlns:c16="http://schemas.microsoft.com/office/drawing/2014/chart" uri="{C3380CC4-5D6E-409C-BE32-E72D297353CC}">
              <c16:uniqueId val="{00000001-8F45-41D4-AC88-5FDA4BE11FFB}"/>
            </c:ext>
          </c:extLst>
        </c:ser>
        <c:dLbls>
          <c:showLegendKey val="0"/>
          <c:showVal val="0"/>
          <c:showCatName val="0"/>
          <c:showSerName val="0"/>
          <c:showPercent val="0"/>
          <c:showBubbleSize val="0"/>
        </c:dLbls>
        <c:marker val="1"/>
        <c:smooth val="0"/>
        <c:axId val="1721152192"/>
        <c:axId val="1721159680"/>
      </c:lineChart>
      <c:catAx>
        <c:axId val="5920651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592066144"/>
        <c:crosses val="autoZero"/>
        <c:auto val="1"/>
        <c:lblAlgn val="ctr"/>
        <c:lblOffset val="100"/>
        <c:noMultiLvlLbl val="0"/>
      </c:catAx>
      <c:valAx>
        <c:axId val="592066144"/>
        <c:scaling>
          <c:orientation val="minMax"/>
        </c:scaling>
        <c:delete val="0"/>
        <c:axPos val="l"/>
        <c:numFmt formatCode="#,##0.0,,&quot;M&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2065160"/>
        <c:crosses val="autoZero"/>
        <c:crossBetween val="between"/>
      </c:valAx>
      <c:valAx>
        <c:axId val="1721159680"/>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1152192"/>
        <c:crosses val="max"/>
        <c:crossBetween val="between"/>
      </c:valAx>
      <c:catAx>
        <c:axId val="1721152192"/>
        <c:scaling>
          <c:orientation val="minMax"/>
        </c:scaling>
        <c:delete val="1"/>
        <c:axPos val="t"/>
        <c:numFmt formatCode="General" sourceLinked="1"/>
        <c:majorTickMark val="out"/>
        <c:minorTickMark val="none"/>
        <c:tickLblPos val="nextTo"/>
        <c:crossAx val="1721159680"/>
        <c:crosses val="max"/>
        <c:auto val="1"/>
        <c:lblAlgn val="ctr"/>
        <c:lblOffset val="100"/>
        <c:noMultiLvlLbl val="0"/>
      </c:catAx>
      <c:spPr>
        <a:noFill/>
        <a:ln>
          <a:noFill/>
        </a:ln>
        <a:effectLst/>
      </c:spPr>
    </c:plotArea>
    <c:legend>
      <c:legendPos val="t"/>
      <c:layout>
        <c:manualLayout>
          <c:xMode val="edge"/>
          <c:yMode val="edge"/>
          <c:x val="0.34538617455426768"/>
          <c:y val="7.5329566854990581E-3"/>
          <c:w val="0.2641676554338383"/>
          <c:h val="9.0376901459767844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[Bao cao tuyen dung.ver01.xlsx]Phân tích!CV, nhận việc theo tháng</c:name>
    <c:fmtId val="4"/>
  </c:pivotSource>
  <c:chart>
    <c:title>
      <c:tx>
        <c:rich>
          <a:bodyPr rot="0" spcFirstLastPara="1" vertOverflow="ellipsis" vert="horz" wrap="square" anchor="ctr" anchorCtr="1"/>
          <a:lstStyle/>
          <a:p>
            <a:pPr>
              <a:defRPr sz="1100" b="1" i="0" u="none" strike="noStrike" kern="1200" spc="0" baseline="0">
                <a:solidFill>
                  <a:srgbClr val="C00000"/>
                </a:solidFill>
                <a:latin typeface="Arial" panose="020B0604020202020204" pitchFamily="34" charset="0"/>
                <a:ea typeface="+mn-ea"/>
                <a:cs typeface="Arial" panose="020B0604020202020204" pitchFamily="34" charset="0"/>
              </a:defRPr>
            </a:pPr>
            <a:r>
              <a:rPr lang="en-US" sz="1100" b="1">
                <a:solidFill>
                  <a:srgbClr val="C00000"/>
                </a:solidFill>
                <a:latin typeface="Arial" panose="020B0604020202020204" pitchFamily="34" charset="0"/>
                <a:cs typeface="Arial" panose="020B0604020202020204" pitchFamily="34" charset="0"/>
              </a:rPr>
              <a:t>SỐ</a:t>
            </a:r>
            <a:r>
              <a:rPr lang="en-US" sz="1100" b="1" baseline="0">
                <a:solidFill>
                  <a:srgbClr val="C00000"/>
                </a:solidFill>
                <a:latin typeface="Arial" panose="020B0604020202020204" pitchFamily="34" charset="0"/>
                <a:cs typeface="Arial" panose="020B0604020202020204" pitchFamily="34" charset="0"/>
              </a:rPr>
              <a:t> LƯỢNG CV THEO THÁNG</a:t>
            </a:r>
            <a:endParaRPr lang="en-US" sz="1100" b="1">
              <a:solidFill>
                <a:srgbClr val="C00000"/>
              </a:solidFill>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100" b="1" i="0" u="none" strike="noStrike" kern="1200" spc="0" baseline="0">
              <a:solidFill>
                <a:srgbClr val="C00000"/>
              </a:solidFill>
              <a:latin typeface="Arial" panose="020B0604020202020204" pitchFamily="34" charset="0"/>
              <a:ea typeface="+mn-ea"/>
              <a:cs typeface="Arial" panose="020B0604020202020204" pitchFamily="34" charset="0"/>
            </a:defRPr>
          </a:pPr>
          <a:endParaRPr lang="en-US"/>
        </a:p>
      </c:txPr>
    </c:title>
    <c:autoTitleDeleted val="0"/>
    <c:pivotFmts>
      <c:pivotFmt>
        <c:idx val="0"/>
        <c:spPr>
          <a:solidFill>
            <a:schemeClr val="accent3">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9225721784776901E-3"/>
          <c:y val="2.5428331875182269E-2"/>
          <c:w val="0.98619685039370075"/>
          <c:h val="0.76354913969087201"/>
        </c:manualLayout>
      </c:layout>
      <c:barChart>
        <c:barDir val="col"/>
        <c:grouping val="clustered"/>
        <c:varyColors val="0"/>
        <c:ser>
          <c:idx val="0"/>
          <c:order val="0"/>
          <c:tx>
            <c:strRef>
              <c:f>'Phân tích'!$B$57:$B$58</c:f>
              <c:strCache>
                <c:ptCount val="1"/>
                <c:pt idx="0">
                  <c:v>Chưa đạt</c:v>
                </c:pt>
              </c:strCache>
            </c:strRef>
          </c:tx>
          <c:spPr>
            <a:solidFill>
              <a:schemeClr val="accent1"/>
            </a:solidFill>
            <a:ln>
              <a:noFill/>
            </a:ln>
            <a:effectLst/>
          </c:spPr>
          <c:invertIfNegative val="0"/>
          <c:cat>
            <c:strRef>
              <c:f>'Phân tích'!$A$59:$A$71</c:f>
              <c:strCache>
                <c:ptCount val="12"/>
                <c:pt idx="0">
                  <c:v>Thg1</c:v>
                </c:pt>
                <c:pt idx="1">
                  <c:v>Thg2</c:v>
                </c:pt>
                <c:pt idx="2">
                  <c:v>Thg3</c:v>
                </c:pt>
                <c:pt idx="3">
                  <c:v>Thg4</c:v>
                </c:pt>
                <c:pt idx="4">
                  <c:v>Thg5</c:v>
                </c:pt>
                <c:pt idx="5">
                  <c:v>Thg6</c:v>
                </c:pt>
                <c:pt idx="6">
                  <c:v>Thg7</c:v>
                </c:pt>
                <c:pt idx="7">
                  <c:v>Thg8</c:v>
                </c:pt>
                <c:pt idx="8">
                  <c:v>Thg9</c:v>
                </c:pt>
                <c:pt idx="9">
                  <c:v>Thg10</c:v>
                </c:pt>
                <c:pt idx="10">
                  <c:v>Thg11</c:v>
                </c:pt>
                <c:pt idx="11">
                  <c:v>Thg12</c:v>
                </c:pt>
              </c:strCache>
            </c:strRef>
          </c:cat>
          <c:val>
            <c:numRef>
              <c:f>'Phân tích'!$B$59:$B$71</c:f>
              <c:numCache>
                <c:formatCode>General</c:formatCode>
                <c:ptCount val="12"/>
                <c:pt idx="0">
                  <c:v>37</c:v>
                </c:pt>
                <c:pt idx="1">
                  <c:v>58</c:v>
                </c:pt>
                <c:pt idx="2">
                  <c:v>41</c:v>
                </c:pt>
                <c:pt idx="3">
                  <c:v>37</c:v>
                </c:pt>
                <c:pt idx="4">
                  <c:v>33</c:v>
                </c:pt>
                <c:pt idx="5">
                  <c:v>50</c:v>
                </c:pt>
                <c:pt idx="6">
                  <c:v>41</c:v>
                </c:pt>
                <c:pt idx="7">
                  <c:v>38</c:v>
                </c:pt>
                <c:pt idx="8">
                  <c:v>46</c:v>
                </c:pt>
                <c:pt idx="9">
                  <c:v>43</c:v>
                </c:pt>
                <c:pt idx="10">
                  <c:v>31</c:v>
                </c:pt>
                <c:pt idx="11">
                  <c:v>40</c:v>
                </c:pt>
              </c:numCache>
            </c:numRef>
          </c:val>
          <c:extLst>
            <c:ext xmlns:c16="http://schemas.microsoft.com/office/drawing/2014/chart" uri="{C3380CC4-5D6E-409C-BE32-E72D297353CC}">
              <c16:uniqueId val="{00000000-D5DE-46A8-9D7A-356D0A977898}"/>
            </c:ext>
          </c:extLst>
        </c:ser>
        <c:ser>
          <c:idx val="1"/>
          <c:order val="1"/>
          <c:tx>
            <c:strRef>
              <c:f>'Phân tích'!$C$57:$C$58</c:f>
              <c:strCache>
                <c:ptCount val="1"/>
                <c:pt idx="0">
                  <c:v>Nhận việc</c:v>
                </c:pt>
              </c:strCache>
            </c:strRef>
          </c:tx>
          <c:spPr>
            <a:solidFill>
              <a:schemeClr val="accent2"/>
            </a:solidFill>
            <a:ln>
              <a:noFill/>
            </a:ln>
            <a:effectLst/>
          </c:spPr>
          <c:invertIfNegative val="0"/>
          <c:cat>
            <c:strRef>
              <c:f>'Phân tích'!$A$59:$A$71</c:f>
              <c:strCache>
                <c:ptCount val="12"/>
                <c:pt idx="0">
                  <c:v>Thg1</c:v>
                </c:pt>
                <c:pt idx="1">
                  <c:v>Thg2</c:v>
                </c:pt>
                <c:pt idx="2">
                  <c:v>Thg3</c:v>
                </c:pt>
                <c:pt idx="3">
                  <c:v>Thg4</c:v>
                </c:pt>
                <c:pt idx="4">
                  <c:v>Thg5</c:v>
                </c:pt>
                <c:pt idx="5">
                  <c:v>Thg6</c:v>
                </c:pt>
                <c:pt idx="6">
                  <c:v>Thg7</c:v>
                </c:pt>
                <c:pt idx="7">
                  <c:v>Thg8</c:v>
                </c:pt>
                <c:pt idx="8">
                  <c:v>Thg9</c:v>
                </c:pt>
                <c:pt idx="9">
                  <c:v>Thg10</c:v>
                </c:pt>
                <c:pt idx="10">
                  <c:v>Thg11</c:v>
                </c:pt>
                <c:pt idx="11">
                  <c:v>Thg12</c:v>
                </c:pt>
              </c:strCache>
            </c:strRef>
          </c:cat>
          <c:val>
            <c:numRef>
              <c:f>'Phân tích'!$C$59:$C$71</c:f>
              <c:numCache>
                <c:formatCode>General</c:formatCode>
                <c:ptCount val="12"/>
                <c:pt idx="0">
                  <c:v>20</c:v>
                </c:pt>
                <c:pt idx="1">
                  <c:v>18</c:v>
                </c:pt>
                <c:pt idx="2">
                  <c:v>13</c:v>
                </c:pt>
                <c:pt idx="3">
                  <c:v>11</c:v>
                </c:pt>
                <c:pt idx="4">
                  <c:v>6</c:v>
                </c:pt>
                <c:pt idx="5">
                  <c:v>10</c:v>
                </c:pt>
                <c:pt idx="6">
                  <c:v>10</c:v>
                </c:pt>
                <c:pt idx="7">
                  <c:v>6</c:v>
                </c:pt>
                <c:pt idx="8">
                  <c:v>9</c:v>
                </c:pt>
                <c:pt idx="9">
                  <c:v>8</c:v>
                </c:pt>
                <c:pt idx="10">
                  <c:v>7</c:v>
                </c:pt>
                <c:pt idx="11">
                  <c:v>7</c:v>
                </c:pt>
              </c:numCache>
            </c:numRef>
          </c:val>
          <c:extLst>
            <c:ext xmlns:c16="http://schemas.microsoft.com/office/drawing/2014/chart" uri="{C3380CC4-5D6E-409C-BE32-E72D297353CC}">
              <c16:uniqueId val="{00000001-D5DE-46A8-9D7A-356D0A977898}"/>
            </c:ext>
          </c:extLst>
        </c:ser>
        <c:dLbls>
          <c:showLegendKey val="0"/>
          <c:showVal val="0"/>
          <c:showCatName val="0"/>
          <c:showSerName val="0"/>
          <c:showPercent val="0"/>
          <c:showBubbleSize val="0"/>
        </c:dLbls>
        <c:gapWidth val="60"/>
        <c:overlap val="100"/>
        <c:axId val="581811584"/>
        <c:axId val="581821568"/>
      </c:barChart>
      <c:catAx>
        <c:axId val="581811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8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581821568"/>
        <c:crosses val="autoZero"/>
        <c:auto val="1"/>
        <c:lblAlgn val="ctr"/>
        <c:lblOffset val="100"/>
        <c:noMultiLvlLbl val="0"/>
      </c:catAx>
      <c:valAx>
        <c:axId val="581821568"/>
        <c:scaling>
          <c:orientation val="minMax"/>
        </c:scaling>
        <c:delete val="1"/>
        <c:axPos val="l"/>
        <c:numFmt formatCode="General" sourceLinked="1"/>
        <c:majorTickMark val="none"/>
        <c:minorTickMark val="none"/>
        <c:tickLblPos val="nextTo"/>
        <c:crossAx val="581811584"/>
        <c:crosses val="autoZero"/>
        <c:crossBetween val="between"/>
      </c:valAx>
      <c:spPr>
        <a:noFill/>
        <a:ln>
          <a:noFill/>
        </a:ln>
        <a:effectLst/>
      </c:spPr>
    </c:plotArea>
    <c:legend>
      <c:legendPos val="b"/>
      <c:layout>
        <c:manualLayout>
          <c:xMode val="edge"/>
          <c:yMode val="edge"/>
          <c:x val="0.25830867417075115"/>
          <c:y val="0.90044826216188478"/>
          <c:w val="0.53338266259463307"/>
          <c:h val="9.9551612332835646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[Bao cao tuyen dung.ver01.xlsx]Phân tích!Tổng CV, chi phí theo tháng</c:name>
    <c:fmtId val="4"/>
  </c:pivotSource>
  <c:chart>
    <c:title>
      <c:tx>
        <c:rich>
          <a:bodyPr rot="0" spcFirstLastPara="1" vertOverflow="ellipsis" vert="horz" wrap="square" anchor="ctr" anchorCtr="1"/>
          <a:lstStyle/>
          <a:p>
            <a:pPr algn="ctr" rtl="0">
              <a:defRPr lang="en-US" sz="1100" b="1" i="0" u="none" strike="noStrike" kern="1200" spc="0" baseline="0">
                <a:solidFill>
                  <a:srgbClr val="C00000"/>
                </a:solidFill>
                <a:latin typeface="Arial" panose="020B0604020202020204" pitchFamily="34" charset="0"/>
                <a:ea typeface="+mn-ea"/>
                <a:cs typeface="Arial" panose="020B0604020202020204" pitchFamily="34" charset="0"/>
              </a:defRPr>
            </a:pPr>
            <a:r>
              <a:rPr lang="en-US" sz="1100" b="1" i="0" u="none" strike="noStrike" kern="1200" spc="0" baseline="0">
                <a:solidFill>
                  <a:srgbClr val="C00000"/>
                </a:solidFill>
                <a:latin typeface="Arial" panose="020B0604020202020204" pitchFamily="34" charset="0"/>
                <a:ea typeface="+mn-ea"/>
                <a:cs typeface="Arial" panose="020B0604020202020204" pitchFamily="34" charset="0"/>
              </a:rPr>
              <a:t>SỐ LƯỢNG CV VÀ CHI PHÍ THEO THÁNG</a:t>
            </a:r>
          </a:p>
        </c:rich>
      </c:tx>
      <c:layout>
        <c:manualLayout>
          <c:xMode val="edge"/>
          <c:yMode val="edge"/>
          <c:x val="0.27676808172870948"/>
          <c:y val="0"/>
        </c:manualLayout>
      </c:layout>
      <c:overlay val="0"/>
      <c:spPr>
        <a:noFill/>
        <a:ln>
          <a:noFill/>
        </a:ln>
        <a:effectLst/>
      </c:spPr>
      <c:txPr>
        <a:bodyPr rot="0" spcFirstLastPara="1" vertOverflow="ellipsis" vert="horz" wrap="square" anchor="ctr" anchorCtr="1"/>
        <a:lstStyle/>
        <a:p>
          <a:pPr algn="ctr" rtl="0">
            <a:defRPr lang="en-US" sz="1100" b="1" i="0" u="none" strike="noStrike" kern="1200" spc="0" baseline="0">
              <a:solidFill>
                <a:srgbClr val="C00000"/>
              </a:solidFill>
              <a:latin typeface="Arial" panose="020B0604020202020204" pitchFamily="34" charset="0"/>
              <a:ea typeface="+mn-ea"/>
              <a:cs typeface="Arial" panose="020B0604020202020204"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9659639773934374E-2"/>
          <c:y val="8.6793137354969171E-2"/>
          <c:w val="0.8521828948372292"/>
          <c:h val="0.65524728381425135"/>
        </c:manualLayout>
      </c:layout>
      <c:barChart>
        <c:barDir val="col"/>
        <c:grouping val="clustered"/>
        <c:varyColors val="0"/>
        <c:ser>
          <c:idx val="0"/>
          <c:order val="0"/>
          <c:tx>
            <c:strRef>
              <c:f>'Phân tích'!$B$77</c:f>
              <c:strCache>
                <c:ptCount val="1"/>
                <c:pt idx="0">
                  <c:v>CV </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'Phân tích'!$A$78:$A$90</c:f>
              <c:strCache>
                <c:ptCount val="12"/>
                <c:pt idx="0">
                  <c:v>Thg1</c:v>
                </c:pt>
                <c:pt idx="1">
                  <c:v>Thg2</c:v>
                </c:pt>
                <c:pt idx="2">
                  <c:v>Thg3</c:v>
                </c:pt>
                <c:pt idx="3">
                  <c:v>Thg4</c:v>
                </c:pt>
                <c:pt idx="4">
                  <c:v>Thg5</c:v>
                </c:pt>
                <c:pt idx="5">
                  <c:v>Thg6</c:v>
                </c:pt>
                <c:pt idx="6">
                  <c:v>Thg7</c:v>
                </c:pt>
                <c:pt idx="7">
                  <c:v>Thg8</c:v>
                </c:pt>
                <c:pt idx="8">
                  <c:v>Thg9</c:v>
                </c:pt>
                <c:pt idx="9">
                  <c:v>Thg10</c:v>
                </c:pt>
                <c:pt idx="10">
                  <c:v>Thg11</c:v>
                </c:pt>
                <c:pt idx="11">
                  <c:v>Thg12</c:v>
                </c:pt>
              </c:strCache>
            </c:strRef>
          </c:cat>
          <c:val>
            <c:numRef>
              <c:f>'Phân tích'!$B$78:$B$90</c:f>
              <c:numCache>
                <c:formatCode>General</c:formatCode>
                <c:ptCount val="12"/>
                <c:pt idx="0">
                  <c:v>20</c:v>
                </c:pt>
                <c:pt idx="1">
                  <c:v>18</c:v>
                </c:pt>
                <c:pt idx="2">
                  <c:v>13</c:v>
                </c:pt>
                <c:pt idx="3">
                  <c:v>11</c:v>
                </c:pt>
                <c:pt idx="4">
                  <c:v>6</c:v>
                </c:pt>
                <c:pt idx="5">
                  <c:v>10</c:v>
                </c:pt>
                <c:pt idx="6">
                  <c:v>10</c:v>
                </c:pt>
                <c:pt idx="7">
                  <c:v>6</c:v>
                </c:pt>
                <c:pt idx="8">
                  <c:v>9</c:v>
                </c:pt>
                <c:pt idx="9">
                  <c:v>8</c:v>
                </c:pt>
                <c:pt idx="10">
                  <c:v>7</c:v>
                </c:pt>
                <c:pt idx="11">
                  <c:v>7</c:v>
                </c:pt>
              </c:numCache>
            </c:numRef>
          </c:val>
          <c:extLst>
            <c:ext xmlns:c16="http://schemas.microsoft.com/office/drawing/2014/chart" uri="{C3380CC4-5D6E-409C-BE32-E72D297353CC}">
              <c16:uniqueId val="{00000000-5EA9-4EA2-8F62-A16F638808CA}"/>
            </c:ext>
          </c:extLst>
        </c:ser>
        <c:dLbls>
          <c:dLblPos val="outEnd"/>
          <c:showLegendKey val="0"/>
          <c:showVal val="1"/>
          <c:showCatName val="0"/>
          <c:showSerName val="0"/>
          <c:showPercent val="0"/>
          <c:showBubbleSize val="0"/>
        </c:dLbls>
        <c:gapWidth val="219"/>
        <c:overlap val="-27"/>
        <c:axId val="497639280"/>
        <c:axId val="497635120"/>
      </c:barChart>
      <c:lineChart>
        <c:grouping val="standard"/>
        <c:varyColors val="0"/>
        <c:ser>
          <c:idx val="1"/>
          <c:order val="1"/>
          <c:tx>
            <c:strRef>
              <c:f>'Phân tích'!$C$77</c:f>
              <c:strCache>
                <c:ptCount val="1"/>
                <c:pt idx="0">
                  <c:v> Chi phí</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'Phân tích'!$A$78:$A$90</c:f>
              <c:strCache>
                <c:ptCount val="12"/>
                <c:pt idx="0">
                  <c:v>Thg1</c:v>
                </c:pt>
                <c:pt idx="1">
                  <c:v>Thg2</c:v>
                </c:pt>
                <c:pt idx="2">
                  <c:v>Thg3</c:v>
                </c:pt>
                <c:pt idx="3">
                  <c:v>Thg4</c:v>
                </c:pt>
                <c:pt idx="4">
                  <c:v>Thg5</c:v>
                </c:pt>
                <c:pt idx="5">
                  <c:v>Thg6</c:v>
                </c:pt>
                <c:pt idx="6">
                  <c:v>Thg7</c:v>
                </c:pt>
                <c:pt idx="7">
                  <c:v>Thg8</c:v>
                </c:pt>
                <c:pt idx="8">
                  <c:v>Thg9</c:v>
                </c:pt>
                <c:pt idx="9">
                  <c:v>Thg10</c:v>
                </c:pt>
                <c:pt idx="10">
                  <c:v>Thg11</c:v>
                </c:pt>
                <c:pt idx="11">
                  <c:v>Thg12</c:v>
                </c:pt>
              </c:strCache>
            </c:strRef>
          </c:cat>
          <c:val>
            <c:numRef>
              <c:f>'Phân tích'!$C$78:$C$90</c:f>
              <c:numCache>
                <c:formatCode>#,##0.0,,"M"</c:formatCode>
                <c:ptCount val="12"/>
                <c:pt idx="0">
                  <c:v>28886000</c:v>
                </c:pt>
                <c:pt idx="1">
                  <c:v>10873000</c:v>
                </c:pt>
                <c:pt idx="2">
                  <c:v>13470200</c:v>
                </c:pt>
                <c:pt idx="3">
                  <c:v>7237000</c:v>
                </c:pt>
                <c:pt idx="4">
                  <c:v>3314000</c:v>
                </c:pt>
                <c:pt idx="5">
                  <c:v>4470000</c:v>
                </c:pt>
                <c:pt idx="6">
                  <c:v>4684000</c:v>
                </c:pt>
                <c:pt idx="7">
                  <c:v>3100000</c:v>
                </c:pt>
                <c:pt idx="8">
                  <c:v>4070000</c:v>
                </c:pt>
                <c:pt idx="9">
                  <c:v>3512000</c:v>
                </c:pt>
                <c:pt idx="10">
                  <c:v>7970000</c:v>
                </c:pt>
                <c:pt idx="11">
                  <c:v>7920000</c:v>
                </c:pt>
              </c:numCache>
            </c:numRef>
          </c:val>
          <c:smooth val="0"/>
          <c:extLst>
            <c:ext xmlns:c16="http://schemas.microsoft.com/office/drawing/2014/chart" uri="{C3380CC4-5D6E-409C-BE32-E72D297353CC}">
              <c16:uniqueId val="{00000001-5EA9-4EA2-8F62-A16F638808CA}"/>
            </c:ext>
          </c:extLst>
        </c:ser>
        <c:dLbls>
          <c:showLegendKey val="0"/>
          <c:showVal val="1"/>
          <c:showCatName val="0"/>
          <c:showSerName val="0"/>
          <c:showPercent val="0"/>
          <c:showBubbleSize val="0"/>
        </c:dLbls>
        <c:marker val="1"/>
        <c:smooth val="0"/>
        <c:axId val="497645936"/>
        <c:axId val="497651760"/>
      </c:lineChart>
      <c:catAx>
        <c:axId val="497645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497651760"/>
        <c:crosses val="autoZero"/>
        <c:auto val="1"/>
        <c:lblAlgn val="ctr"/>
        <c:lblOffset val="100"/>
        <c:noMultiLvlLbl val="0"/>
      </c:catAx>
      <c:valAx>
        <c:axId val="497651760"/>
        <c:scaling>
          <c:orientation val="minMax"/>
        </c:scaling>
        <c:delete val="0"/>
        <c:axPos val="l"/>
        <c:majorGridlines>
          <c:spPr>
            <a:ln w="9525" cap="flat" cmpd="sng" algn="ctr">
              <a:solidFill>
                <a:schemeClr val="tx1">
                  <a:lumMod val="15000"/>
                  <a:lumOff val="85000"/>
                </a:schemeClr>
              </a:solidFill>
              <a:round/>
            </a:ln>
            <a:effectLst/>
          </c:spPr>
        </c:majorGridlines>
        <c:numFmt formatCode="#,##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7645936"/>
        <c:crosses val="autoZero"/>
        <c:crossBetween val="between"/>
      </c:valAx>
      <c:valAx>
        <c:axId val="497635120"/>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7639280"/>
        <c:crosses val="max"/>
        <c:crossBetween val="between"/>
      </c:valAx>
      <c:catAx>
        <c:axId val="497639280"/>
        <c:scaling>
          <c:orientation val="minMax"/>
        </c:scaling>
        <c:delete val="1"/>
        <c:axPos val="b"/>
        <c:numFmt formatCode="General" sourceLinked="1"/>
        <c:majorTickMark val="out"/>
        <c:minorTickMark val="none"/>
        <c:tickLblPos val="nextTo"/>
        <c:crossAx val="497635120"/>
        <c:crosses val="autoZero"/>
        <c:auto val="1"/>
        <c:lblAlgn val="ctr"/>
        <c:lblOffset val="100"/>
        <c:noMultiLvlLbl val="0"/>
      </c:catAx>
      <c:spPr>
        <a:noFill/>
        <a:ln>
          <a:noFill/>
        </a:ln>
        <a:effectLst/>
      </c:spPr>
    </c:plotArea>
    <c:legend>
      <c:legendPos val="b"/>
      <c:layout>
        <c:manualLayout>
          <c:xMode val="edge"/>
          <c:yMode val="edge"/>
          <c:x val="0.38056434243190745"/>
          <c:y val="0.8788749417653412"/>
          <c:w val="0.21181415551590724"/>
          <c:h val="0.108290640570815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[Bao cao tuyen dung.ver01.xlsx]Phân tích!Chi phí, CV kênh</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a:latin typeface="Arial" panose="020B0604020202020204" pitchFamily="34" charset="0"/>
                <a:cs typeface="Arial" panose="020B0604020202020204" pitchFamily="34" charset="0"/>
              </a:rPr>
              <a:t>CHI</a:t>
            </a:r>
            <a:r>
              <a:rPr lang="en-US" sz="1100" baseline="0">
                <a:latin typeface="Arial" panose="020B0604020202020204" pitchFamily="34" charset="0"/>
                <a:cs typeface="Arial" panose="020B0604020202020204" pitchFamily="34" charset="0"/>
              </a:rPr>
              <a:t> PHÍ VÀ SỐ LƯỢNG NHẬN VIỆC THEO NGUỒN</a:t>
            </a:r>
            <a:endParaRPr lang="en-US" sz="1100">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1"/>
          <c:order val="1"/>
          <c:tx>
            <c:strRef>
              <c:f>'Phân tích'!$C$15</c:f>
              <c:strCache>
                <c:ptCount val="1"/>
                <c:pt idx="0">
                  <c:v>Số nhận việc</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'Phân tích'!$A$16:$A$43</c:f>
              <c:multiLvlStrCache>
                <c:ptCount val="16"/>
                <c:lvl>
                  <c:pt idx="3">
                    <c:v>()</c:v>
                  </c:pt>
                  <c:pt idx="4">
                    <c:v>Carrerbuilder.vn</c:v>
                  </c:pt>
                  <c:pt idx="5">
                    <c:v>Facebook</c:v>
                  </c:pt>
                  <c:pt idx="6">
                    <c:v>Linkedln</c:v>
                  </c:pt>
                  <c:pt idx="7">
                    <c:v>Mywork.com</c:v>
                  </c:pt>
                  <c:pt idx="8">
                    <c:v>Zalo</c:v>
                  </c:pt>
                  <c:pt idx="9">
                    <c:v>Carrerbuilder.vn</c:v>
                  </c:pt>
                  <c:pt idx="10">
                    <c:v>Mywork.com</c:v>
                  </c:pt>
                  <c:pt idx="11">
                    <c:v>timviecnhanh.com</c:v>
                  </c:pt>
                  <c:pt idx="12">
                    <c:v>vieclam24h.vn</c:v>
                  </c:pt>
                  <c:pt idx="13">
                    <c:v>vietnamworks.com</c:v>
                  </c:pt>
                  <c:pt idx="14">
                    <c:v>Website công ty</c:v>
                  </c:pt>
                </c:lvl>
                <c:lvl>
                  <c:pt idx="0">
                    <c:v>()</c:v>
                  </c:pt>
                  <c:pt idx="1">
                    <c:v>()</c:v>
                  </c:pt>
                  <c:pt idx="2">
                    <c:v>()</c:v>
                  </c:pt>
                  <c:pt idx="3">
                    <c:v>Thông báo, poster</c:v>
                  </c:pt>
                  <c:pt idx="4">
                    <c:v>Mạng xã hội</c:v>
                  </c:pt>
                  <c:pt idx="9">
                    <c:v>Website</c:v>
                  </c:pt>
                  <c:pt idx="15">
                    <c:v>()</c:v>
                  </c:pt>
                </c:lvl>
                <c:lvl>
                  <c:pt idx="0">
                    <c:v>Nội bộ</c:v>
                  </c:pt>
                  <c:pt idx="1">
                    <c:v>Giới thiệu</c:v>
                  </c:pt>
                  <c:pt idx="2">
                    <c:v>Khác</c:v>
                  </c:pt>
                  <c:pt idx="3">
                    <c:v>Offline</c:v>
                  </c:pt>
                  <c:pt idx="4">
                    <c:v>Online</c:v>
                  </c:pt>
                  <c:pt idx="15">
                    <c:v>Headhunt</c:v>
                  </c:pt>
                </c:lvl>
                <c:lvl>
                  <c:pt idx="0">
                    <c:v>Bên trong</c:v>
                  </c:pt>
                  <c:pt idx="2">
                    <c:v>Bên ngoài</c:v>
                  </c:pt>
                </c:lvl>
              </c:multiLvlStrCache>
            </c:multiLvlStrRef>
          </c:cat>
          <c:val>
            <c:numRef>
              <c:f>'Phân tích'!$C$16:$C$43</c:f>
              <c:numCache>
                <c:formatCode>General</c:formatCode>
                <c:ptCount val="16"/>
                <c:pt idx="0">
                  <c:v>4</c:v>
                </c:pt>
                <c:pt idx="1">
                  <c:v>22</c:v>
                </c:pt>
                <c:pt idx="3">
                  <c:v>16</c:v>
                </c:pt>
                <c:pt idx="5">
                  <c:v>26</c:v>
                </c:pt>
                <c:pt idx="7">
                  <c:v>1</c:v>
                </c:pt>
                <c:pt idx="8">
                  <c:v>5</c:v>
                </c:pt>
                <c:pt idx="9">
                  <c:v>16</c:v>
                </c:pt>
                <c:pt idx="10">
                  <c:v>1</c:v>
                </c:pt>
                <c:pt idx="11">
                  <c:v>1</c:v>
                </c:pt>
                <c:pt idx="12">
                  <c:v>2</c:v>
                </c:pt>
                <c:pt idx="13">
                  <c:v>16</c:v>
                </c:pt>
                <c:pt idx="14">
                  <c:v>12</c:v>
                </c:pt>
                <c:pt idx="15">
                  <c:v>3</c:v>
                </c:pt>
              </c:numCache>
            </c:numRef>
          </c:val>
          <c:extLst>
            <c:ext xmlns:c16="http://schemas.microsoft.com/office/drawing/2014/chart" uri="{C3380CC4-5D6E-409C-BE32-E72D297353CC}">
              <c16:uniqueId val="{00000001-C8B3-464B-9050-E92E585FF0E1}"/>
            </c:ext>
          </c:extLst>
        </c:ser>
        <c:dLbls>
          <c:showLegendKey val="0"/>
          <c:showVal val="0"/>
          <c:showCatName val="0"/>
          <c:showSerName val="0"/>
          <c:showPercent val="0"/>
          <c:showBubbleSize val="0"/>
        </c:dLbls>
        <c:gapWidth val="219"/>
        <c:axId val="1290871136"/>
        <c:axId val="1290863232"/>
      </c:barChart>
      <c:lineChart>
        <c:grouping val="stacked"/>
        <c:varyColors val="0"/>
        <c:ser>
          <c:idx val="0"/>
          <c:order val="0"/>
          <c:tx>
            <c:strRef>
              <c:f>'Phân tích'!$B$15</c:f>
              <c:strCache>
                <c:ptCount val="1"/>
                <c:pt idx="0">
                  <c:v> Chi phí</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'Phân tích'!$A$16:$A$43</c:f>
              <c:multiLvlStrCache>
                <c:ptCount val="16"/>
                <c:lvl>
                  <c:pt idx="3">
                    <c:v>()</c:v>
                  </c:pt>
                  <c:pt idx="4">
                    <c:v>Carrerbuilder.vn</c:v>
                  </c:pt>
                  <c:pt idx="5">
                    <c:v>Facebook</c:v>
                  </c:pt>
                  <c:pt idx="6">
                    <c:v>Linkedln</c:v>
                  </c:pt>
                  <c:pt idx="7">
                    <c:v>Mywork.com</c:v>
                  </c:pt>
                  <c:pt idx="8">
                    <c:v>Zalo</c:v>
                  </c:pt>
                  <c:pt idx="9">
                    <c:v>Carrerbuilder.vn</c:v>
                  </c:pt>
                  <c:pt idx="10">
                    <c:v>Mywork.com</c:v>
                  </c:pt>
                  <c:pt idx="11">
                    <c:v>timviecnhanh.com</c:v>
                  </c:pt>
                  <c:pt idx="12">
                    <c:v>vieclam24h.vn</c:v>
                  </c:pt>
                  <c:pt idx="13">
                    <c:v>vietnamworks.com</c:v>
                  </c:pt>
                  <c:pt idx="14">
                    <c:v>Website công ty</c:v>
                  </c:pt>
                </c:lvl>
                <c:lvl>
                  <c:pt idx="0">
                    <c:v>()</c:v>
                  </c:pt>
                  <c:pt idx="1">
                    <c:v>()</c:v>
                  </c:pt>
                  <c:pt idx="2">
                    <c:v>()</c:v>
                  </c:pt>
                  <c:pt idx="3">
                    <c:v>Thông báo, poster</c:v>
                  </c:pt>
                  <c:pt idx="4">
                    <c:v>Mạng xã hội</c:v>
                  </c:pt>
                  <c:pt idx="9">
                    <c:v>Website</c:v>
                  </c:pt>
                  <c:pt idx="15">
                    <c:v>()</c:v>
                  </c:pt>
                </c:lvl>
                <c:lvl>
                  <c:pt idx="0">
                    <c:v>Nội bộ</c:v>
                  </c:pt>
                  <c:pt idx="1">
                    <c:v>Giới thiệu</c:v>
                  </c:pt>
                  <c:pt idx="2">
                    <c:v>Khác</c:v>
                  </c:pt>
                  <c:pt idx="3">
                    <c:v>Offline</c:v>
                  </c:pt>
                  <c:pt idx="4">
                    <c:v>Online</c:v>
                  </c:pt>
                  <c:pt idx="15">
                    <c:v>Headhunt</c:v>
                  </c:pt>
                </c:lvl>
                <c:lvl>
                  <c:pt idx="0">
                    <c:v>Bên trong</c:v>
                  </c:pt>
                  <c:pt idx="2">
                    <c:v>Bên ngoài</c:v>
                  </c:pt>
                </c:lvl>
              </c:multiLvlStrCache>
            </c:multiLvlStrRef>
          </c:cat>
          <c:val>
            <c:numRef>
              <c:f>'Phân tích'!$B$16:$B$43</c:f>
              <c:numCache>
                <c:formatCode>#,##0.0,,"M"</c:formatCode>
                <c:ptCount val="16"/>
                <c:pt idx="0">
                  <c:v>7895000</c:v>
                </c:pt>
                <c:pt idx="1">
                  <c:v>18137000</c:v>
                </c:pt>
                <c:pt idx="2">
                  <c:v>2739000</c:v>
                </c:pt>
                <c:pt idx="3">
                  <c:v>10188200</c:v>
                </c:pt>
                <c:pt idx="4">
                  <c:v>2265000</c:v>
                </c:pt>
                <c:pt idx="5">
                  <c:v>872000</c:v>
                </c:pt>
                <c:pt idx="6">
                  <c:v>1180000</c:v>
                </c:pt>
                <c:pt idx="7">
                  <c:v>121000</c:v>
                </c:pt>
                <c:pt idx="8">
                  <c:v>120000</c:v>
                </c:pt>
                <c:pt idx="9">
                  <c:v>6063000</c:v>
                </c:pt>
                <c:pt idx="10">
                  <c:v>122000</c:v>
                </c:pt>
                <c:pt idx="11">
                  <c:v>3790000</c:v>
                </c:pt>
                <c:pt idx="12">
                  <c:v>1800000</c:v>
                </c:pt>
                <c:pt idx="13">
                  <c:v>10852000</c:v>
                </c:pt>
                <c:pt idx="14">
                  <c:v>2594000</c:v>
                </c:pt>
                <c:pt idx="15">
                  <c:v>30768000</c:v>
                </c:pt>
              </c:numCache>
            </c:numRef>
          </c:val>
          <c:smooth val="0"/>
          <c:extLst>
            <c:ext xmlns:c16="http://schemas.microsoft.com/office/drawing/2014/chart" uri="{C3380CC4-5D6E-409C-BE32-E72D297353CC}">
              <c16:uniqueId val="{00000000-C8B3-464B-9050-E92E585FF0E1}"/>
            </c:ext>
          </c:extLst>
        </c:ser>
        <c:dLbls>
          <c:showLegendKey val="0"/>
          <c:showVal val="0"/>
          <c:showCatName val="0"/>
          <c:showSerName val="0"/>
          <c:showPercent val="0"/>
          <c:showBubbleSize val="0"/>
        </c:dLbls>
        <c:marker val="1"/>
        <c:smooth val="0"/>
        <c:axId val="1384776496"/>
        <c:axId val="1384774416"/>
      </c:lineChart>
      <c:catAx>
        <c:axId val="12908711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0863232"/>
        <c:crosses val="autoZero"/>
        <c:auto val="1"/>
        <c:lblAlgn val="ctr"/>
        <c:lblOffset val="100"/>
        <c:noMultiLvlLbl val="0"/>
      </c:catAx>
      <c:valAx>
        <c:axId val="12908632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0871136"/>
        <c:crosses val="autoZero"/>
        <c:crossBetween val="between"/>
      </c:valAx>
      <c:valAx>
        <c:axId val="1384774416"/>
        <c:scaling>
          <c:orientation val="minMax"/>
        </c:scaling>
        <c:delete val="0"/>
        <c:axPos val="r"/>
        <c:numFmt formatCode="#,##0.0,,&quot;M&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4776496"/>
        <c:crosses val="max"/>
        <c:crossBetween val="between"/>
      </c:valAx>
      <c:catAx>
        <c:axId val="1384776496"/>
        <c:scaling>
          <c:orientation val="minMax"/>
        </c:scaling>
        <c:delete val="1"/>
        <c:axPos val="b"/>
        <c:numFmt formatCode="General" sourceLinked="1"/>
        <c:majorTickMark val="out"/>
        <c:minorTickMark val="none"/>
        <c:tickLblPos val="nextTo"/>
        <c:crossAx val="1384774416"/>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[Bao cao tuyen dung.ver01.xlsx]Phân tích!Nhận việc theo tháng vs CN</c:name>
    <c:fmtId val="0"/>
  </c:pivotSource>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050">
                <a:latin typeface="Arial" panose="020B0604020202020204" pitchFamily="34" charset="0"/>
                <a:cs typeface="Arial" panose="020B0604020202020204" pitchFamily="34" charset="0"/>
              </a:rPr>
              <a:t>SỐ</a:t>
            </a:r>
            <a:r>
              <a:rPr lang="en-US" sz="1050" baseline="0">
                <a:latin typeface="Arial" panose="020B0604020202020204" pitchFamily="34" charset="0"/>
                <a:cs typeface="Arial" panose="020B0604020202020204" pitchFamily="34" charset="0"/>
              </a:rPr>
              <a:t> LƯỢNG NHẬN VIỆC THEO THÁNG VÀ CHI NHÁNH</a:t>
            </a:r>
            <a:endParaRPr lang="en-US" sz="1050">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366447944007"/>
          <c:y val="8.7962962962962965E-2"/>
          <c:w val="0.86577996500437449"/>
          <c:h val="0.78761519393409141"/>
        </c:manualLayout>
      </c:layout>
      <c:barChart>
        <c:barDir val="bar"/>
        <c:grouping val="stacked"/>
        <c:varyColors val="0"/>
        <c:ser>
          <c:idx val="0"/>
          <c:order val="0"/>
          <c:tx>
            <c:strRef>
              <c:f>'Phân tích'!$B$94:$B$95</c:f>
              <c:strCache>
                <c:ptCount val="1"/>
                <c:pt idx="0">
                  <c:v>Đà Nẵng</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'Phân tích'!$A$96:$A$108</c:f>
              <c:strCache>
                <c:ptCount val="12"/>
                <c:pt idx="0">
                  <c:v>Thg1</c:v>
                </c:pt>
                <c:pt idx="1">
                  <c:v>Thg2</c:v>
                </c:pt>
                <c:pt idx="2">
                  <c:v>Thg3</c:v>
                </c:pt>
                <c:pt idx="3">
                  <c:v>Thg4</c:v>
                </c:pt>
                <c:pt idx="4">
                  <c:v>Thg5</c:v>
                </c:pt>
                <c:pt idx="5">
                  <c:v>Thg6</c:v>
                </c:pt>
                <c:pt idx="6">
                  <c:v>Thg7</c:v>
                </c:pt>
                <c:pt idx="7">
                  <c:v>Thg8</c:v>
                </c:pt>
                <c:pt idx="8">
                  <c:v>Thg9</c:v>
                </c:pt>
                <c:pt idx="9">
                  <c:v>Thg10</c:v>
                </c:pt>
                <c:pt idx="10">
                  <c:v>Thg11</c:v>
                </c:pt>
                <c:pt idx="11">
                  <c:v>Thg12</c:v>
                </c:pt>
              </c:strCache>
            </c:strRef>
          </c:cat>
          <c:val>
            <c:numRef>
              <c:f>'Phân tích'!$B$96:$B$108</c:f>
              <c:numCache>
                <c:formatCode>General</c:formatCode>
                <c:ptCount val="12"/>
                <c:pt idx="0">
                  <c:v>5</c:v>
                </c:pt>
                <c:pt idx="1">
                  <c:v>4</c:v>
                </c:pt>
                <c:pt idx="2">
                  <c:v>2</c:v>
                </c:pt>
                <c:pt idx="3">
                  <c:v>3</c:v>
                </c:pt>
                <c:pt idx="4">
                  <c:v>2</c:v>
                </c:pt>
                <c:pt idx="5">
                  <c:v>4</c:v>
                </c:pt>
                <c:pt idx="6">
                  <c:v>4</c:v>
                </c:pt>
                <c:pt idx="7">
                  <c:v>3</c:v>
                </c:pt>
                <c:pt idx="9">
                  <c:v>1</c:v>
                </c:pt>
                <c:pt idx="10">
                  <c:v>1</c:v>
                </c:pt>
                <c:pt idx="11">
                  <c:v>1</c:v>
                </c:pt>
              </c:numCache>
            </c:numRef>
          </c:val>
          <c:extLst>
            <c:ext xmlns:c16="http://schemas.microsoft.com/office/drawing/2014/chart" uri="{C3380CC4-5D6E-409C-BE32-E72D297353CC}">
              <c16:uniqueId val="{00000000-5602-4BC4-873A-77C96B2FCFFD}"/>
            </c:ext>
          </c:extLst>
        </c:ser>
        <c:ser>
          <c:idx val="1"/>
          <c:order val="1"/>
          <c:tx>
            <c:strRef>
              <c:f>'Phân tích'!$C$94:$C$95</c:f>
              <c:strCache>
                <c:ptCount val="1"/>
                <c:pt idx="0">
                  <c:v>Hải Phòng</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'Phân tích'!$A$96:$A$108</c:f>
              <c:strCache>
                <c:ptCount val="12"/>
                <c:pt idx="0">
                  <c:v>Thg1</c:v>
                </c:pt>
                <c:pt idx="1">
                  <c:v>Thg2</c:v>
                </c:pt>
                <c:pt idx="2">
                  <c:v>Thg3</c:v>
                </c:pt>
                <c:pt idx="3">
                  <c:v>Thg4</c:v>
                </c:pt>
                <c:pt idx="4">
                  <c:v>Thg5</c:v>
                </c:pt>
                <c:pt idx="5">
                  <c:v>Thg6</c:v>
                </c:pt>
                <c:pt idx="6">
                  <c:v>Thg7</c:v>
                </c:pt>
                <c:pt idx="7">
                  <c:v>Thg8</c:v>
                </c:pt>
                <c:pt idx="8">
                  <c:v>Thg9</c:v>
                </c:pt>
                <c:pt idx="9">
                  <c:v>Thg10</c:v>
                </c:pt>
                <c:pt idx="10">
                  <c:v>Thg11</c:v>
                </c:pt>
                <c:pt idx="11">
                  <c:v>Thg12</c:v>
                </c:pt>
              </c:strCache>
            </c:strRef>
          </c:cat>
          <c:val>
            <c:numRef>
              <c:f>'Phân tích'!$C$96:$C$108</c:f>
              <c:numCache>
                <c:formatCode>General</c:formatCode>
                <c:ptCount val="12"/>
                <c:pt idx="0">
                  <c:v>1</c:v>
                </c:pt>
                <c:pt idx="1">
                  <c:v>1</c:v>
                </c:pt>
                <c:pt idx="2">
                  <c:v>3</c:v>
                </c:pt>
                <c:pt idx="3">
                  <c:v>1</c:v>
                </c:pt>
                <c:pt idx="4">
                  <c:v>1</c:v>
                </c:pt>
                <c:pt idx="5">
                  <c:v>1</c:v>
                </c:pt>
                <c:pt idx="7">
                  <c:v>1</c:v>
                </c:pt>
                <c:pt idx="8">
                  <c:v>2</c:v>
                </c:pt>
                <c:pt idx="9">
                  <c:v>1</c:v>
                </c:pt>
                <c:pt idx="10">
                  <c:v>3</c:v>
                </c:pt>
              </c:numCache>
            </c:numRef>
          </c:val>
          <c:extLst>
            <c:ext xmlns:c16="http://schemas.microsoft.com/office/drawing/2014/chart" uri="{C3380CC4-5D6E-409C-BE32-E72D297353CC}">
              <c16:uniqueId val="{00000012-5602-4BC4-873A-77C96B2FCFFD}"/>
            </c:ext>
          </c:extLst>
        </c:ser>
        <c:ser>
          <c:idx val="2"/>
          <c:order val="2"/>
          <c:tx>
            <c:strRef>
              <c:f>'Phân tích'!$D$94:$D$95</c:f>
              <c:strCache>
                <c:ptCount val="1"/>
                <c:pt idx="0">
                  <c:v>TP HCM</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'Phân tích'!$A$96:$A$108</c:f>
              <c:strCache>
                <c:ptCount val="12"/>
                <c:pt idx="0">
                  <c:v>Thg1</c:v>
                </c:pt>
                <c:pt idx="1">
                  <c:v>Thg2</c:v>
                </c:pt>
                <c:pt idx="2">
                  <c:v>Thg3</c:v>
                </c:pt>
                <c:pt idx="3">
                  <c:v>Thg4</c:v>
                </c:pt>
                <c:pt idx="4">
                  <c:v>Thg5</c:v>
                </c:pt>
                <c:pt idx="5">
                  <c:v>Thg6</c:v>
                </c:pt>
                <c:pt idx="6">
                  <c:v>Thg7</c:v>
                </c:pt>
                <c:pt idx="7">
                  <c:v>Thg8</c:v>
                </c:pt>
                <c:pt idx="8">
                  <c:v>Thg9</c:v>
                </c:pt>
                <c:pt idx="9">
                  <c:v>Thg10</c:v>
                </c:pt>
                <c:pt idx="10">
                  <c:v>Thg11</c:v>
                </c:pt>
                <c:pt idx="11">
                  <c:v>Thg12</c:v>
                </c:pt>
              </c:strCache>
            </c:strRef>
          </c:cat>
          <c:val>
            <c:numRef>
              <c:f>'Phân tích'!$D$96:$D$108</c:f>
              <c:numCache>
                <c:formatCode>General</c:formatCode>
                <c:ptCount val="12"/>
                <c:pt idx="0">
                  <c:v>5</c:v>
                </c:pt>
                <c:pt idx="1">
                  <c:v>7</c:v>
                </c:pt>
                <c:pt idx="2">
                  <c:v>3</c:v>
                </c:pt>
                <c:pt idx="3">
                  <c:v>1</c:v>
                </c:pt>
                <c:pt idx="4">
                  <c:v>2</c:v>
                </c:pt>
                <c:pt idx="5">
                  <c:v>3</c:v>
                </c:pt>
                <c:pt idx="6">
                  <c:v>1</c:v>
                </c:pt>
                <c:pt idx="7">
                  <c:v>2</c:v>
                </c:pt>
                <c:pt idx="8">
                  <c:v>6</c:v>
                </c:pt>
                <c:pt idx="9">
                  <c:v>3</c:v>
                </c:pt>
                <c:pt idx="10">
                  <c:v>1</c:v>
                </c:pt>
                <c:pt idx="11">
                  <c:v>3</c:v>
                </c:pt>
              </c:numCache>
            </c:numRef>
          </c:val>
          <c:extLst>
            <c:ext xmlns:c16="http://schemas.microsoft.com/office/drawing/2014/chart" uri="{C3380CC4-5D6E-409C-BE32-E72D297353CC}">
              <c16:uniqueId val="{00000013-5602-4BC4-873A-77C96B2FCFFD}"/>
            </c:ext>
          </c:extLst>
        </c:ser>
        <c:ser>
          <c:idx val="3"/>
          <c:order val="3"/>
          <c:tx>
            <c:strRef>
              <c:f>'Phân tích'!$E$94:$E$95</c:f>
              <c:strCache>
                <c:ptCount val="1"/>
                <c:pt idx="0">
                  <c:v>Thái Nguyên</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'Phân tích'!$A$96:$A$108</c:f>
              <c:strCache>
                <c:ptCount val="12"/>
                <c:pt idx="0">
                  <c:v>Thg1</c:v>
                </c:pt>
                <c:pt idx="1">
                  <c:v>Thg2</c:v>
                </c:pt>
                <c:pt idx="2">
                  <c:v>Thg3</c:v>
                </c:pt>
                <c:pt idx="3">
                  <c:v>Thg4</c:v>
                </c:pt>
                <c:pt idx="4">
                  <c:v>Thg5</c:v>
                </c:pt>
                <c:pt idx="5">
                  <c:v>Thg6</c:v>
                </c:pt>
                <c:pt idx="6">
                  <c:v>Thg7</c:v>
                </c:pt>
                <c:pt idx="7">
                  <c:v>Thg8</c:v>
                </c:pt>
                <c:pt idx="8">
                  <c:v>Thg9</c:v>
                </c:pt>
                <c:pt idx="9">
                  <c:v>Thg10</c:v>
                </c:pt>
                <c:pt idx="10">
                  <c:v>Thg11</c:v>
                </c:pt>
                <c:pt idx="11">
                  <c:v>Thg12</c:v>
                </c:pt>
              </c:strCache>
            </c:strRef>
          </c:cat>
          <c:val>
            <c:numRef>
              <c:f>'Phân tích'!$E$96:$E$108</c:f>
              <c:numCache>
                <c:formatCode>General</c:formatCode>
                <c:ptCount val="12"/>
                <c:pt idx="0">
                  <c:v>2</c:v>
                </c:pt>
                <c:pt idx="3">
                  <c:v>3</c:v>
                </c:pt>
                <c:pt idx="4">
                  <c:v>1</c:v>
                </c:pt>
                <c:pt idx="8">
                  <c:v>1</c:v>
                </c:pt>
                <c:pt idx="9">
                  <c:v>1</c:v>
                </c:pt>
                <c:pt idx="10">
                  <c:v>1</c:v>
                </c:pt>
                <c:pt idx="11">
                  <c:v>1</c:v>
                </c:pt>
              </c:numCache>
            </c:numRef>
          </c:val>
          <c:extLst>
            <c:ext xmlns:c16="http://schemas.microsoft.com/office/drawing/2014/chart" uri="{C3380CC4-5D6E-409C-BE32-E72D297353CC}">
              <c16:uniqueId val="{00000014-5602-4BC4-873A-77C96B2FCFFD}"/>
            </c:ext>
          </c:extLst>
        </c:ser>
        <c:ser>
          <c:idx val="4"/>
          <c:order val="4"/>
          <c:tx>
            <c:strRef>
              <c:f>'Phân tích'!$F$94:$F$95</c:f>
              <c:strCache>
                <c:ptCount val="1"/>
                <c:pt idx="0">
                  <c:v>Trụ sở chính</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'Phân tích'!$A$96:$A$108</c:f>
              <c:strCache>
                <c:ptCount val="12"/>
                <c:pt idx="0">
                  <c:v>Thg1</c:v>
                </c:pt>
                <c:pt idx="1">
                  <c:v>Thg2</c:v>
                </c:pt>
                <c:pt idx="2">
                  <c:v>Thg3</c:v>
                </c:pt>
                <c:pt idx="3">
                  <c:v>Thg4</c:v>
                </c:pt>
                <c:pt idx="4">
                  <c:v>Thg5</c:v>
                </c:pt>
                <c:pt idx="5">
                  <c:v>Thg6</c:v>
                </c:pt>
                <c:pt idx="6">
                  <c:v>Thg7</c:v>
                </c:pt>
                <c:pt idx="7">
                  <c:v>Thg8</c:v>
                </c:pt>
                <c:pt idx="8">
                  <c:v>Thg9</c:v>
                </c:pt>
                <c:pt idx="9">
                  <c:v>Thg10</c:v>
                </c:pt>
                <c:pt idx="10">
                  <c:v>Thg11</c:v>
                </c:pt>
                <c:pt idx="11">
                  <c:v>Thg12</c:v>
                </c:pt>
              </c:strCache>
            </c:strRef>
          </c:cat>
          <c:val>
            <c:numRef>
              <c:f>'Phân tích'!$F$96:$F$108</c:f>
              <c:numCache>
                <c:formatCode>General</c:formatCode>
                <c:ptCount val="12"/>
                <c:pt idx="0">
                  <c:v>7</c:v>
                </c:pt>
                <c:pt idx="1">
                  <c:v>6</c:v>
                </c:pt>
                <c:pt idx="2">
                  <c:v>5</c:v>
                </c:pt>
                <c:pt idx="3">
                  <c:v>3</c:v>
                </c:pt>
                <c:pt idx="5">
                  <c:v>2</c:v>
                </c:pt>
                <c:pt idx="6">
                  <c:v>5</c:v>
                </c:pt>
                <c:pt idx="9">
                  <c:v>2</c:v>
                </c:pt>
                <c:pt idx="10">
                  <c:v>1</c:v>
                </c:pt>
                <c:pt idx="11">
                  <c:v>2</c:v>
                </c:pt>
              </c:numCache>
            </c:numRef>
          </c:val>
          <c:extLst>
            <c:ext xmlns:c16="http://schemas.microsoft.com/office/drawing/2014/chart" uri="{C3380CC4-5D6E-409C-BE32-E72D297353CC}">
              <c16:uniqueId val="{00000015-5602-4BC4-873A-77C96B2FCFFD}"/>
            </c:ext>
          </c:extLst>
        </c:ser>
        <c:dLbls>
          <c:dLblPos val="ctr"/>
          <c:showLegendKey val="0"/>
          <c:showVal val="1"/>
          <c:showCatName val="0"/>
          <c:showSerName val="0"/>
          <c:showPercent val="0"/>
          <c:showBubbleSize val="0"/>
        </c:dLbls>
        <c:gapWidth val="50"/>
        <c:overlap val="100"/>
        <c:axId val="1384767344"/>
        <c:axId val="1384751952"/>
      </c:barChart>
      <c:catAx>
        <c:axId val="1384767344"/>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4751952"/>
        <c:crosses val="autoZero"/>
        <c:auto val="1"/>
        <c:lblAlgn val="ctr"/>
        <c:lblOffset val="100"/>
        <c:noMultiLvlLbl val="0"/>
      </c:catAx>
      <c:valAx>
        <c:axId val="1384751952"/>
        <c:scaling>
          <c:orientation val="minMax"/>
        </c:scaling>
        <c:delete val="1"/>
        <c:axPos val="t"/>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38476734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[Bao cao tuyen dung.ver01.xlsx]Phân tích!CV, nhận việc theo tháng</c:name>
    <c:fmtId val="8"/>
  </c:pivotSource>
  <c:chart>
    <c:title>
      <c:tx>
        <c:rich>
          <a:bodyPr rot="0" spcFirstLastPara="1" vertOverflow="ellipsis" vert="horz" wrap="square" anchor="ctr" anchorCtr="1"/>
          <a:lstStyle/>
          <a:p>
            <a:pPr>
              <a:defRPr sz="800" b="1" i="0" u="none" strike="noStrike" kern="1200" spc="0" baseline="0">
                <a:solidFill>
                  <a:schemeClr val="bg1"/>
                </a:solidFill>
                <a:latin typeface="Arial" panose="020B0604020202020204" pitchFamily="34" charset="0"/>
                <a:ea typeface="+mn-ea"/>
                <a:cs typeface="Arial" panose="020B0604020202020204" pitchFamily="34" charset="0"/>
              </a:defRPr>
            </a:pPr>
            <a:r>
              <a:rPr lang="en-US" sz="800" b="1">
                <a:solidFill>
                  <a:schemeClr val="bg1"/>
                </a:solidFill>
                <a:latin typeface="Arial" panose="020B0604020202020204" pitchFamily="34" charset="0"/>
                <a:cs typeface="Arial" panose="020B0604020202020204" pitchFamily="34" charset="0"/>
              </a:rPr>
              <a:t>SỐ</a:t>
            </a:r>
            <a:r>
              <a:rPr lang="en-US" sz="800" b="1" baseline="0">
                <a:solidFill>
                  <a:schemeClr val="bg1"/>
                </a:solidFill>
                <a:latin typeface="Arial" panose="020B0604020202020204" pitchFamily="34" charset="0"/>
                <a:cs typeface="Arial" panose="020B0604020202020204" pitchFamily="34" charset="0"/>
              </a:rPr>
              <a:t> LƯỢNG CV NHẬN VIỆC VÀ CHƯA ĐẠT THEO THÁNG</a:t>
            </a:r>
            <a:endParaRPr lang="en-US" sz="800" b="1">
              <a:solidFill>
                <a:schemeClr val="bg1"/>
              </a:solidFill>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800" b="1" i="0" u="none" strike="noStrike" kern="1200" spc="0" baseline="0">
              <a:solidFill>
                <a:schemeClr val="bg1"/>
              </a:solidFill>
              <a:latin typeface="Arial" panose="020B0604020202020204" pitchFamily="34" charset="0"/>
              <a:ea typeface="+mn-ea"/>
              <a:cs typeface="Arial" panose="020B0604020202020204" pitchFamily="34" charset="0"/>
            </a:defRPr>
          </a:pPr>
          <a:endParaRPr lang="en-US"/>
        </a:p>
      </c:txPr>
    </c:title>
    <c:autoTitleDeleted val="0"/>
    <c:pivotFmts>
      <c:pivotFmt>
        <c:idx val="0"/>
        <c:spPr>
          <a:solidFill>
            <a:schemeClr val="accent3">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3">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3">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3">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3">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3">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9225721784776901E-3"/>
          <c:y val="0.11810214234078388"/>
          <c:w val="0.98619685039370075"/>
          <c:h val="0.67087549048891759"/>
        </c:manualLayout>
      </c:layout>
      <c:barChart>
        <c:barDir val="col"/>
        <c:grouping val="clustered"/>
        <c:varyColors val="0"/>
        <c:ser>
          <c:idx val="0"/>
          <c:order val="0"/>
          <c:tx>
            <c:strRef>
              <c:f>'Phân tích'!$B$57:$B$58</c:f>
              <c:strCache>
                <c:ptCount val="1"/>
                <c:pt idx="0">
                  <c:v>Chưa đạt</c:v>
                </c:pt>
              </c:strCache>
            </c:strRef>
          </c:tx>
          <c:spPr>
            <a:solidFill>
              <a:schemeClr val="accent3">
                <a:lumMod val="40000"/>
                <a:lumOff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'Phân tích'!$A$59:$A$71</c:f>
              <c:strCache>
                <c:ptCount val="12"/>
                <c:pt idx="0">
                  <c:v>Thg1</c:v>
                </c:pt>
                <c:pt idx="1">
                  <c:v>Thg2</c:v>
                </c:pt>
                <c:pt idx="2">
                  <c:v>Thg3</c:v>
                </c:pt>
                <c:pt idx="3">
                  <c:v>Thg4</c:v>
                </c:pt>
                <c:pt idx="4">
                  <c:v>Thg5</c:v>
                </c:pt>
                <c:pt idx="5">
                  <c:v>Thg6</c:v>
                </c:pt>
                <c:pt idx="6">
                  <c:v>Thg7</c:v>
                </c:pt>
                <c:pt idx="7">
                  <c:v>Thg8</c:v>
                </c:pt>
                <c:pt idx="8">
                  <c:v>Thg9</c:v>
                </c:pt>
                <c:pt idx="9">
                  <c:v>Thg10</c:v>
                </c:pt>
                <c:pt idx="10">
                  <c:v>Thg11</c:v>
                </c:pt>
                <c:pt idx="11">
                  <c:v>Thg12</c:v>
                </c:pt>
              </c:strCache>
            </c:strRef>
          </c:cat>
          <c:val>
            <c:numRef>
              <c:f>'Phân tích'!$B$59:$B$71</c:f>
              <c:numCache>
                <c:formatCode>General</c:formatCode>
                <c:ptCount val="12"/>
                <c:pt idx="0">
                  <c:v>37</c:v>
                </c:pt>
                <c:pt idx="1">
                  <c:v>58</c:v>
                </c:pt>
                <c:pt idx="2">
                  <c:v>41</c:v>
                </c:pt>
                <c:pt idx="3">
                  <c:v>37</c:v>
                </c:pt>
                <c:pt idx="4">
                  <c:v>33</c:v>
                </c:pt>
                <c:pt idx="5">
                  <c:v>50</c:v>
                </c:pt>
                <c:pt idx="6">
                  <c:v>41</c:v>
                </c:pt>
                <c:pt idx="7">
                  <c:v>38</c:v>
                </c:pt>
                <c:pt idx="8">
                  <c:v>46</c:v>
                </c:pt>
                <c:pt idx="9">
                  <c:v>43</c:v>
                </c:pt>
                <c:pt idx="10">
                  <c:v>31</c:v>
                </c:pt>
                <c:pt idx="11">
                  <c:v>40</c:v>
                </c:pt>
              </c:numCache>
            </c:numRef>
          </c:val>
          <c:extLst>
            <c:ext xmlns:c16="http://schemas.microsoft.com/office/drawing/2014/chart" uri="{C3380CC4-5D6E-409C-BE32-E72D297353CC}">
              <c16:uniqueId val="{00000000-6F8D-4C98-9FE9-2363D4DE2EBC}"/>
            </c:ext>
          </c:extLst>
        </c:ser>
        <c:ser>
          <c:idx val="1"/>
          <c:order val="1"/>
          <c:tx>
            <c:strRef>
              <c:f>'Phân tích'!$C$57:$C$58</c:f>
              <c:strCache>
                <c:ptCount val="1"/>
                <c:pt idx="0">
                  <c:v>Nhận việc</c:v>
                </c:pt>
              </c:strCache>
            </c:strRef>
          </c:tx>
          <c:spPr>
            <a:solidFill>
              <a:srgbClr val="FFFF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'Phân tích'!$A$59:$A$71</c:f>
              <c:strCache>
                <c:ptCount val="12"/>
                <c:pt idx="0">
                  <c:v>Thg1</c:v>
                </c:pt>
                <c:pt idx="1">
                  <c:v>Thg2</c:v>
                </c:pt>
                <c:pt idx="2">
                  <c:v>Thg3</c:v>
                </c:pt>
                <c:pt idx="3">
                  <c:v>Thg4</c:v>
                </c:pt>
                <c:pt idx="4">
                  <c:v>Thg5</c:v>
                </c:pt>
                <c:pt idx="5">
                  <c:v>Thg6</c:v>
                </c:pt>
                <c:pt idx="6">
                  <c:v>Thg7</c:v>
                </c:pt>
                <c:pt idx="7">
                  <c:v>Thg8</c:v>
                </c:pt>
                <c:pt idx="8">
                  <c:v>Thg9</c:v>
                </c:pt>
                <c:pt idx="9">
                  <c:v>Thg10</c:v>
                </c:pt>
                <c:pt idx="10">
                  <c:v>Thg11</c:v>
                </c:pt>
                <c:pt idx="11">
                  <c:v>Thg12</c:v>
                </c:pt>
              </c:strCache>
            </c:strRef>
          </c:cat>
          <c:val>
            <c:numRef>
              <c:f>'Phân tích'!$C$59:$C$71</c:f>
              <c:numCache>
                <c:formatCode>General</c:formatCode>
                <c:ptCount val="12"/>
                <c:pt idx="0">
                  <c:v>20</c:v>
                </c:pt>
                <c:pt idx="1">
                  <c:v>18</c:v>
                </c:pt>
                <c:pt idx="2">
                  <c:v>13</c:v>
                </c:pt>
                <c:pt idx="3">
                  <c:v>11</c:v>
                </c:pt>
                <c:pt idx="4">
                  <c:v>6</c:v>
                </c:pt>
                <c:pt idx="5">
                  <c:v>10</c:v>
                </c:pt>
                <c:pt idx="6">
                  <c:v>10</c:v>
                </c:pt>
                <c:pt idx="7">
                  <c:v>6</c:v>
                </c:pt>
                <c:pt idx="8">
                  <c:v>9</c:v>
                </c:pt>
                <c:pt idx="9">
                  <c:v>8</c:v>
                </c:pt>
                <c:pt idx="10">
                  <c:v>7</c:v>
                </c:pt>
                <c:pt idx="11">
                  <c:v>7</c:v>
                </c:pt>
              </c:numCache>
            </c:numRef>
          </c:val>
          <c:extLst>
            <c:ext xmlns:c16="http://schemas.microsoft.com/office/drawing/2014/chart" uri="{C3380CC4-5D6E-409C-BE32-E72D297353CC}">
              <c16:uniqueId val="{00000001-6F8D-4C98-9FE9-2363D4DE2EBC}"/>
            </c:ext>
          </c:extLst>
        </c:ser>
        <c:dLbls>
          <c:showLegendKey val="0"/>
          <c:showVal val="0"/>
          <c:showCatName val="0"/>
          <c:showSerName val="0"/>
          <c:showPercent val="0"/>
          <c:showBubbleSize val="0"/>
        </c:dLbls>
        <c:gapWidth val="60"/>
        <c:overlap val="100"/>
        <c:axId val="581811584"/>
        <c:axId val="581821568"/>
      </c:barChart>
      <c:catAx>
        <c:axId val="581811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800" b="1"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crossAx val="581821568"/>
        <c:crosses val="autoZero"/>
        <c:auto val="1"/>
        <c:lblAlgn val="ctr"/>
        <c:lblOffset val="100"/>
        <c:noMultiLvlLbl val="0"/>
      </c:catAx>
      <c:valAx>
        <c:axId val="581821568"/>
        <c:scaling>
          <c:orientation val="minMax"/>
        </c:scaling>
        <c:delete val="1"/>
        <c:axPos val="l"/>
        <c:numFmt formatCode="General" sourceLinked="1"/>
        <c:majorTickMark val="none"/>
        <c:minorTickMark val="none"/>
        <c:tickLblPos val="nextTo"/>
        <c:crossAx val="581811584"/>
        <c:crosses val="autoZero"/>
        <c:crossBetween val="between"/>
      </c:valAx>
      <c:spPr>
        <a:noFill/>
        <a:ln>
          <a:noFill/>
        </a:ln>
        <a:effectLst/>
      </c:spPr>
    </c:plotArea>
    <c:legend>
      <c:legendPos val="b"/>
      <c:layout>
        <c:manualLayout>
          <c:xMode val="edge"/>
          <c:yMode val="edge"/>
          <c:x val="0.25830867417075115"/>
          <c:y val="0.90044826216188478"/>
          <c:w val="0.53338266259463307"/>
          <c:h val="9.9551612332835646E-2"/>
        </c:manualLayout>
      </c:layout>
      <c:overlay val="0"/>
      <c:spPr>
        <a:noFill/>
        <a:ln>
          <a:noFill/>
        </a:ln>
        <a:effectLst/>
      </c:spPr>
      <c:txPr>
        <a:bodyPr rot="0" spcFirstLastPara="1" vertOverflow="ellipsis" vert="horz" wrap="square" anchor="ctr" anchorCtr="1"/>
        <a:lstStyle/>
        <a:p>
          <a:pPr>
            <a:defRPr sz="900" b="1" i="0" u="none" strike="noStrike" kern="1200" baseline="0">
              <a:solidFill>
                <a:srgbClr val="FFC000"/>
              </a:solidFill>
              <a:latin typeface="Arial" panose="020B0604020202020204" pitchFamily="34" charset="0"/>
              <a:ea typeface="+mn-ea"/>
              <a:cs typeface="Arial" panose="020B0604020202020204"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[Bao cao tuyen dung.ver01.xlsx]Phân tích!Tổng CV, chi phí theo tháng</c:name>
    <c:fmtId val="9"/>
  </c:pivotSource>
  <c:chart>
    <c:title>
      <c:tx>
        <c:rich>
          <a:bodyPr rot="0" spcFirstLastPara="1" vertOverflow="ellipsis" vert="horz" wrap="square" anchor="ctr" anchorCtr="1"/>
          <a:lstStyle/>
          <a:p>
            <a:pPr algn="ctr" rtl="0">
              <a:defRPr lang="en-US" sz="800" b="1" i="0" u="none" strike="noStrike" kern="1200" spc="0" baseline="0">
                <a:solidFill>
                  <a:schemeClr val="bg1"/>
                </a:solidFill>
                <a:latin typeface="Arial" panose="020B0604020202020204" pitchFamily="34" charset="0"/>
                <a:ea typeface="+mn-ea"/>
                <a:cs typeface="Arial" panose="020B0604020202020204" pitchFamily="34" charset="0"/>
              </a:defRPr>
            </a:pPr>
            <a:r>
              <a:rPr lang="en-US" sz="800" b="1" i="0" u="none" strike="noStrike" kern="1200" spc="0" baseline="0">
                <a:solidFill>
                  <a:schemeClr val="bg1"/>
                </a:solidFill>
                <a:latin typeface="Arial" panose="020B0604020202020204" pitchFamily="34" charset="0"/>
                <a:ea typeface="+mn-ea"/>
                <a:cs typeface="Arial" panose="020B0604020202020204" pitchFamily="34" charset="0"/>
              </a:rPr>
              <a:t>SỐ LƯỢNG CV VÀ CHI PHÍ THEO THÁNG</a:t>
            </a:r>
          </a:p>
        </c:rich>
      </c:tx>
      <c:layout>
        <c:manualLayout>
          <c:xMode val="edge"/>
          <c:yMode val="edge"/>
          <c:x val="0.22382403060797848"/>
          <c:y val="0"/>
        </c:manualLayout>
      </c:layout>
      <c:overlay val="0"/>
      <c:spPr>
        <a:noFill/>
        <a:ln>
          <a:noFill/>
        </a:ln>
        <a:effectLst/>
      </c:spPr>
      <c:txPr>
        <a:bodyPr rot="0" spcFirstLastPara="1" vertOverflow="ellipsis" vert="horz" wrap="square" anchor="ctr" anchorCtr="1"/>
        <a:lstStyle/>
        <a:p>
          <a:pPr algn="ctr" rtl="0">
            <a:defRPr lang="en-US" sz="800" b="1" i="0" u="none" strike="noStrike" kern="1200" spc="0" baseline="0">
              <a:solidFill>
                <a:schemeClr val="bg1"/>
              </a:solidFill>
              <a:latin typeface="Arial" panose="020B0604020202020204" pitchFamily="34" charset="0"/>
              <a:ea typeface="+mn-ea"/>
              <a:cs typeface="Arial" panose="020B0604020202020204"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rgbClr val="FFFF00"/>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rgbClr val="FFFF00"/>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rgbClr val="FFFF00"/>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431274401400135"/>
          <c:y val="8.6793137354969171E-2"/>
          <c:w val="0.83661064015688502"/>
          <c:h val="0.71300206208695727"/>
        </c:manualLayout>
      </c:layout>
      <c:barChart>
        <c:barDir val="col"/>
        <c:grouping val="clustered"/>
        <c:varyColors val="0"/>
        <c:ser>
          <c:idx val="0"/>
          <c:order val="0"/>
          <c:tx>
            <c:strRef>
              <c:f>'Phân tích'!$B$77</c:f>
              <c:strCache>
                <c:ptCount val="1"/>
                <c:pt idx="0">
                  <c:v>CV </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'Phân tích'!$A$78:$A$90</c:f>
              <c:strCache>
                <c:ptCount val="12"/>
                <c:pt idx="0">
                  <c:v>Thg1</c:v>
                </c:pt>
                <c:pt idx="1">
                  <c:v>Thg2</c:v>
                </c:pt>
                <c:pt idx="2">
                  <c:v>Thg3</c:v>
                </c:pt>
                <c:pt idx="3">
                  <c:v>Thg4</c:v>
                </c:pt>
                <c:pt idx="4">
                  <c:v>Thg5</c:v>
                </c:pt>
                <c:pt idx="5">
                  <c:v>Thg6</c:v>
                </c:pt>
                <c:pt idx="6">
                  <c:v>Thg7</c:v>
                </c:pt>
                <c:pt idx="7">
                  <c:v>Thg8</c:v>
                </c:pt>
                <c:pt idx="8">
                  <c:v>Thg9</c:v>
                </c:pt>
                <c:pt idx="9">
                  <c:v>Thg10</c:v>
                </c:pt>
                <c:pt idx="10">
                  <c:v>Thg11</c:v>
                </c:pt>
                <c:pt idx="11">
                  <c:v>Thg12</c:v>
                </c:pt>
              </c:strCache>
            </c:strRef>
          </c:cat>
          <c:val>
            <c:numRef>
              <c:f>'Phân tích'!$B$78:$B$90</c:f>
              <c:numCache>
                <c:formatCode>General</c:formatCode>
                <c:ptCount val="12"/>
                <c:pt idx="0">
                  <c:v>20</c:v>
                </c:pt>
                <c:pt idx="1">
                  <c:v>18</c:v>
                </c:pt>
                <c:pt idx="2">
                  <c:v>13</c:v>
                </c:pt>
                <c:pt idx="3">
                  <c:v>11</c:v>
                </c:pt>
                <c:pt idx="4">
                  <c:v>6</c:v>
                </c:pt>
                <c:pt idx="5">
                  <c:v>10</c:v>
                </c:pt>
                <c:pt idx="6">
                  <c:v>10</c:v>
                </c:pt>
                <c:pt idx="7">
                  <c:v>6</c:v>
                </c:pt>
                <c:pt idx="8">
                  <c:v>9</c:v>
                </c:pt>
                <c:pt idx="9">
                  <c:v>8</c:v>
                </c:pt>
                <c:pt idx="10">
                  <c:v>7</c:v>
                </c:pt>
                <c:pt idx="11">
                  <c:v>7</c:v>
                </c:pt>
              </c:numCache>
            </c:numRef>
          </c:val>
          <c:extLst>
            <c:ext xmlns:c16="http://schemas.microsoft.com/office/drawing/2014/chart" uri="{C3380CC4-5D6E-409C-BE32-E72D297353CC}">
              <c16:uniqueId val="{00000000-C43F-4F1B-8751-DC2535A0E8D1}"/>
            </c:ext>
          </c:extLst>
        </c:ser>
        <c:dLbls>
          <c:dLblPos val="outEnd"/>
          <c:showLegendKey val="0"/>
          <c:showVal val="1"/>
          <c:showCatName val="0"/>
          <c:showSerName val="0"/>
          <c:showPercent val="0"/>
          <c:showBubbleSize val="0"/>
        </c:dLbls>
        <c:gapWidth val="50"/>
        <c:overlap val="-27"/>
        <c:axId val="497639280"/>
        <c:axId val="497635120"/>
      </c:barChart>
      <c:lineChart>
        <c:grouping val="standard"/>
        <c:varyColors val="0"/>
        <c:ser>
          <c:idx val="1"/>
          <c:order val="1"/>
          <c:tx>
            <c:strRef>
              <c:f>'Phân tích'!$C$77</c:f>
              <c:strCache>
                <c:ptCount val="1"/>
                <c:pt idx="0">
                  <c:v> Chi phí</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rgbClr val="FFFF00"/>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'Phân tích'!$A$78:$A$90</c:f>
              <c:strCache>
                <c:ptCount val="12"/>
                <c:pt idx="0">
                  <c:v>Thg1</c:v>
                </c:pt>
                <c:pt idx="1">
                  <c:v>Thg2</c:v>
                </c:pt>
                <c:pt idx="2">
                  <c:v>Thg3</c:v>
                </c:pt>
                <c:pt idx="3">
                  <c:v>Thg4</c:v>
                </c:pt>
                <c:pt idx="4">
                  <c:v>Thg5</c:v>
                </c:pt>
                <c:pt idx="5">
                  <c:v>Thg6</c:v>
                </c:pt>
                <c:pt idx="6">
                  <c:v>Thg7</c:v>
                </c:pt>
                <c:pt idx="7">
                  <c:v>Thg8</c:v>
                </c:pt>
                <c:pt idx="8">
                  <c:v>Thg9</c:v>
                </c:pt>
                <c:pt idx="9">
                  <c:v>Thg10</c:v>
                </c:pt>
                <c:pt idx="10">
                  <c:v>Thg11</c:v>
                </c:pt>
                <c:pt idx="11">
                  <c:v>Thg12</c:v>
                </c:pt>
              </c:strCache>
            </c:strRef>
          </c:cat>
          <c:val>
            <c:numRef>
              <c:f>'Phân tích'!$C$78:$C$90</c:f>
              <c:numCache>
                <c:formatCode>#,##0.0,,"M"</c:formatCode>
                <c:ptCount val="12"/>
                <c:pt idx="0">
                  <c:v>28886000</c:v>
                </c:pt>
                <c:pt idx="1">
                  <c:v>10873000</c:v>
                </c:pt>
                <c:pt idx="2">
                  <c:v>13470200</c:v>
                </c:pt>
                <c:pt idx="3">
                  <c:v>7237000</c:v>
                </c:pt>
                <c:pt idx="4">
                  <c:v>3314000</c:v>
                </c:pt>
                <c:pt idx="5">
                  <c:v>4470000</c:v>
                </c:pt>
                <c:pt idx="6">
                  <c:v>4684000</c:v>
                </c:pt>
                <c:pt idx="7">
                  <c:v>3100000</c:v>
                </c:pt>
                <c:pt idx="8">
                  <c:v>4070000</c:v>
                </c:pt>
                <c:pt idx="9">
                  <c:v>3512000</c:v>
                </c:pt>
                <c:pt idx="10">
                  <c:v>7970000</c:v>
                </c:pt>
                <c:pt idx="11">
                  <c:v>7920000</c:v>
                </c:pt>
              </c:numCache>
            </c:numRef>
          </c:val>
          <c:smooth val="0"/>
          <c:extLst>
            <c:ext xmlns:c16="http://schemas.microsoft.com/office/drawing/2014/chart" uri="{C3380CC4-5D6E-409C-BE32-E72D297353CC}">
              <c16:uniqueId val="{00000001-C43F-4F1B-8751-DC2535A0E8D1}"/>
            </c:ext>
          </c:extLst>
        </c:ser>
        <c:dLbls>
          <c:showLegendKey val="0"/>
          <c:showVal val="1"/>
          <c:showCatName val="0"/>
          <c:showSerName val="0"/>
          <c:showPercent val="0"/>
          <c:showBubbleSize val="0"/>
        </c:dLbls>
        <c:marker val="1"/>
        <c:smooth val="0"/>
        <c:axId val="497645936"/>
        <c:axId val="497651760"/>
      </c:lineChart>
      <c:catAx>
        <c:axId val="497645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1"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crossAx val="497651760"/>
        <c:crosses val="autoZero"/>
        <c:auto val="1"/>
        <c:lblAlgn val="ctr"/>
        <c:lblOffset val="100"/>
        <c:noMultiLvlLbl val="0"/>
      </c:catAx>
      <c:valAx>
        <c:axId val="497651760"/>
        <c:scaling>
          <c:orientation val="minMax"/>
        </c:scaling>
        <c:delete val="0"/>
        <c:axPos val="l"/>
        <c:numFmt formatCode="#,##0.0,,&quot;M&quot;"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crossAx val="497645936"/>
        <c:crosses val="autoZero"/>
        <c:crossBetween val="between"/>
      </c:valAx>
      <c:valAx>
        <c:axId val="497635120"/>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crossAx val="497639280"/>
        <c:crosses val="max"/>
        <c:crossBetween val="between"/>
      </c:valAx>
      <c:catAx>
        <c:axId val="497639280"/>
        <c:scaling>
          <c:orientation val="minMax"/>
        </c:scaling>
        <c:delete val="1"/>
        <c:axPos val="b"/>
        <c:numFmt formatCode="General" sourceLinked="1"/>
        <c:majorTickMark val="out"/>
        <c:minorTickMark val="none"/>
        <c:tickLblPos val="nextTo"/>
        <c:crossAx val="497635120"/>
        <c:crosses val="autoZero"/>
        <c:auto val="1"/>
        <c:lblAlgn val="ctr"/>
        <c:lblOffset val="100"/>
        <c:noMultiLvlLbl val="0"/>
      </c:catAx>
      <c:spPr>
        <a:noFill/>
        <a:ln>
          <a:noFill/>
        </a:ln>
        <a:effectLst/>
      </c:spPr>
    </c:plotArea>
    <c:legend>
      <c:legendPos val="b"/>
      <c:layout>
        <c:manualLayout>
          <c:xMode val="edge"/>
          <c:yMode val="edge"/>
          <c:x val="0.27156194219021546"/>
          <c:y val="0.8788749417653412"/>
          <c:w val="0.41413514976246302"/>
          <c:h val="0.1082906405708156"/>
        </c:manualLayout>
      </c:layout>
      <c:overlay val="0"/>
      <c:spPr>
        <a:noFill/>
        <a:ln>
          <a:noFill/>
        </a:ln>
        <a:effectLst/>
      </c:spPr>
      <c:txPr>
        <a:bodyPr rot="0" spcFirstLastPara="1" vertOverflow="ellipsis" vert="horz" wrap="square" anchor="ctr" anchorCtr="1"/>
        <a:lstStyle/>
        <a:p>
          <a:pPr>
            <a:defRPr sz="900" b="1" i="0" u="none" strike="noStrike" kern="1200" baseline="0">
              <a:solidFill>
                <a:srgbClr val="FFC000"/>
              </a:solidFill>
              <a:latin typeface="Arial" panose="020B0604020202020204" pitchFamily="34" charset="0"/>
              <a:ea typeface="+mn-ea"/>
              <a:cs typeface="Arial" panose="020B0604020202020204"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[Bao cao tuyen dung.ver01.xlsx]Phân tích!Chi phí CN</c:name>
    <c:fmtId val="7"/>
  </c:pivotSource>
  <c:chart>
    <c:title>
      <c:tx>
        <c:rich>
          <a:bodyPr rot="0" spcFirstLastPara="1" vertOverflow="ellipsis" vert="horz" wrap="square" anchor="ctr" anchorCtr="1"/>
          <a:lstStyle/>
          <a:p>
            <a:pPr algn="ctr" rtl="0">
              <a:defRPr lang="en-US" sz="800" b="1" i="0" u="none" strike="noStrike" kern="1200" spc="0" baseline="0">
                <a:solidFill>
                  <a:sysClr val="window" lastClr="FFFFFF"/>
                </a:solidFill>
                <a:latin typeface="Arial" panose="020B0604020202020204" pitchFamily="34" charset="0"/>
                <a:ea typeface="+mn-ea"/>
                <a:cs typeface="Arial" panose="020B0604020202020204" pitchFamily="34" charset="0"/>
              </a:defRPr>
            </a:pPr>
            <a:r>
              <a:rPr lang="en-US" sz="800" b="1" i="0" u="none" strike="noStrike" kern="1200" spc="0" baseline="0">
                <a:solidFill>
                  <a:sysClr val="window" lastClr="FFFFFF"/>
                </a:solidFill>
                <a:latin typeface="Arial" panose="020B0604020202020204" pitchFamily="34" charset="0"/>
                <a:ea typeface="+mn-ea"/>
                <a:cs typeface="Arial" panose="020B0604020202020204" pitchFamily="34" charset="0"/>
              </a:rPr>
              <a:t>SỐ LƯỢNG CV VÀ CHI PHÍ THEO CHI NHÁNH</a:t>
            </a:r>
          </a:p>
        </c:rich>
      </c:tx>
      <c:layout>
        <c:manualLayout>
          <c:xMode val="edge"/>
          <c:yMode val="edge"/>
          <c:x val="0.25910066145419813"/>
          <c:y val="2.1122813389433267E-3"/>
        </c:manualLayout>
      </c:layout>
      <c:overlay val="0"/>
      <c:spPr>
        <a:noFill/>
        <a:ln>
          <a:noFill/>
        </a:ln>
        <a:effectLst/>
      </c:spPr>
      <c:txPr>
        <a:bodyPr rot="0" spcFirstLastPara="1" vertOverflow="ellipsis" vert="horz" wrap="square" anchor="ctr" anchorCtr="1"/>
        <a:lstStyle/>
        <a:p>
          <a:pPr algn="ctr" rtl="0">
            <a:defRPr lang="en-US" sz="800" b="1" i="0" u="none" strike="noStrike" kern="1200" spc="0" baseline="0">
              <a:solidFill>
                <a:sysClr val="window" lastClr="FFFFFF"/>
              </a:solidFill>
              <a:latin typeface="Arial" panose="020B0604020202020204" pitchFamily="34" charset="0"/>
              <a:ea typeface="+mn-ea"/>
              <a:cs typeface="Arial" panose="020B0604020202020204" pitchFamily="34" charset="0"/>
            </a:defRPr>
          </a:pPr>
          <a:endParaRPr lang="en-US"/>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FF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FF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FF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009119992953349"/>
          <c:y val="0.2092372984082406"/>
          <c:w val="0.79554660670990274"/>
          <c:h val="0.43919525373219709"/>
        </c:manualLayout>
      </c:layout>
      <c:barChart>
        <c:barDir val="col"/>
        <c:grouping val="clustered"/>
        <c:varyColors val="0"/>
        <c:ser>
          <c:idx val="0"/>
          <c:order val="0"/>
          <c:tx>
            <c:strRef>
              <c:f>'Phân tích'!$B$46</c:f>
              <c:strCache>
                <c:ptCount val="1"/>
                <c:pt idx="0">
                  <c:v> Chi phí</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FF00"/>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'Phân tích'!$A$47:$A$52</c:f>
              <c:strCache>
                <c:ptCount val="5"/>
                <c:pt idx="0">
                  <c:v>Đà Nẵng</c:v>
                </c:pt>
                <c:pt idx="1">
                  <c:v>Hải Phòng</c:v>
                </c:pt>
                <c:pt idx="2">
                  <c:v>Thái Nguyên</c:v>
                </c:pt>
                <c:pt idx="3">
                  <c:v>TP HCM</c:v>
                </c:pt>
                <c:pt idx="4">
                  <c:v>Trụ sở chính</c:v>
                </c:pt>
              </c:strCache>
            </c:strRef>
          </c:cat>
          <c:val>
            <c:numRef>
              <c:f>'Phân tích'!$B$47:$B$52</c:f>
              <c:numCache>
                <c:formatCode>#,##0.0,,"M"</c:formatCode>
                <c:ptCount val="5"/>
                <c:pt idx="0">
                  <c:v>20879000</c:v>
                </c:pt>
                <c:pt idx="1">
                  <c:v>13211000</c:v>
                </c:pt>
                <c:pt idx="2">
                  <c:v>8001000</c:v>
                </c:pt>
                <c:pt idx="3">
                  <c:v>39045200</c:v>
                </c:pt>
                <c:pt idx="4">
                  <c:v>18370000</c:v>
                </c:pt>
              </c:numCache>
            </c:numRef>
          </c:val>
          <c:extLst>
            <c:ext xmlns:c16="http://schemas.microsoft.com/office/drawing/2014/chart" uri="{C3380CC4-5D6E-409C-BE32-E72D297353CC}">
              <c16:uniqueId val="{00000000-C312-4B29-80C8-E73CA65F2996}"/>
            </c:ext>
          </c:extLst>
        </c:ser>
        <c:dLbls>
          <c:dLblPos val="outEnd"/>
          <c:showLegendKey val="0"/>
          <c:showVal val="1"/>
          <c:showCatName val="0"/>
          <c:showSerName val="0"/>
          <c:showPercent val="0"/>
          <c:showBubbleSize val="0"/>
        </c:dLbls>
        <c:gapWidth val="60"/>
        <c:axId val="592065160"/>
        <c:axId val="592066144"/>
      </c:barChart>
      <c:lineChart>
        <c:grouping val="standard"/>
        <c:varyColors val="0"/>
        <c:ser>
          <c:idx val="1"/>
          <c:order val="1"/>
          <c:tx>
            <c:strRef>
              <c:f>'Phân tích'!$C$46</c:f>
              <c:strCache>
                <c:ptCount val="1"/>
                <c:pt idx="0">
                  <c:v>Số CV</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'Phân tích'!$A$47:$A$52</c:f>
              <c:strCache>
                <c:ptCount val="5"/>
                <c:pt idx="0">
                  <c:v>Đà Nẵng</c:v>
                </c:pt>
                <c:pt idx="1">
                  <c:v>Hải Phòng</c:v>
                </c:pt>
                <c:pt idx="2">
                  <c:v>Thái Nguyên</c:v>
                </c:pt>
                <c:pt idx="3">
                  <c:v>TP HCM</c:v>
                </c:pt>
                <c:pt idx="4">
                  <c:v>Trụ sở chính</c:v>
                </c:pt>
              </c:strCache>
            </c:strRef>
          </c:cat>
          <c:val>
            <c:numRef>
              <c:f>'Phân tích'!$C$47:$C$52</c:f>
              <c:numCache>
                <c:formatCode>General</c:formatCode>
                <c:ptCount val="5"/>
                <c:pt idx="0">
                  <c:v>30</c:v>
                </c:pt>
                <c:pt idx="1">
                  <c:v>15</c:v>
                </c:pt>
                <c:pt idx="2">
                  <c:v>10</c:v>
                </c:pt>
                <c:pt idx="3">
                  <c:v>37</c:v>
                </c:pt>
                <c:pt idx="4">
                  <c:v>33</c:v>
                </c:pt>
              </c:numCache>
            </c:numRef>
          </c:val>
          <c:smooth val="0"/>
          <c:extLst>
            <c:ext xmlns:c16="http://schemas.microsoft.com/office/drawing/2014/chart" uri="{C3380CC4-5D6E-409C-BE32-E72D297353CC}">
              <c16:uniqueId val="{00000001-C312-4B29-80C8-E73CA65F2996}"/>
            </c:ext>
          </c:extLst>
        </c:ser>
        <c:dLbls>
          <c:showLegendKey val="0"/>
          <c:showVal val="0"/>
          <c:showCatName val="0"/>
          <c:showSerName val="0"/>
          <c:showPercent val="0"/>
          <c:showBubbleSize val="0"/>
        </c:dLbls>
        <c:marker val="1"/>
        <c:smooth val="0"/>
        <c:axId val="1721152192"/>
        <c:axId val="1721159680"/>
      </c:lineChart>
      <c:catAx>
        <c:axId val="5920651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crossAx val="592066144"/>
        <c:crosses val="autoZero"/>
        <c:auto val="1"/>
        <c:lblAlgn val="ctr"/>
        <c:lblOffset val="100"/>
        <c:noMultiLvlLbl val="0"/>
      </c:catAx>
      <c:valAx>
        <c:axId val="592066144"/>
        <c:scaling>
          <c:orientation val="minMax"/>
        </c:scaling>
        <c:delete val="0"/>
        <c:axPos val="l"/>
        <c:numFmt formatCode="#,##0.0,,&quot;M&quot;" sourceLinked="1"/>
        <c:majorTickMark val="out"/>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crossAx val="592065160"/>
        <c:crosses val="autoZero"/>
        <c:crossBetween val="between"/>
      </c:valAx>
      <c:valAx>
        <c:axId val="1721159680"/>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crossAx val="1721152192"/>
        <c:crosses val="max"/>
        <c:crossBetween val="between"/>
      </c:valAx>
      <c:catAx>
        <c:axId val="1721152192"/>
        <c:scaling>
          <c:orientation val="minMax"/>
        </c:scaling>
        <c:delete val="1"/>
        <c:axPos val="t"/>
        <c:numFmt formatCode="General" sourceLinked="1"/>
        <c:majorTickMark val="out"/>
        <c:minorTickMark val="none"/>
        <c:tickLblPos val="nextTo"/>
        <c:crossAx val="1721159680"/>
        <c:crosses val="max"/>
        <c:auto val="1"/>
        <c:lblAlgn val="ctr"/>
        <c:lblOffset val="100"/>
        <c:noMultiLvlLbl val="0"/>
      </c:catAx>
      <c:spPr>
        <a:noFill/>
        <a:ln>
          <a:noFill/>
        </a:ln>
        <a:effectLst/>
      </c:spPr>
    </c:plotArea>
    <c:legend>
      <c:legendPos val="b"/>
      <c:layout>
        <c:manualLayout>
          <c:xMode val="edge"/>
          <c:yMode val="edge"/>
          <c:x val="0.29670716083891024"/>
          <c:y val="0.85405308225474963"/>
          <c:w val="0.42309900337781248"/>
          <c:h val="0.14594691774525043"/>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accent4"/>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[Bao cao tuyen dung.ver01.xlsx]Phân tích!Chi phí, CV kênh</c:name>
    <c:fmtId val="12"/>
  </c:pivotSource>
  <c:chart>
    <c:title>
      <c:tx>
        <c:rich>
          <a:bodyPr rot="0" spcFirstLastPara="1" vertOverflow="ellipsis" vert="horz" wrap="square" anchor="ctr" anchorCtr="1"/>
          <a:lstStyle/>
          <a:p>
            <a:pPr algn="ctr" rtl="0">
              <a:defRPr lang="en-US" sz="800" b="1" i="0" u="none" strike="noStrike" kern="1200" spc="0" baseline="0">
                <a:solidFill>
                  <a:schemeClr val="bg1"/>
                </a:solidFill>
                <a:latin typeface="Arial" panose="020B0604020202020204" pitchFamily="34" charset="0"/>
                <a:ea typeface="+mn-ea"/>
                <a:cs typeface="Arial" panose="020B0604020202020204" pitchFamily="34" charset="0"/>
              </a:defRPr>
            </a:pPr>
            <a:r>
              <a:rPr lang="en-US" sz="800" b="1" i="0" u="none" strike="noStrike" kern="1200" spc="0" baseline="0">
                <a:solidFill>
                  <a:schemeClr val="bg1"/>
                </a:solidFill>
                <a:latin typeface="Arial" panose="020B0604020202020204" pitchFamily="34" charset="0"/>
                <a:ea typeface="+mn-ea"/>
                <a:cs typeface="Arial" panose="020B0604020202020204" pitchFamily="34" charset="0"/>
              </a:rPr>
              <a:t>CHI PHÍ VÀ NHẬN VIỆC THEO NGUỒN</a:t>
            </a:r>
          </a:p>
        </c:rich>
      </c:tx>
      <c:overlay val="0"/>
      <c:spPr>
        <a:noFill/>
        <a:ln>
          <a:noFill/>
        </a:ln>
        <a:effectLst/>
      </c:spPr>
      <c:txPr>
        <a:bodyPr rot="0" spcFirstLastPara="1" vertOverflow="ellipsis" vert="horz" wrap="square" anchor="ctr" anchorCtr="1"/>
        <a:lstStyle/>
        <a:p>
          <a:pPr algn="ctr" rtl="0">
            <a:defRPr lang="en-US" sz="800" b="1" i="0" u="none" strike="noStrike" kern="1200" spc="0" baseline="0">
              <a:solidFill>
                <a:schemeClr val="bg1"/>
              </a:solidFill>
              <a:latin typeface="Arial" panose="020B0604020202020204" pitchFamily="34" charset="0"/>
              <a:ea typeface="+mn-ea"/>
              <a:cs typeface="Arial" panose="020B0604020202020204" pitchFamily="34" charset="0"/>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1"/>
          <c:order val="1"/>
          <c:tx>
            <c:strRef>
              <c:f>'Phân tích'!$C$15</c:f>
              <c:strCache>
                <c:ptCount val="1"/>
                <c:pt idx="0">
                  <c:v>Số nhận việc</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'Phân tích'!$A$16:$A$43</c:f>
              <c:multiLvlStrCache>
                <c:ptCount val="16"/>
                <c:lvl>
                  <c:pt idx="3">
                    <c:v>()</c:v>
                  </c:pt>
                  <c:pt idx="4">
                    <c:v>Carrerbuilder.vn</c:v>
                  </c:pt>
                  <c:pt idx="5">
                    <c:v>Facebook</c:v>
                  </c:pt>
                  <c:pt idx="6">
                    <c:v>Linkedln</c:v>
                  </c:pt>
                  <c:pt idx="7">
                    <c:v>Mywork.com</c:v>
                  </c:pt>
                  <c:pt idx="8">
                    <c:v>Zalo</c:v>
                  </c:pt>
                  <c:pt idx="9">
                    <c:v>Carrerbuilder.vn</c:v>
                  </c:pt>
                  <c:pt idx="10">
                    <c:v>Mywork.com</c:v>
                  </c:pt>
                  <c:pt idx="11">
                    <c:v>timviecnhanh.com</c:v>
                  </c:pt>
                  <c:pt idx="12">
                    <c:v>vieclam24h.vn</c:v>
                  </c:pt>
                  <c:pt idx="13">
                    <c:v>vietnamworks.com</c:v>
                  </c:pt>
                  <c:pt idx="14">
                    <c:v>Website công ty</c:v>
                  </c:pt>
                </c:lvl>
                <c:lvl>
                  <c:pt idx="0">
                    <c:v>()</c:v>
                  </c:pt>
                  <c:pt idx="1">
                    <c:v>()</c:v>
                  </c:pt>
                  <c:pt idx="2">
                    <c:v>()</c:v>
                  </c:pt>
                  <c:pt idx="3">
                    <c:v>Thông báo, poster</c:v>
                  </c:pt>
                  <c:pt idx="4">
                    <c:v>Mạng xã hội</c:v>
                  </c:pt>
                  <c:pt idx="9">
                    <c:v>Website</c:v>
                  </c:pt>
                  <c:pt idx="15">
                    <c:v>()</c:v>
                  </c:pt>
                </c:lvl>
                <c:lvl>
                  <c:pt idx="0">
                    <c:v>Nội bộ</c:v>
                  </c:pt>
                  <c:pt idx="1">
                    <c:v>Giới thiệu</c:v>
                  </c:pt>
                  <c:pt idx="2">
                    <c:v>Khác</c:v>
                  </c:pt>
                  <c:pt idx="3">
                    <c:v>Offline</c:v>
                  </c:pt>
                  <c:pt idx="4">
                    <c:v>Online</c:v>
                  </c:pt>
                  <c:pt idx="15">
                    <c:v>Headhunt</c:v>
                  </c:pt>
                </c:lvl>
                <c:lvl>
                  <c:pt idx="0">
                    <c:v>Bên trong</c:v>
                  </c:pt>
                  <c:pt idx="2">
                    <c:v>Bên ngoài</c:v>
                  </c:pt>
                </c:lvl>
              </c:multiLvlStrCache>
            </c:multiLvlStrRef>
          </c:cat>
          <c:val>
            <c:numRef>
              <c:f>'Phân tích'!$C$16:$C$43</c:f>
              <c:numCache>
                <c:formatCode>General</c:formatCode>
                <c:ptCount val="16"/>
                <c:pt idx="0">
                  <c:v>4</c:v>
                </c:pt>
                <c:pt idx="1">
                  <c:v>22</c:v>
                </c:pt>
                <c:pt idx="3">
                  <c:v>16</c:v>
                </c:pt>
                <c:pt idx="5">
                  <c:v>26</c:v>
                </c:pt>
                <c:pt idx="7">
                  <c:v>1</c:v>
                </c:pt>
                <c:pt idx="8">
                  <c:v>5</c:v>
                </c:pt>
                <c:pt idx="9">
                  <c:v>16</c:v>
                </c:pt>
                <c:pt idx="10">
                  <c:v>1</c:v>
                </c:pt>
                <c:pt idx="11">
                  <c:v>1</c:v>
                </c:pt>
                <c:pt idx="12">
                  <c:v>2</c:v>
                </c:pt>
                <c:pt idx="13">
                  <c:v>16</c:v>
                </c:pt>
                <c:pt idx="14">
                  <c:v>12</c:v>
                </c:pt>
                <c:pt idx="15">
                  <c:v>3</c:v>
                </c:pt>
              </c:numCache>
            </c:numRef>
          </c:val>
          <c:extLst>
            <c:ext xmlns:c16="http://schemas.microsoft.com/office/drawing/2014/chart" uri="{C3380CC4-5D6E-409C-BE32-E72D297353CC}">
              <c16:uniqueId val="{00000000-3B9A-459B-8C37-F5F9F260420A}"/>
            </c:ext>
          </c:extLst>
        </c:ser>
        <c:dLbls>
          <c:showLegendKey val="0"/>
          <c:showVal val="0"/>
          <c:showCatName val="0"/>
          <c:showSerName val="0"/>
          <c:showPercent val="0"/>
          <c:showBubbleSize val="0"/>
        </c:dLbls>
        <c:gapWidth val="50"/>
        <c:axId val="1290871136"/>
        <c:axId val="1290863232"/>
      </c:barChart>
      <c:lineChart>
        <c:grouping val="stacked"/>
        <c:varyColors val="0"/>
        <c:ser>
          <c:idx val="0"/>
          <c:order val="0"/>
          <c:tx>
            <c:strRef>
              <c:f>'Phân tích'!$B$15</c:f>
              <c:strCache>
                <c:ptCount val="1"/>
                <c:pt idx="0">
                  <c:v> Chi phí</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00"/>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'Phân tích'!$A$16:$A$43</c:f>
              <c:multiLvlStrCache>
                <c:ptCount val="16"/>
                <c:lvl>
                  <c:pt idx="3">
                    <c:v>()</c:v>
                  </c:pt>
                  <c:pt idx="4">
                    <c:v>Carrerbuilder.vn</c:v>
                  </c:pt>
                  <c:pt idx="5">
                    <c:v>Facebook</c:v>
                  </c:pt>
                  <c:pt idx="6">
                    <c:v>Linkedln</c:v>
                  </c:pt>
                  <c:pt idx="7">
                    <c:v>Mywork.com</c:v>
                  </c:pt>
                  <c:pt idx="8">
                    <c:v>Zalo</c:v>
                  </c:pt>
                  <c:pt idx="9">
                    <c:v>Carrerbuilder.vn</c:v>
                  </c:pt>
                  <c:pt idx="10">
                    <c:v>Mywork.com</c:v>
                  </c:pt>
                  <c:pt idx="11">
                    <c:v>timviecnhanh.com</c:v>
                  </c:pt>
                  <c:pt idx="12">
                    <c:v>vieclam24h.vn</c:v>
                  </c:pt>
                  <c:pt idx="13">
                    <c:v>vietnamworks.com</c:v>
                  </c:pt>
                  <c:pt idx="14">
                    <c:v>Website công ty</c:v>
                  </c:pt>
                </c:lvl>
                <c:lvl>
                  <c:pt idx="0">
                    <c:v>()</c:v>
                  </c:pt>
                  <c:pt idx="1">
                    <c:v>()</c:v>
                  </c:pt>
                  <c:pt idx="2">
                    <c:v>()</c:v>
                  </c:pt>
                  <c:pt idx="3">
                    <c:v>Thông báo, poster</c:v>
                  </c:pt>
                  <c:pt idx="4">
                    <c:v>Mạng xã hội</c:v>
                  </c:pt>
                  <c:pt idx="9">
                    <c:v>Website</c:v>
                  </c:pt>
                  <c:pt idx="15">
                    <c:v>()</c:v>
                  </c:pt>
                </c:lvl>
                <c:lvl>
                  <c:pt idx="0">
                    <c:v>Nội bộ</c:v>
                  </c:pt>
                  <c:pt idx="1">
                    <c:v>Giới thiệu</c:v>
                  </c:pt>
                  <c:pt idx="2">
                    <c:v>Khác</c:v>
                  </c:pt>
                  <c:pt idx="3">
                    <c:v>Offline</c:v>
                  </c:pt>
                  <c:pt idx="4">
                    <c:v>Online</c:v>
                  </c:pt>
                  <c:pt idx="15">
                    <c:v>Headhunt</c:v>
                  </c:pt>
                </c:lvl>
                <c:lvl>
                  <c:pt idx="0">
                    <c:v>Bên trong</c:v>
                  </c:pt>
                  <c:pt idx="2">
                    <c:v>Bên ngoài</c:v>
                  </c:pt>
                </c:lvl>
              </c:multiLvlStrCache>
            </c:multiLvlStrRef>
          </c:cat>
          <c:val>
            <c:numRef>
              <c:f>'Phân tích'!$B$16:$B$43</c:f>
              <c:numCache>
                <c:formatCode>#,##0.0,,"M"</c:formatCode>
                <c:ptCount val="16"/>
                <c:pt idx="0">
                  <c:v>7895000</c:v>
                </c:pt>
                <c:pt idx="1">
                  <c:v>18137000</c:v>
                </c:pt>
                <c:pt idx="2">
                  <c:v>2739000</c:v>
                </c:pt>
                <c:pt idx="3">
                  <c:v>10188200</c:v>
                </c:pt>
                <c:pt idx="4">
                  <c:v>2265000</c:v>
                </c:pt>
                <c:pt idx="5">
                  <c:v>872000</c:v>
                </c:pt>
                <c:pt idx="6">
                  <c:v>1180000</c:v>
                </c:pt>
                <c:pt idx="7">
                  <c:v>121000</c:v>
                </c:pt>
                <c:pt idx="8">
                  <c:v>120000</c:v>
                </c:pt>
                <c:pt idx="9">
                  <c:v>6063000</c:v>
                </c:pt>
                <c:pt idx="10">
                  <c:v>122000</c:v>
                </c:pt>
                <c:pt idx="11">
                  <c:v>3790000</c:v>
                </c:pt>
                <c:pt idx="12">
                  <c:v>1800000</c:v>
                </c:pt>
                <c:pt idx="13">
                  <c:v>10852000</c:v>
                </c:pt>
                <c:pt idx="14">
                  <c:v>2594000</c:v>
                </c:pt>
                <c:pt idx="15">
                  <c:v>30768000</c:v>
                </c:pt>
              </c:numCache>
            </c:numRef>
          </c:val>
          <c:smooth val="0"/>
          <c:extLst>
            <c:ext xmlns:c16="http://schemas.microsoft.com/office/drawing/2014/chart" uri="{C3380CC4-5D6E-409C-BE32-E72D297353CC}">
              <c16:uniqueId val="{00000001-3B9A-459B-8C37-F5F9F260420A}"/>
            </c:ext>
          </c:extLst>
        </c:ser>
        <c:dLbls>
          <c:showLegendKey val="0"/>
          <c:showVal val="0"/>
          <c:showCatName val="0"/>
          <c:showSerName val="0"/>
          <c:showPercent val="0"/>
          <c:showBubbleSize val="0"/>
        </c:dLbls>
        <c:marker val="1"/>
        <c:smooth val="0"/>
        <c:axId val="1384776496"/>
        <c:axId val="1384774416"/>
      </c:lineChart>
      <c:catAx>
        <c:axId val="12908711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crossAx val="1290863232"/>
        <c:crosses val="autoZero"/>
        <c:auto val="1"/>
        <c:lblAlgn val="ctr"/>
        <c:lblOffset val="100"/>
        <c:noMultiLvlLbl val="0"/>
      </c:catAx>
      <c:valAx>
        <c:axId val="129086323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290871136"/>
        <c:crosses val="autoZero"/>
        <c:crossBetween val="between"/>
      </c:valAx>
      <c:valAx>
        <c:axId val="1384774416"/>
        <c:scaling>
          <c:orientation val="minMax"/>
        </c:scaling>
        <c:delete val="0"/>
        <c:axPos val="r"/>
        <c:numFmt formatCode="#,##0.0,,&quot;M&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384776496"/>
        <c:crosses val="max"/>
        <c:crossBetween val="between"/>
      </c:valAx>
      <c:catAx>
        <c:axId val="1384776496"/>
        <c:scaling>
          <c:orientation val="minMax"/>
        </c:scaling>
        <c:delete val="1"/>
        <c:axPos val="b"/>
        <c:numFmt formatCode="General" sourceLinked="1"/>
        <c:majorTickMark val="out"/>
        <c:minorTickMark val="none"/>
        <c:tickLblPos val="nextTo"/>
        <c:crossAx val="1384774416"/>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lgn="ctr" rtl="0">
            <a:defRPr lang="en-US" sz="900" b="1" i="0" u="none" strike="noStrike" kern="1200" spc="0" baseline="0">
              <a:solidFill>
                <a:schemeClr val="accent4"/>
              </a:solidFill>
              <a:latin typeface="Arial" panose="020B0604020202020204" pitchFamily="34" charset="0"/>
              <a:ea typeface="+mn-ea"/>
              <a:cs typeface="Arial" panose="020B0604020202020204"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[Bao cao tuyen dung.ver01.xlsx]Phân tích!Nhận việc theo tháng vs CN</c:name>
    <c:fmtId val="4"/>
  </c:pivotSource>
  <c:chart>
    <c:title>
      <c:tx>
        <c:rich>
          <a:bodyPr rot="0" spcFirstLastPara="1" vertOverflow="ellipsis" vert="horz" wrap="square" anchor="ctr" anchorCtr="1"/>
          <a:lstStyle/>
          <a:p>
            <a:pPr>
              <a:defRPr lang="en-US" sz="800" b="1" i="0" u="none" strike="noStrike" kern="1200" spc="0" baseline="0">
                <a:solidFill>
                  <a:schemeClr val="bg1"/>
                </a:solidFill>
                <a:latin typeface="Arial" panose="020B0604020202020204" pitchFamily="34" charset="0"/>
                <a:ea typeface="+mn-ea"/>
                <a:cs typeface="Arial" panose="020B0604020202020204" pitchFamily="34" charset="0"/>
              </a:defRPr>
            </a:pPr>
            <a:r>
              <a:rPr lang="en-US" sz="800"/>
              <a:t>NHẬN VIỆC THEO THÁNG VÀ CHI NHÁNH</a:t>
            </a:r>
          </a:p>
        </c:rich>
      </c:tx>
      <c:layout>
        <c:manualLayout>
          <c:xMode val="edge"/>
          <c:yMode val="edge"/>
          <c:x val="0.22841222559780064"/>
          <c:y val="9.8085112754059071E-3"/>
        </c:manualLayout>
      </c:layout>
      <c:overlay val="0"/>
      <c:spPr>
        <a:noFill/>
        <a:ln>
          <a:noFill/>
        </a:ln>
        <a:effectLst/>
      </c:spPr>
      <c:txPr>
        <a:bodyPr rot="0" spcFirstLastPara="1" vertOverflow="ellipsis" vert="horz" wrap="square" anchor="ctr" anchorCtr="1"/>
        <a:lstStyle/>
        <a:p>
          <a:pPr>
            <a:defRPr lang="en-US" sz="800" b="1" i="0" u="none" strike="noStrike" kern="1200" spc="0" baseline="0">
              <a:solidFill>
                <a:schemeClr val="bg1"/>
              </a:solidFill>
              <a:latin typeface="Arial" panose="020B0604020202020204" pitchFamily="34" charset="0"/>
              <a:ea typeface="+mn-ea"/>
              <a:cs typeface="Arial" panose="020B0604020202020204"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spc="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spc="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spc="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spc="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spc="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spc="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spc="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spc="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spc="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spc="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800" b="1" i="0" u="none" strike="noStrike" kern="1200" spc="0" baseline="0">
                  <a:solidFill>
                    <a:schemeClr val="bg1"/>
                  </a:solidFill>
                  <a:latin typeface="Arial" panose="020B0604020202020204" pitchFamily="34" charset="0"/>
                  <a:ea typeface="+mn-ea"/>
                  <a:cs typeface="Arial" panose="020B060402020202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800" b="1" i="0" u="none" strike="noStrike" kern="1200" spc="0" baseline="0">
                  <a:solidFill>
                    <a:schemeClr val="bg1"/>
                  </a:solidFill>
                  <a:latin typeface="Arial" panose="020B0604020202020204" pitchFamily="34" charset="0"/>
                  <a:ea typeface="+mn-ea"/>
                  <a:cs typeface="Arial" panose="020B060402020202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800" b="1" i="0" u="none" strike="noStrike" kern="1200" spc="0" baseline="0">
                  <a:solidFill>
                    <a:schemeClr val="bg1"/>
                  </a:solidFill>
                  <a:latin typeface="Arial" panose="020B0604020202020204" pitchFamily="34" charset="0"/>
                  <a:ea typeface="+mn-ea"/>
                  <a:cs typeface="Arial" panose="020B060402020202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800" b="1" i="0" u="none" strike="noStrike" kern="1200" spc="0" baseline="0">
                  <a:solidFill>
                    <a:schemeClr val="bg1"/>
                  </a:solidFill>
                  <a:latin typeface="Arial" panose="020B0604020202020204" pitchFamily="34" charset="0"/>
                  <a:ea typeface="+mn-ea"/>
                  <a:cs typeface="Arial" panose="020B060402020202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800" b="1" i="0" u="none" strike="noStrike" kern="1200" spc="0" baseline="0">
                  <a:solidFill>
                    <a:schemeClr val="bg1"/>
                  </a:solidFill>
                  <a:latin typeface="Arial" panose="020B0604020202020204" pitchFamily="34" charset="0"/>
                  <a:ea typeface="+mn-ea"/>
                  <a:cs typeface="Arial" panose="020B060402020202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800" b="1" i="0" u="none" strike="noStrike" kern="1200" spc="0" baseline="0">
                  <a:solidFill>
                    <a:schemeClr val="bg1"/>
                  </a:solidFill>
                  <a:latin typeface="Arial" panose="020B0604020202020204" pitchFamily="34" charset="0"/>
                  <a:ea typeface="+mn-ea"/>
                  <a:cs typeface="Arial" panose="020B060402020202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800" b="1" i="0" u="none" strike="noStrike" kern="1200" spc="0" baseline="0">
                  <a:solidFill>
                    <a:schemeClr val="bg1"/>
                  </a:solidFill>
                  <a:latin typeface="Arial" panose="020B0604020202020204" pitchFamily="34" charset="0"/>
                  <a:ea typeface="+mn-ea"/>
                  <a:cs typeface="Arial" panose="020B060402020202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800" b="1" i="0" u="none" strike="noStrike" kern="1200" spc="0" baseline="0">
                  <a:solidFill>
                    <a:schemeClr val="bg1"/>
                  </a:solidFill>
                  <a:latin typeface="Arial" panose="020B0604020202020204" pitchFamily="34" charset="0"/>
                  <a:ea typeface="+mn-ea"/>
                  <a:cs typeface="Arial" panose="020B060402020202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800" b="1" i="0" u="none" strike="noStrike" kern="1200" spc="0" baseline="0">
                  <a:solidFill>
                    <a:schemeClr val="bg1"/>
                  </a:solidFill>
                  <a:latin typeface="Arial" panose="020B0604020202020204" pitchFamily="34" charset="0"/>
                  <a:ea typeface="+mn-ea"/>
                  <a:cs typeface="Arial" panose="020B060402020202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800" b="1" i="0" u="none" strike="noStrike" kern="1200" spc="0" baseline="0">
                  <a:solidFill>
                    <a:schemeClr val="bg1"/>
                  </a:solidFill>
                  <a:latin typeface="Arial" panose="020B0604020202020204" pitchFamily="34" charset="0"/>
                  <a:ea typeface="+mn-ea"/>
                  <a:cs typeface="Arial" panose="020B060402020202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800" b="1" i="0" u="none" strike="noStrike" kern="1200" spc="0" baseline="0">
                  <a:solidFill>
                    <a:schemeClr val="bg1"/>
                  </a:solidFill>
                  <a:latin typeface="Arial" panose="020B0604020202020204" pitchFamily="34" charset="0"/>
                  <a:ea typeface="+mn-ea"/>
                  <a:cs typeface="Arial" panose="020B060402020202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800" b="1" i="0" u="none" strike="noStrike" kern="1200" spc="0" baseline="0">
                  <a:solidFill>
                    <a:schemeClr val="bg1"/>
                  </a:solidFill>
                  <a:latin typeface="Arial" panose="020B0604020202020204" pitchFamily="34" charset="0"/>
                  <a:ea typeface="+mn-ea"/>
                  <a:cs typeface="Arial" panose="020B060402020202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800" b="1" i="0" u="none" strike="noStrike" kern="1200" spc="0" baseline="0">
                  <a:solidFill>
                    <a:schemeClr val="bg1"/>
                  </a:solidFill>
                  <a:latin typeface="Arial" panose="020B0604020202020204" pitchFamily="34" charset="0"/>
                  <a:ea typeface="+mn-ea"/>
                  <a:cs typeface="Arial" panose="020B060402020202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800" b="1" i="0" u="none" strike="noStrike" kern="1200" spc="0" baseline="0">
                  <a:solidFill>
                    <a:schemeClr val="bg1"/>
                  </a:solidFill>
                  <a:latin typeface="Arial" panose="020B0604020202020204" pitchFamily="34" charset="0"/>
                  <a:ea typeface="+mn-ea"/>
                  <a:cs typeface="Arial" panose="020B060402020202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800" b="1" i="0" u="none" strike="noStrike" kern="1200" spc="0" baseline="0">
                  <a:solidFill>
                    <a:schemeClr val="bg1"/>
                  </a:solidFill>
                  <a:latin typeface="Arial" panose="020B0604020202020204" pitchFamily="34" charset="0"/>
                  <a:ea typeface="+mn-ea"/>
                  <a:cs typeface="Arial" panose="020B060402020202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103146458790513"/>
          <c:y val="8.7962962962962965E-2"/>
          <c:w val="0.83896853541209493"/>
          <c:h val="0.78761519393409141"/>
        </c:manualLayout>
      </c:layout>
      <c:barChart>
        <c:barDir val="bar"/>
        <c:grouping val="stacked"/>
        <c:varyColors val="0"/>
        <c:ser>
          <c:idx val="0"/>
          <c:order val="0"/>
          <c:tx>
            <c:strRef>
              <c:f>'Phân tích'!$B$94:$B$95</c:f>
              <c:strCache>
                <c:ptCount val="1"/>
                <c:pt idx="0">
                  <c:v>Đà Nẵng</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lang="en-US" sz="800" b="1" i="0" u="none" strike="noStrike" kern="1200" spc="0" baseline="0">
                    <a:solidFill>
                      <a:schemeClr val="bg1"/>
                    </a:solidFill>
                    <a:latin typeface="Arial" panose="020B0604020202020204" pitchFamily="34" charset="0"/>
                    <a:ea typeface="+mn-ea"/>
                    <a:cs typeface="Arial" panose="020B0604020202020204" pitchFamily="34"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'Phân tích'!$A$96:$A$108</c:f>
              <c:strCache>
                <c:ptCount val="12"/>
                <c:pt idx="0">
                  <c:v>Thg1</c:v>
                </c:pt>
                <c:pt idx="1">
                  <c:v>Thg2</c:v>
                </c:pt>
                <c:pt idx="2">
                  <c:v>Thg3</c:v>
                </c:pt>
                <c:pt idx="3">
                  <c:v>Thg4</c:v>
                </c:pt>
                <c:pt idx="4">
                  <c:v>Thg5</c:v>
                </c:pt>
                <c:pt idx="5">
                  <c:v>Thg6</c:v>
                </c:pt>
                <c:pt idx="6">
                  <c:v>Thg7</c:v>
                </c:pt>
                <c:pt idx="7">
                  <c:v>Thg8</c:v>
                </c:pt>
                <c:pt idx="8">
                  <c:v>Thg9</c:v>
                </c:pt>
                <c:pt idx="9">
                  <c:v>Thg10</c:v>
                </c:pt>
                <c:pt idx="10">
                  <c:v>Thg11</c:v>
                </c:pt>
                <c:pt idx="11">
                  <c:v>Thg12</c:v>
                </c:pt>
              </c:strCache>
            </c:strRef>
          </c:cat>
          <c:val>
            <c:numRef>
              <c:f>'Phân tích'!$B$96:$B$108</c:f>
              <c:numCache>
                <c:formatCode>General</c:formatCode>
                <c:ptCount val="12"/>
                <c:pt idx="0">
                  <c:v>5</c:v>
                </c:pt>
                <c:pt idx="1">
                  <c:v>4</c:v>
                </c:pt>
                <c:pt idx="2">
                  <c:v>2</c:v>
                </c:pt>
                <c:pt idx="3">
                  <c:v>3</c:v>
                </c:pt>
                <c:pt idx="4">
                  <c:v>2</c:v>
                </c:pt>
                <c:pt idx="5">
                  <c:v>4</c:v>
                </c:pt>
                <c:pt idx="6">
                  <c:v>4</c:v>
                </c:pt>
                <c:pt idx="7">
                  <c:v>3</c:v>
                </c:pt>
                <c:pt idx="9">
                  <c:v>1</c:v>
                </c:pt>
                <c:pt idx="10">
                  <c:v>1</c:v>
                </c:pt>
                <c:pt idx="11">
                  <c:v>1</c:v>
                </c:pt>
              </c:numCache>
            </c:numRef>
          </c:val>
          <c:extLst>
            <c:ext xmlns:c16="http://schemas.microsoft.com/office/drawing/2014/chart" uri="{C3380CC4-5D6E-409C-BE32-E72D297353CC}">
              <c16:uniqueId val="{00000000-BECA-4C2F-9FCA-090C9A44B6F3}"/>
            </c:ext>
          </c:extLst>
        </c:ser>
        <c:ser>
          <c:idx val="1"/>
          <c:order val="1"/>
          <c:tx>
            <c:strRef>
              <c:f>'Phân tích'!$C$94:$C$95</c:f>
              <c:strCache>
                <c:ptCount val="1"/>
                <c:pt idx="0">
                  <c:v>Hải Phòng</c:v>
                </c:pt>
              </c:strCache>
            </c:strRef>
          </c:tx>
          <c:spPr>
            <a:solidFill>
              <a:schemeClr val="accent3"/>
            </a:solidFill>
            <a:ln>
              <a:noFill/>
            </a:ln>
            <a:effectLst/>
          </c:spPr>
          <c:invertIfNegative val="0"/>
          <c:dLbls>
            <c:spPr>
              <a:noFill/>
              <a:ln>
                <a:noFill/>
              </a:ln>
              <a:effectLst/>
            </c:spPr>
            <c:txPr>
              <a:bodyPr rot="0" spcFirstLastPara="1" vertOverflow="ellipsis" vert="horz" wrap="square" anchor="ctr" anchorCtr="1"/>
              <a:lstStyle/>
              <a:p>
                <a:pPr>
                  <a:defRPr lang="en-US" sz="800" b="1" i="0" u="none" strike="noStrike" kern="1200" spc="0" baseline="0">
                    <a:solidFill>
                      <a:schemeClr val="bg1"/>
                    </a:solidFill>
                    <a:latin typeface="Arial" panose="020B0604020202020204" pitchFamily="34" charset="0"/>
                    <a:ea typeface="+mn-ea"/>
                    <a:cs typeface="Arial" panose="020B0604020202020204" pitchFamily="34"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'Phân tích'!$A$96:$A$108</c:f>
              <c:strCache>
                <c:ptCount val="12"/>
                <c:pt idx="0">
                  <c:v>Thg1</c:v>
                </c:pt>
                <c:pt idx="1">
                  <c:v>Thg2</c:v>
                </c:pt>
                <c:pt idx="2">
                  <c:v>Thg3</c:v>
                </c:pt>
                <c:pt idx="3">
                  <c:v>Thg4</c:v>
                </c:pt>
                <c:pt idx="4">
                  <c:v>Thg5</c:v>
                </c:pt>
                <c:pt idx="5">
                  <c:v>Thg6</c:v>
                </c:pt>
                <c:pt idx="6">
                  <c:v>Thg7</c:v>
                </c:pt>
                <c:pt idx="7">
                  <c:v>Thg8</c:v>
                </c:pt>
                <c:pt idx="8">
                  <c:v>Thg9</c:v>
                </c:pt>
                <c:pt idx="9">
                  <c:v>Thg10</c:v>
                </c:pt>
                <c:pt idx="10">
                  <c:v>Thg11</c:v>
                </c:pt>
                <c:pt idx="11">
                  <c:v>Thg12</c:v>
                </c:pt>
              </c:strCache>
            </c:strRef>
          </c:cat>
          <c:val>
            <c:numRef>
              <c:f>'Phân tích'!$C$96:$C$108</c:f>
              <c:numCache>
                <c:formatCode>General</c:formatCode>
                <c:ptCount val="12"/>
                <c:pt idx="0">
                  <c:v>1</c:v>
                </c:pt>
                <c:pt idx="1">
                  <c:v>1</c:v>
                </c:pt>
                <c:pt idx="2">
                  <c:v>3</c:v>
                </c:pt>
                <c:pt idx="3">
                  <c:v>1</c:v>
                </c:pt>
                <c:pt idx="4">
                  <c:v>1</c:v>
                </c:pt>
                <c:pt idx="5">
                  <c:v>1</c:v>
                </c:pt>
                <c:pt idx="7">
                  <c:v>1</c:v>
                </c:pt>
                <c:pt idx="8">
                  <c:v>2</c:v>
                </c:pt>
                <c:pt idx="9">
                  <c:v>1</c:v>
                </c:pt>
                <c:pt idx="10">
                  <c:v>3</c:v>
                </c:pt>
              </c:numCache>
            </c:numRef>
          </c:val>
          <c:extLst>
            <c:ext xmlns:c16="http://schemas.microsoft.com/office/drawing/2014/chart" uri="{C3380CC4-5D6E-409C-BE32-E72D297353CC}">
              <c16:uniqueId val="{0000000A-BECA-4C2F-9FCA-090C9A44B6F3}"/>
            </c:ext>
          </c:extLst>
        </c:ser>
        <c:ser>
          <c:idx val="2"/>
          <c:order val="2"/>
          <c:tx>
            <c:strRef>
              <c:f>'Phân tích'!$D$94:$D$95</c:f>
              <c:strCache>
                <c:ptCount val="1"/>
                <c:pt idx="0">
                  <c:v>TP HCM</c:v>
                </c:pt>
              </c:strCache>
            </c:strRef>
          </c:tx>
          <c:spPr>
            <a:solidFill>
              <a:schemeClr val="accent5"/>
            </a:solidFill>
            <a:ln>
              <a:noFill/>
            </a:ln>
            <a:effectLst/>
          </c:spPr>
          <c:invertIfNegative val="0"/>
          <c:dLbls>
            <c:spPr>
              <a:noFill/>
              <a:ln>
                <a:noFill/>
              </a:ln>
              <a:effectLst/>
            </c:spPr>
            <c:txPr>
              <a:bodyPr rot="0" spcFirstLastPara="1" vertOverflow="ellipsis" vert="horz" wrap="square" anchor="ctr" anchorCtr="1"/>
              <a:lstStyle/>
              <a:p>
                <a:pPr>
                  <a:defRPr lang="en-US" sz="800" b="1" i="0" u="none" strike="noStrike" kern="1200" spc="0" baseline="0">
                    <a:solidFill>
                      <a:schemeClr val="bg1"/>
                    </a:solidFill>
                    <a:latin typeface="Arial" panose="020B0604020202020204" pitchFamily="34" charset="0"/>
                    <a:ea typeface="+mn-ea"/>
                    <a:cs typeface="Arial" panose="020B0604020202020204" pitchFamily="34"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'Phân tích'!$A$96:$A$108</c:f>
              <c:strCache>
                <c:ptCount val="12"/>
                <c:pt idx="0">
                  <c:v>Thg1</c:v>
                </c:pt>
                <c:pt idx="1">
                  <c:v>Thg2</c:v>
                </c:pt>
                <c:pt idx="2">
                  <c:v>Thg3</c:v>
                </c:pt>
                <c:pt idx="3">
                  <c:v>Thg4</c:v>
                </c:pt>
                <c:pt idx="4">
                  <c:v>Thg5</c:v>
                </c:pt>
                <c:pt idx="5">
                  <c:v>Thg6</c:v>
                </c:pt>
                <c:pt idx="6">
                  <c:v>Thg7</c:v>
                </c:pt>
                <c:pt idx="7">
                  <c:v>Thg8</c:v>
                </c:pt>
                <c:pt idx="8">
                  <c:v>Thg9</c:v>
                </c:pt>
                <c:pt idx="9">
                  <c:v>Thg10</c:v>
                </c:pt>
                <c:pt idx="10">
                  <c:v>Thg11</c:v>
                </c:pt>
                <c:pt idx="11">
                  <c:v>Thg12</c:v>
                </c:pt>
              </c:strCache>
            </c:strRef>
          </c:cat>
          <c:val>
            <c:numRef>
              <c:f>'Phân tích'!$D$96:$D$108</c:f>
              <c:numCache>
                <c:formatCode>General</c:formatCode>
                <c:ptCount val="12"/>
                <c:pt idx="0">
                  <c:v>5</c:v>
                </c:pt>
                <c:pt idx="1">
                  <c:v>7</c:v>
                </c:pt>
                <c:pt idx="2">
                  <c:v>3</c:v>
                </c:pt>
                <c:pt idx="3">
                  <c:v>1</c:v>
                </c:pt>
                <c:pt idx="4">
                  <c:v>2</c:v>
                </c:pt>
                <c:pt idx="5">
                  <c:v>3</c:v>
                </c:pt>
                <c:pt idx="6">
                  <c:v>1</c:v>
                </c:pt>
                <c:pt idx="7">
                  <c:v>2</c:v>
                </c:pt>
                <c:pt idx="8">
                  <c:v>6</c:v>
                </c:pt>
                <c:pt idx="9">
                  <c:v>3</c:v>
                </c:pt>
                <c:pt idx="10">
                  <c:v>1</c:v>
                </c:pt>
                <c:pt idx="11">
                  <c:v>3</c:v>
                </c:pt>
              </c:numCache>
            </c:numRef>
          </c:val>
          <c:extLst>
            <c:ext xmlns:c16="http://schemas.microsoft.com/office/drawing/2014/chart" uri="{C3380CC4-5D6E-409C-BE32-E72D297353CC}">
              <c16:uniqueId val="{0000000B-BECA-4C2F-9FCA-090C9A44B6F3}"/>
            </c:ext>
          </c:extLst>
        </c:ser>
        <c:ser>
          <c:idx val="3"/>
          <c:order val="3"/>
          <c:tx>
            <c:strRef>
              <c:f>'Phân tích'!$E$94:$E$95</c:f>
              <c:strCache>
                <c:ptCount val="1"/>
                <c:pt idx="0">
                  <c:v>Thái Nguyên</c:v>
                </c:pt>
              </c:strCache>
            </c:strRef>
          </c:tx>
          <c:spPr>
            <a:solidFill>
              <a:schemeClr val="accent1">
                <a:lumMod val="60000"/>
              </a:schemeClr>
            </a:solidFill>
            <a:ln>
              <a:noFill/>
            </a:ln>
            <a:effectLst/>
          </c:spPr>
          <c:invertIfNegative val="0"/>
          <c:dLbls>
            <c:spPr>
              <a:noFill/>
              <a:ln>
                <a:noFill/>
              </a:ln>
              <a:effectLst/>
            </c:spPr>
            <c:txPr>
              <a:bodyPr rot="0" spcFirstLastPara="1" vertOverflow="ellipsis" vert="horz" wrap="square" anchor="ctr" anchorCtr="1"/>
              <a:lstStyle/>
              <a:p>
                <a:pPr>
                  <a:defRPr lang="en-US" sz="800" b="1" i="0" u="none" strike="noStrike" kern="1200" spc="0" baseline="0">
                    <a:solidFill>
                      <a:schemeClr val="bg1"/>
                    </a:solidFill>
                    <a:latin typeface="Arial" panose="020B0604020202020204" pitchFamily="34" charset="0"/>
                    <a:ea typeface="+mn-ea"/>
                    <a:cs typeface="Arial" panose="020B0604020202020204" pitchFamily="34"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'Phân tích'!$A$96:$A$108</c:f>
              <c:strCache>
                <c:ptCount val="12"/>
                <c:pt idx="0">
                  <c:v>Thg1</c:v>
                </c:pt>
                <c:pt idx="1">
                  <c:v>Thg2</c:v>
                </c:pt>
                <c:pt idx="2">
                  <c:v>Thg3</c:v>
                </c:pt>
                <c:pt idx="3">
                  <c:v>Thg4</c:v>
                </c:pt>
                <c:pt idx="4">
                  <c:v>Thg5</c:v>
                </c:pt>
                <c:pt idx="5">
                  <c:v>Thg6</c:v>
                </c:pt>
                <c:pt idx="6">
                  <c:v>Thg7</c:v>
                </c:pt>
                <c:pt idx="7">
                  <c:v>Thg8</c:v>
                </c:pt>
                <c:pt idx="8">
                  <c:v>Thg9</c:v>
                </c:pt>
                <c:pt idx="9">
                  <c:v>Thg10</c:v>
                </c:pt>
                <c:pt idx="10">
                  <c:v>Thg11</c:v>
                </c:pt>
                <c:pt idx="11">
                  <c:v>Thg12</c:v>
                </c:pt>
              </c:strCache>
            </c:strRef>
          </c:cat>
          <c:val>
            <c:numRef>
              <c:f>'Phân tích'!$E$96:$E$108</c:f>
              <c:numCache>
                <c:formatCode>General</c:formatCode>
                <c:ptCount val="12"/>
                <c:pt idx="0">
                  <c:v>2</c:v>
                </c:pt>
                <c:pt idx="3">
                  <c:v>3</c:v>
                </c:pt>
                <c:pt idx="4">
                  <c:v>1</c:v>
                </c:pt>
                <c:pt idx="8">
                  <c:v>1</c:v>
                </c:pt>
                <c:pt idx="9">
                  <c:v>1</c:v>
                </c:pt>
                <c:pt idx="10">
                  <c:v>1</c:v>
                </c:pt>
                <c:pt idx="11">
                  <c:v>1</c:v>
                </c:pt>
              </c:numCache>
            </c:numRef>
          </c:val>
          <c:extLst>
            <c:ext xmlns:c16="http://schemas.microsoft.com/office/drawing/2014/chart" uri="{C3380CC4-5D6E-409C-BE32-E72D297353CC}">
              <c16:uniqueId val="{0000000C-BECA-4C2F-9FCA-090C9A44B6F3}"/>
            </c:ext>
          </c:extLst>
        </c:ser>
        <c:ser>
          <c:idx val="4"/>
          <c:order val="4"/>
          <c:tx>
            <c:strRef>
              <c:f>'Phân tích'!$F$94:$F$95</c:f>
              <c:strCache>
                <c:ptCount val="1"/>
                <c:pt idx="0">
                  <c:v>Trụ sở chính</c:v>
                </c:pt>
              </c:strCache>
            </c:strRef>
          </c:tx>
          <c:spPr>
            <a:solidFill>
              <a:schemeClr val="accent3">
                <a:lumMod val="60000"/>
              </a:schemeClr>
            </a:solidFill>
            <a:ln>
              <a:noFill/>
            </a:ln>
            <a:effectLst/>
          </c:spPr>
          <c:invertIfNegative val="0"/>
          <c:dLbls>
            <c:spPr>
              <a:noFill/>
              <a:ln>
                <a:noFill/>
              </a:ln>
              <a:effectLst/>
            </c:spPr>
            <c:txPr>
              <a:bodyPr rot="0" spcFirstLastPara="1" vertOverflow="ellipsis" vert="horz" wrap="square" anchor="ctr" anchorCtr="1"/>
              <a:lstStyle/>
              <a:p>
                <a:pPr>
                  <a:defRPr lang="en-US" sz="800" b="1" i="0" u="none" strike="noStrike" kern="1200" spc="0" baseline="0">
                    <a:solidFill>
                      <a:schemeClr val="bg1"/>
                    </a:solidFill>
                    <a:latin typeface="Arial" panose="020B0604020202020204" pitchFamily="34" charset="0"/>
                    <a:ea typeface="+mn-ea"/>
                    <a:cs typeface="Arial" panose="020B0604020202020204" pitchFamily="34"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'Phân tích'!$A$96:$A$108</c:f>
              <c:strCache>
                <c:ptCount val="12"/>
                <c:pt idx="0">
                  <c:v>Thg1</c:v>
                </c:pt>
                <c:pt idx="1">
                  <c:v>Thg2</c:v>
                </c:pt>
                <c:pt idx="2">
                  <c:v>Thg3</c:v>
                </c:pt>
                <c:pt idx="3">
                  <c:v>Thg4</c:v>
                </c:pt>
                <c:pt idx="4">
                  <c:v>Thg5</c:v>
                </c:pt>
                <c:pt idx="5">
                  <c:v>Thg6</c:v>
                </c:pt>
                <c:pt idx="6">
                  <c:v>Thg7</c:v>
                </c:pt>
                <c:pt idx="7">
                  <c:v>Thg8</c:v>
                </c:pt>
                <c:pt idx="8">
                  <c:v>Thg9</c:v>
                </c:pt>
                <c:pt idx="9">
                  <c:v>Thg10</c:v>
                </c:pt>
                <c:pt idx="10">
                  <c:v>Thg11</c:v>
                </c:pt>
                <c:pt idx="11">
                  <c:v>Thg12</c:v>
                </c:pt>
              </c:strCache>
            </c:strRef>
          </c:cat>
          <c:val>
            <c:numRef>
              <c:f>'Phân tích'!$F$96:$F$108</c:f>
              <c:numCache>
                <c:formatCode>General</c:formatCode>
                <c:ptCount val="12"/>
                <c:pt idx="0">
                  <c:v>7</c:v>
                </c:pt>
                <c:pt idx="1">
                  <c:v>6</c:v>
                </c:pt>
                <c:pt idx="2">
                  <c:v>5</c:v>
                </c:pt>
                <c:pt idx="3">
                  <c:v>3</c:v>
                </c:pt>
                <c:pt idx="5">
                  <c:v>2</c:v>
                </c:pt>
                <c:pt idx="6">
                  <c:v>5</c:v>
                </c:pt>
                <c:pt idx="9">
                  <c:v>2</c:v>
                </c:pt>
                <c:pt idx="10">
                  <c:v>1</c:v>
                </c:pt>
                <c:pt idx="11">
                  <c:v>2</c:v>
                </c:pt>
              </c:numCache>
            </c:numRef>
          </c:val>
          <c:extLst>
            <c:ext xmlns:c16="http://schemas.microsoft.com/office/drawing/2014/chart" uri="{C3380CC4-5D6E-409C-BE32-E72D297353CC}">
              <c16:uniqueId val="{0000000D-BECA-4C2F-9FCA-090C9A44B6F3}"/>
            </c:ext>
          </c:extLst>
        </c:ser>
        <c:dLbls>
          <c:dLblPos val="ctr"/>
          <c:showLegendKey val="0"/>
          <c:showVal val="1"/>
          <c:showCatName val="0"/>
          <c:showSerName val="0"/>
          <c:showPercent val="0"/>
          <c:showBubbleSize val="0"/>
        </c:dLbls>
        <c:gapWidth val="50"/>
        <c:overlap val="100"/>
        <c:axId val="1384767344"/>
        <c:axId val="1384751952"/>
      </c:barChart>
      <c:catAx>
        <c:axId val="1384767344"/>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800" b="1" i="0" u="none" strike="noStrike" kern="1200" spc="0" baseline="0">
                <a:solidFill>
                  <a:schemeClr val="bg1"/>
                </a:solidFill>
                <a:latin typeface="Arial" panose="020B0604020202020204" pitchFamily="34" charset="0"/>
                <a:ea typeface="+mn-ea"/>
                <a:cs typeface="Arial" panose="020B0604020202020204" pitchFamily="34" charset="0"/>
              </a:defRPr>
            </a:pPr>
            <a:endParaRPr lang="en-US"/>
          </a:p>
        </c:txPr>
        <c:crossAx val="1384751952"/>
        <c:crosses val="autoZero"/>
        <c:auto val="1"/>
        <c:lblAlgn val="ctr"/>
        <c:lblOffset val="100"/>
        <c:noMultiLvlLbl val="0"/>
      </c:catAx>
      <c:valAx>
        <c:axId val="1384751952"/>
        <c:scaling>
          <c:orientation val="minMax"/>
        </c:scaling>
        <c:delete val="1"/>
        <c:axPos val="t"/>
        <c:numFmt formatCode="General" sourceLinked="1"/>
        <c:majorTickMark val="none"/>
        <c:minorTickMark val="none"/>
        <c:tickLblPos val="nextTo"/>
        <c:crossAx val="138476734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lang="en-US" sz="800" b="1" i="0" u="none" strike="noStrike" kern="1200" spc="0" baseline="0">
              <a:solidFill>
                <a:schemeClr val="bg1"/>
              </a:solidFill>
              <a:latin typeface="Arial" panose="020B0604020202020204" pitchFamily="34" charset="0"/>
              <a:ea typeface="+mn-ea"/>
              <a:cs typeface="Arial" panose="020B0604020202020204"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lgn="ctr" rtl="0">
        <a:defRPr lang="en-US" sz="800" b="1" i="0" u="none" strike="noStrike" kern="1200" spc="0" baseline="0">
          <a:solidFill>
            <a:schemeClr val="bg1"/>
          </a:solidFill>
          <a:latin typeface="Arial" panose="020B0604020202020204" pitchFamily="34" charset="0"/>
          <a:ea typeface="+mn-ea"/>
          <a:cs typeface="Arial" panose="020B060402020202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6.xml"/><Relationship Id="rId7" Type="http://schemas.openxmlformats.org/officeDocument/2006/relationships/chart" Target="../charts/chart10.xml"/><Relationship Id="rId2" Type="http://schemas.openxmlformats.org/officeDocument/2006/relationships/image" Target="../media/image3.svg"/><Relationship Id="rId1" Type="http://schemas.openxmlformats.org/officeDocument/2006/relationships/image" Target="../media/image2.png"/><Relationship Id="rId6" Type="http://schemas.openxmlformats.org/officeDocument/2006/relationships/chart" Target="../charts/chart9.xml"/><Relationship Id="rId5" Type="http://schemas.openxmlformats.org/officeDocument/2006/relationships/chart" Target="../charts/chart8.xml"/><Relationship Id="rId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7</xdr:row>
      <xdr:rowOff>9525</xdr:rowOff>
    </xdr:from>
    <xdr:to>
      <xdr:col>17</xdr:col>
      <xdr:colOff>323850</xdr:colOff>
      <xdr:row>20</xdr:row>
      <xdr:rowOff>38100</xdr:rowOff>
    </xdr:to>
    <xdr:pic>
      <xdr:nvPicPr>
        <xdr:cNvPr id="3" name="Picture 2">
          <a:extLst>
            <a:ext uri="{FF2B5EF4-FFF2-40B4-BE49-F238E27FC236}">
              <a16:creationId xmlns:a16="http://schemas.microsoft.com/office/drawing/2014/main" id="{A8F1D652-D40A-4CE7-8857-768AE71410D8}"/>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1716" t="20925" r="2574" b="8452"/>
        <a:stretch/>
      </xdr:blipFill>
      <xdr:spPr>
        <a:xfrm>
          <a:off x="2438400" y="2552700"/>
          <a:ext cx="8248650" cy="31337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165230</xdr:colOff>
      <xdr:row>40</xdr:row>
      <xdr:rowOff>97195</xdr:rowOff>
    </xdr:from>
    <xdr:to>
      <xdr:col>14</xdr:col>
      <xdr:colOff>329293</xdr:colOff>
      <xdr:row>52</xdr:row>
      <xdr:rowOff>135878</xdr:rowOff>
    </xdr:to>
    <xdr:graphicFrame macro="">
      <xdr:nvGraphicFramePr>
        <xdr:cNvPr id="8" name="Chart 7">
          <a:extLst>
            <a:ext uri="{FF2B5EF4-FFF2-40B4-BE49-F238E27FC236}">
              <a16:creationId xmlns:a16="http://schemas.microsoft.com/office/drawing/2014/main" id="{4190EBF0-8BA0-4BF0-8AEC-4617B076BF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17495</xdr:colOff>
      <xdr:row>57</xdr:row>
      <xdr:rowOff>68034</xdr:rowOff>
    </xdr:from>
    <xdr:to>
      <xdr:col>12</xdr:col>
      <xdr:colOff>381000</xdr:colOff>
      <xdr:row>68</xdr:row>
      <xdr:rowOff>44902</xdr:rowOff>
    </xdr:to>
    <xdr:graphicFrame macro="">
      <xdr:nvGraphicFramePr>
        <xdr:cNvPr id="3" name="Chart 2">
          <a:extLst>
            <a:ext uri="{FF2B5EF4-FFF2-40B4-BE49-F238E27FC236}">
              <a16:creationId xmlns:a16="http://schemas.microsoft.com/office/drawing/2014/main" id="{1507F4BB-AF30-4BA9-B400-37E4BD82D5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106913</xdr:colOff>
      <xdr:row>76</xdr:row>
      <xdr:rowOff>68035</xdr:rowOff>
    </xdr:from>
    <xdr:to>
      <xdr:col>13</xdr:col>
      <xdr:colOff>77754</xdr:colOff>
      <xdr:row>86</xdr:row>
      <xdr:rowOff>103220</xdr:rowOff>
    </xdr:to>
    <xdr:graphicFrame macro="">
      <xdr:nvGraphicFramePr>
        <xdr:cNvPr id="5" name="Chart 4">
          <a:extLst>
            <a:ext uri="{FF2B5EF4-FFF2-40B4-BE49-F238E27FC236}">
              <a16:creationId xmlns:a16="http://schemas.microsoft.com/office/drawing/2014/main" id="{C13052F5-18A7-4F01-86BB-CF6361BA88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11</xdr:col>
      <xdr:colOff>133932</xdr:colOff>
      <xdr:row>1</xdr:row>
      <xdr:rowOff>143069</xdr:rowOff>
    </xdr:from>
    <xdr:to>
      <xdr:col>14</xdr:col>
      <xdr:colOff>67451</xdr:colOff>
      <xdr:row>14</xdr:row>
      <xdr:rowOff>140153</xdr:rowOff>
    </xdr:to>
    <mc:AlternateContent xmlns:mc="http://schemas.openxmlformats.org/markup-compatibility/2006" xmlns:a14="http://schemas.microsoft.com/office/drawing/2010/main">
      <mc:Choice Requires="a14">
        <xdr:graphicFrame macro="">
          <xdr:nvGraphicFramePr>
            <xdr:cNvPr id="10" name="Months2">
              <a:extLst>
                <a:ext uri="{FF2B5EF4-FFF2-40B4-BE49-F238E27FC236}">
                  <a16:creationId xmlns:a16="http://schemas.microsoft.com/office/drawing/2014/main" id="{A2CE133B-AF41-4E15-B14B-F593CF00396A}"/>
                </a:ext>
              </a:extLst>
            </xdr:cNvPr>
            <xdr:cNvGraphicFramePr/>
          </xdr:nvGraphicFramePr>
          <xdr:xfrm>
            <a:off x="0" y="0"/>
            <a:ext cx="0" cy="0"/>
          </xdr:xfrm>
          <a:graphic>
            <a:graphicData uri="http://schemas.microsoft.com/office/drawing/2010/slicer">
              <sle:slicer xmlns:sle="http://schemas.microsoft.com/office/drawing/2010/slicer" name="Months2"/>
            </a:graphicData>
          </a:graphic>
        </xdr:graphicFrame>
      </mc:Choice>
      <mc:Fallback xmlns="">
        <xdr:sp macro="" textlink="">
          <xdr:nvSpPr>
            <xdr:cNvPr id="0" name=""/>
            <xdr:cNvSpPr>
              <a:spLocks noTextEdit="1"/>
            </xdr:cNvSpPr>
          </xdr:nvSpPr>
          <xdr:spPr>
            <a:xfrm>
              <a:off x="7501228" y="337457"/>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660917</xdr:colOff>
      <xdr:row>11</xdr:row>
      <xdr:rowOff>130045</xdr:rowOff>
    </xdr:from>
    <xdr:to>
      <xdr:col>11</xdr:col>
      <xdr:colOff>281861</xdr:colOff>
      <xdr:row>34</xdr:row>
      <xdr:rowOff>145790</xdr:rowOff>
    </xdr:to>
    <xdr:graphicFrame macro="">
      <xdr:nvGraphicFramePr>
        <xdr:cNvPr id="13" name="Chart 12">
          <a:extLst>
            <a:ext uri="{FF2B5EF4-FFF2-40B4-BE49-F238E27FC236}">
              <a16:creationId xmlns:a16="http://schemas.microsoft.com/office/drawing/2014/main" id="{88B68D8B-8A2E-469D-81E7-450A4FA3EC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561780</xdr:colOff>
      <xdr:row>93</xdr:row>
      <xdr:rowOff>3693</xdr:rowOff>
    </xdr:from>
    <xdr:to>
      <xdr:col>14</xdr:col>
      <xdr:colOff>507352</xdr:colOff>
      <xdr:row>107</xdr:row>
      <xdr:rowOff>25464</xdr:rowOff>
    </xdr:to>
    <xdr:graphicFrame macro="">
      <xdr:nvGraphicFramePr>
        <xdr:cNvPr id="14" name="Chart 13">
          <a:extLst>
            <a:ext uri="{FF2B5EF4-FFF2-40B4-BE49-F238E27FC236}">
              <a16:creationId xmlns:a16="http://schemas.microsoft.com/office/drawing/2014/main" id="{734FEA0E-2B48-4B92-96F7-C9314C3B49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20</xdr:col>
      <xdr:colOff>299040</xdr:colOff>
      <xdr:row>27</xdr:row>
      <xdr:rowOff>33227</xdr:rowOff>
    </xdr:to>
    <xdr:grpSp>
      <xdr:nvGrpSpPr>
        <xdr:cNvPr id="62" name="Group 61">
          <a:extLst>
            <a:ext uri="{FF2B5EF4-FFF2-40B4-BE49-F238E27FC236}">
              <a16:creationId xmlns:a16="http://schemas.microsoft.com/office/drawing/2014/main" id="{AB5BBC85-08BE-4AE1-869D-1F2C3B358CB2}"/>
            </a:ext>
          </a:extLst>
        </xdr:cNvPr>
        <xdr:cNvGrpSpPr/>
      </xdr:nvGrpSpPr>
      <xdr:grpSpPr>
        <a:xfrm>
          <a:off x="0" y="0"/>
          <a:ext cx="14464709" cy="5980814"/>
          <a:chOff x="0" y="0"/>
          <a:chExt cx="13545436" cy="5111151"/>
        </a:xfrm>
      </xdr:grpSpPr>
      <mc:AlternateContent xmlns:mc="http://schemas.openxmlformats.org/markup-compatibility/2006" xmlns:a14="http://schemas.microsoft.com/office/drawing/2010/main">
        <mc:Choice Requires="a14">
          <xdr:graphicFrame macro="">
            <xdr:nvGraphicFramePr>
              <xdr:cNvPr id="33" name="Months2 2">
                <a:extLst>
                  <a:ext uri="{FF2B5EF4-FFF2-40B4-BE49-F238E27FC236}">
                    <a16:creationId xmlns:a16="http://schemas.microsoft.com/office/drawing/2014/main" id="{BF9859D1-3903-44D3-A806-C422DFE91F23}"/>
                  </a:ext>
                </a:extLst>
              </xdr:cNvPr>
              <xdr:cNvGraphicFramePr/>
            </xdr:nvGraphicFramePr>
            <xdr:xfrm>
              <a:off x="7613" y="2951912"/>
              <a:ext cx="1288229" cy="2154052"/>
            </xdr:xfrm>
            <a:graphic>
              <a:graphicData uri="http://schemas.microsoft.com/office/drawing/2010/slicer">
                <sle:slicer xmlns:sle="http://schemas.microsoft.com/office/drawing/2010/slicer" name="Months2 2"/>
              </a:graphicData>
            </a:graphic>
          </xdr:graphicFrame>
        </mc:Choice>
        <mc:Fallback xmlns="">
          <xdr:sp macro="" textlink="">
            <xdr:nvSpPr>
              <xdr:cNvPr id="0" name=""/>
              <xdr:cNvSpPr>
                <a:spLocks noTextEdit="1"/>
              </xdr:cNvSpPr>
            </xdr:nvSpPr>
            <xdr:spPr>
              <a:xfrm>
                <a:off x="8130" y="3454180"/>
                <a:ext cx="1375656" cy="252056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nvGrpSpPr>
          <xdr:cNvPr id="61" name="Group 60">
            <a:extLst>
              <a:ext uri="{FF2B5EF4-FFF2-40B4-BE49-F238E27FC236}">
                <a16:creationId xmlns:a16="http://schemas.microsoft.com/office/drawing/2014/main" id="{B31129DD-442F-4599-BBEC-8B8B04952D9F}"/>
              </a:ext>
            </a:extLst>
          </xdr:cNvPr>
          <xdr:cNvGrpSpPr/>
        </xdr:nvGrpSpPr>
        <xdr:grpSpPr>
          <a:xfrm>
            <a:off x="0" y="0"/>
            <a:ext cx="13545436" cy="5111151"/>
            <a:chOff x="0" y="0"/>
            <a:chExt cx="13549608" cy="5096623"/>
          </a:xfrm>
        </xdr:grpSpPr>
        <mc:AlternateContent xmlns:mc="http://schemas.openxmlformats.org/markup-compatibility/2006" xmlns:a14="http://schemas.microsoft.com/office/drawing/2010/main">
          <mc:Choice Requires="a14">
            <xdr:graphicFrame macro="">
              <xdr:nvGraphicFramePr>
                <xdr:cNvPr id="2" name="Đơn vị / Chi nhánh 1">
                  <a:extLst>
                    <a:ext uri="{FF2B5EF4-FFF2-40B4-BE49-F238E27FC236}">
                      <a16:creationId xmlns:a16="http://schemas.microsoft.com/office/drawing/2014/main" id="{5FAC0D8D-EFB5-42CC-9763-FE26CB5B9F59}"/>
                    </a:ext>
                  </a:extLst>
                </xdr:cNvPr>
                <xdr:cNvGraphicFramePr/>
              </xdr:nvGraphicFramePr>
              <xdr:xfrm>
                <a:off x="0" y="786920"/>
                <a:ext cx="1289586" cy="2179977"/>
              </xdr:xfrm>
              <a:graphic>
                <a:graphicData uri="http://schemas.microsoft.com/office/drawing/2010/slicer">
                  <sle:slicer xmlns:sle="http://schemas.microsoft.com/office/drawing/2010/slicer" name="Đơn vị / Chi nhánh 1"/>
                </a:graphicData>
              </a:graphic>
            </xdr:graphicFrame>
          </mc:Choice>
          <mc:Fallback xmlns="">
            <xdr:sp macro="" textlink="">
              <xdr:nvSpPr>
                <xdr:cNvPr id="0" name=""/>
                <xdr:cNvSpPr>
                  <a:spLocks noTextEdit="1"/>
                </xdr:cNvSpPr>
              </xdr:nvSpPr>
              <xdr:spPr>
                <a:xfrm>
                  <a:off x="0" y="923439"/>
                  <a:ext cx="1376681" cy="25581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sp macro="" textlink="">
          <xdr:nvSpPr>
            <xdr:cNvPr id="3" name="Freeform 11">
              <a:extLst>
                <a:ext uri="{FF2B5EF4-FFF2-40B4-BE49-F238E27FC236}">
                  <a16:creationId xmlns:a16="http://schemas.microsoft.com/office/drawing/2014/main" id="{EB24A3DD-9BE1-4860-92F5-A4D577632D60}"/>
                </a:ext>
              </a:extLst>
            </xdr:cNvPr>
            <xdr:cNvSpPr>
              <a:spLocks/>
            </xdr:cNvSpPr>
          </xdr:nvSpPr>
          <xdr:spPr bwMode="auto">
            <a:xfrm>
              <a:off x="3978671" y="252836"/>
              <a:ext cx="431800" cy="314096"/>
            </a:xfrm>
            <a:custGeom>
              <a:avLst/>
              <a:gdLst>
                <a:gd name="T0" fmla="*/ 109 w 115"/>
                <a:gd name="T1" fmla="*/ 43 h 117"/>
                <a:gd name="T2" fmla="*/ 52 w 115"/>
                <a:gd name="T3" fmla="*/ 99 h 117"/>
                <a:gd name="T4" fmla="*/ 18 w 115"/>
                <a:gd name="T5" fmla="*/ 99 h 117"/>
                <a:gd name="T6" fmla="*/ 18 w 115"/>
                <a:gd name="T7" fmla="*/ 65 h 117"/>
                <a:gd name="T8" fmla="*/ 69 w 115"/>
                <a:gd name="T9" fmla="*/ 15 h 117"/>
                <a:gd name="T10" fmla="*/ 92 w 115"/>
                <a:gd name="T11" fmla="*/ 15 h 117"/>
                <a:gd name="T12" fmla="*/ 92 w 115"/>
                <a:gd name="T13" fmla="*/ 37 h 117"/>
                <a:gd name="T14" fmla="*/ 41 w 115"/>
                <a:gd name="T15" fmla="*/ 88 h 117"/>
                <a:gd name="T16" fmla="*/ 30 w 115"/>
                <a:gd name="T17" fmla="*/ 88 h 117"/>
                <a:gd name="T18" fmla="*/ 30 w 115"/>
                <a:gd name="T19" fmla="*/ 77 h 117"/>
                <a:gd name="T20" fmla="*/ 75 w 115"/>
                <a:gd name="T21" fmla="*/ 31 h 117"/>
                <a:gd name="T22" fmla="*/ 69 w 115"/>
                <a:gd name="T23" fmla="*/ 26 h 117"/>
                <a:gd name="T24" fmla="*/ 24 w 115"/>
                <a:gd name="T25" fmla="*/ 71 h 117"/>
                <a:gd name="T26" fmla="*/ 24 w 115"/>
                <a:gd name="T27" fmla="*/ 93 h 117"/>
                <a:gd name="T28" fmla="*/ 47 w 115"/>
                <a:gd name="T29" fmla="*/ 93 h 117"/>
                <a:gd name="T30" fmla="*/ 98 w 115"/>
                <a:gd name="T31" fmla="*/ 43 h 117"/>
                <a:gd name="T32" fmla="*/ 98 w 115"/>
                <a:gd name="T33" fmla="*/ 9 h 117"/>
                <a:gd name="T34" fmla="*/ 64 w 115"/>
                <a:gd name="T35" fmla="*/ 9 h 117"/>
                <a:gd name="T36" fmla="*/ 10 w 115"/>
                <a:gd name="T37" fmla="*/ 62 h 117"/>
                <a:gd name="T38" fmla="*/ 10 w 115"/>
                <a:gd name="T39" fmla="*/ 63 h 117"/>
                <a:gd name="T40" fmla="*/ 12 w 115"/>
                <a:gd name="T41" fmla="*/ 105 h 117"/>
                <a:gd name="T42" fmla="*/ 55 w 115"/>
                <a:gd name="T43" fmla="*/ 107 h 117"/>
                <a:gd name="T44" fmla="*/ 55 w 115"/>
                <a:gd name="T45" fmla="*/ 107 h 117"/>
                <a:gd name="T46" fmla="*/ 115 w 115"/>
                <a:gd name="T47" fmla="*/ 48 h 117"/>
                <a:gd name="T48" fmla="*/ 109 w 115"/>
                <a:gd name="T49" fmla="*/ 43 h 117"/>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Lst>
              <a:rect l="0" t="0" r="r" b="b"/>
              <a:pathLst>
                <a:path w="115" h="117">
                  <a:moveTo>
                    <a:pt x="109" y="43"/>
                  </a:moveTo>
                  <a:cubicBezTo>
                    <a:pt x="52" y="99"/>
                    <a:pt x="52" y="99"/>
                    <a:pt x="52" y="99"/>
                  </a:cubicBezTo>
                  <a:cubicBezTo>
                    <a:pt x="43" y="108"/>
                    <a:pt x="28" y="108"/>
                    <a:pt x="18" y="99"/>
                  </a:cubicBezTo>
                  <a:cubicBezTo>
                    <a:pt x="9" y="90"/>
                    <a:pt x="9" y="75"/>
                    <a:pt x="18" y="65"/>
                  </a:cubicBezTo>
                  <a:cubicBezTo>
                    <a:pt x="69" y="15"/>
                    <a:pt x="69" y="15"/>
                    <a:pt x="69" y="15"/>
                  </a:cubicBezTo>
                  <a:cubicBezTo>
                    <a:pt x="76" y="8"/>
                    <a:pt x="86" y="8"/>
                    <a:pt x="92" y="15"/>
                  </a:cubicBezTo>
                  <a:cubicBezTo>
                    <a:pt x="98" y="21"/>
                    <a:pt x="98" y="31"/>
                    <a:pt x="92" y="37"/>
                  </a:cubicBezTo>
                  <a:cubicBezTo>
                    <a:pt x="41" y="88"/>
                    <a:pt x="41" y="88"/>
                    <a:pt x="41" y="88"/>
                  </a:cubicBezTo>
                  <a:cubicBezTo>
                    <a:pt x="38" y="91"/>
                    <a:pt x="33" y="91"/>
                    <a:pt x="30" y="88"/>
                  </a:cubicBezTo>
                  <a:cubicBezTo>
                    <a:pt x="26" y="85"/>
                    <a:pt x="26" y="80"/>
                    <a:pt x="30" y="77"/>
                  </a:cubicBezTo>
                  <a:cubicBezTo>
                    <a:pt x="75" y="31"/>
                    <a:pt x="75" y="31"/>
                    <a:pt x="75" y="31"/>
                  </a:cubicBezTo>
                  <a:cubicBezTo>
                    <a:pt x="69" y="26"/>
                    <a:pt x="69" y="26"/>
                    <a:pt x="69" y="26"/>
                  </a:cubicBezTo>
                  <a:cubicBezTo>
                    <a:pt x="24" y="71"/>
                    <a:pt x="24" y="71"/>
                    <a:pt x="24" y="71"/>
                  </a:cubicBezTo>
                  <a:cubicBezTo>
                    <a:pt x="18" y="77"/>
                    <a:pt x="18" y="87"/>
                    <a:pt x="24" y="93"/>
                  </a:cubicBezTo>
                  <a:cubicBezTo>
                    <a:pt x="30" y="100"/>
                    <a:pt x="40" y="100"/>
                    <a:pt x="47" y="93"/>
                  </a:cubicBezTo>
                  <a:cubicBezTo>
                    <a:pt x="98" y="43"/>
                    <a:pt x="98" y="43"/>
                    <a:pt x="98" y="43"/>
                  </a:cubicBezTo>
                  <a:cubicBezTo>
                    <a:pt x="107" y="33"/>
                    <a:pt x="107" y="18"/>
                    <a:pt x="98" y="9"/>
                  </a:cubicBezTo>
                  <a:cubicBezTo>
                    <a:pt x="88" y="0"/>
                    <a:pt x="73" y="0"/>
                    <a:pt x="64" y="9"/>
                  </a:cubicBezTo>
                  <a:cubicBezTo>
                    <a:pt x="10" y="62"/>
                    <a:pt x="10" y="62"/>
                    <a:pt x="10" y="62"/>
                  </a:cubicBezTo>
                  <a:cubicBezTo>
                    <a:pt x="10" y="63"/>
                    <a:pt x="10" y="63"/>
                    <a:pt x="10" y="63"/>
                  </a:cubicBezTo>
                  <a:cubicBezTo>
                    <a:pt x="0" y="75"/>
                    <a:pt x="1" y="93"/>
                    <a:pt x="12" y="105"/>
                  </a:cubicBezTo>
                  <a:cubicBezTo>
                    <a:pt x="24" y="116"/>
                    <a:pt x="42" y="117"/>
                    <a:pt x="55" y="107"/>
                  </a:cubicBezTo>
                  <a:cubicBezTo>
                    <a:pt x="55" y="107"/>
                    <a:pt x="55" y="107"/>
                    <a:pt x="55" y="107"/>
                  </a:cubicBezTo>
                  <a:cubicBezTo>
                    <a:pt x="115" y="48"/>
                    <a:pt x="115" y="48"/>
                    <a:pt x="115" y="48"/>
                  </a:cubicBezTo>
                  <a:lnTo>
                    <a:pt x="109" y="43"/>
                  </a:lnTo>
                  <a:close/>
                </a:path>
              </a:pathLst>
            </a:custGeom>
            <a:solidFill>
              <a:schemeClr val="bg1">
                <a:lumMod val="65000"/>
              </a:schemeClr>
            </a:solidFill>
            <a:ln>
              <a:noFill/>
            </a:ln>
          </xdr:spPr>
          <xdr:txBody>
            <a:bodyPr vert="horz" wrap="square" lIns="91440" tIns="45720" rIns="91440" bIns="45720" numCol="1" anchor="t" anchorCtr="0" compatLnSpc="1">
              <a:prstTxWarp prst="textNoShape">
                <a:avLst/>
              </a:prstTxWarp>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en-US"/>
            </a:p>
          </xdr:txBody>
        </xdr:sp>
        <xdr:sp macro="" textlink="">
          <xdr:nvSpPr>
            <xdr:cNvPr id="4" name="Freeform 39">
              <a:extLst>
                <a:ext uri="{FF2B5EF4-FFF2-40B4-BE49-F238E27FC236}">
                  <a16:creationId xmlns:a16="http://schemas.microsoft.com/office/drawing/2014/main" id="{1AEF5CA3-1515-4AB7-B75C-6FA71BB28210}"/>
                </a:ext>
              </a:extLst>
            </xdr:cNvPr>
            <xdr:cNvSpPr>
              <a:spLocks noEditPoints="1"/>
            </xdr:cNvSpPr>
          </xdr:nvSpPr>
          <xdr:spPr bwMode="auto">
            <a:xfrm>
              <a:off x="4827979" y="92098"/>
              <a:ext cx="400049" cy="281645"/>
            </a:xfrm>
            <a:custGeom>
              <a:avLst/>
              <a:gdLst>
                <a:gd name="T0" fmla="*/ 120 w 128"/>
                <a:gd name="T1" fmla="*/ 48 h 128"/>
                <a:gd name="T2" fmla="*/ 120 w 128"/>
                <a:gd name="T3" fmla="*/ 112 h 128"/>
                <a:gd name="T4" fmla="*/ 111 w 128"/>
                <a:gd name="T5" fmla="*/ 120 h 128"/>
                <a:gd name="T6" fmla="*/ 16 w 128"/>
                <a:gd name="T7" fmla="*/ 120 h 128"/>
                <a:gd name="T8" fmla="*/ 8 w 128"/>
                <a:gd name="T9" fmla="*/ 112 h 128"/>
                <a:gd name="T10" fmla="*/ 8 w 128"/>
                <a:gd name="T11" fmla="*/ 17 h 128"/>
                <a:gd name="T12" fmla="*/ 16 w 128"/>
                <a:gd name="T13" fmla="*/ 8 h 128"/>
                <a:gd name="T14" fmla="*/ 80 w 128"/>
                <a:gd name="T15" fmla="*/ 8 h 128"/>
                <a:gd name="T16" fmla="*/ 80 w 128"/>
                <a:gd name="T17" fmla="*/ 0 h 128"/>
                <a:gd name="T18" fmla="*/ 16 w 128"/>
                <a:gd name="T19" fmla="*/ 0 h 128"/>
                <a:gd name="T20" fmla="*/ 0 w 128"/>
                <a:gd name="T21" fmla="*/ 17 h 128"/>
                <a:gd name="T22" fmla="*/ 0 w 128"/>
                <a:gd name="T23" fmla="*/ 112 h 128"/>
                <a:gd name="T24" fmla="*/ 16 w 128"/>
                <a:gd name="T25" fmla="*/ 128 h 128"/>
                <a:gd name="T26" fmla="*/ 111 w 128"/>
                <a:gd name="T27" fmla="*/ 128 h 128"/>
                <a:gd name="T28" fmla="*/ 128 w 128"/>
                <a:gd name="T29" fmla="*/ 112 h 128"/>
                <a:gd name="T30" fmla="*/ 128 w 128"/>
                <a:gd name="T31" fmla="*/ 48 h 128"/>
                <a:gd name="T32" fmla="*/ 120 w 128"/>
                <a:gd name="T33" fmla="*/ 48 h 128"/>
                <a:gd name="T34" fmla="*/ 32 w 128"/>
                <a:gd name="T35" fmla="*/ 72 h 128"/>
                <a:gd name="T36" fmla="*/ 15 w 128"/>
                <a:gd name="T37" fmla="*/ 107 h 128"/>
                <a:gd name="T38" fmla="*/ 21 w 128"/>
                <a:gd name="T39" fmla="*/ 113 h 128"/>
                <a:gd name="T40" fmla="*/ 56 w 128"/>
                <a:gd name="T41" fmla="*/ 95 h 128"/>
                <a:gd name="T42" fmla="*/ 60 w 128"/>
                <a:gd name="T43" fmla="*/ 93 h 128"/>
                <a:gd name="T44" fmla="*/ 122 w 128"/>
                <a:gd name="T45" fmla="*/ 32 h 128"/>
                <a:gd name="T46" fmla="*/ 122 w 128"/>
                <a:gd name="T47" fmla="*/ 20 h 128"/>
                <a:gd name="T48" fmla="*/ 108 w 128"/>
                <a:gd name="T49" fmla="*/ 6 h 128"/>
                <a:gd name="T50" fmla="*/ 96 w 128"/>
                <a:gd name="T51" fmla="*/ 6 h 128"/>
                <a:gd name="T52" fmla="*/ 34 w 128"/>
                <a:gd name="T53" fmla="*/ 68 h 128"/>
                <a:gd name="T54" fmla="*/ 32 w 128"/>
                <a:gd name="T55" fmla="*/ 72 h 128"/>
                <a:gd name="T56" fmla="*/ 99 w 128"/>
                <a:gd name="T57" fmla="*/ 15 h 128"/>
                <a:gd name="T58" fmla="*/ 105 w 128"/>
                <a:gd name="T59" fmla="*/ 15 h 128"/>
                <a:gd name="T60" fmla="*/ 113 w 128"/>
                <a:gd name="T61" fmla="*/ 23 h 128"/>
                <a:gd name="T62" fmla="*/ 113 w 128"/>
                <a:gd name="T63" fmla="*/ 29 h 128"/>
                <a:gd name="T64" fmla="*/ 105 w 128"/>
                <a:gd name="T65" fmla="*/ 37 h 128"/>
                <a:gd name="T66" fmla="*/ 91 w 128"/>
                <a:gd name="T67" fmla="*/ 23 h 128"/>
                <a:gd name="T68" fmla="*/ 99 w 128"/>
                <a:gd name="T69" fmla="*/ 15 h 128"/>
                <a:gd name="T70" fmla="*/ 85 w 128"/>
                <a:gd name="T71" fmla="*/ 29 h 128"/>
                <a:gd name="T72" fmla="*/ 99 w 128"/>
                <a:gd name="T73" fmla="*/ 43 h 128"/>
                <a:gd name="T74" fmla="*/ 54 w 128"/>
                <a:gd name="T75" fmla="*/ 88 h 128"/>
                <a:gd name="T76" fmla="*/ 40 w 128"/>
                <a:gd name="T77" fmla="*/ 74 h 128"/>
                <a:gd name="T78" fmla="*/ 85 w 128"/>
                <a:gd name="T79" fmla="*/ 29 h 128"/>
                <a:gd name="T80" fmla="*/ 47 w 128"/>
                <a:gd name="T81" fmla="*/ 92 h 128"/>
                <a:gd name="T82" fmla="*/ 26 w 128"/>
                <a:gd name="T83" fmla="*/ 105 h 128"/>
                <a:gd name="T84" fmla="*/ 23 w 128"/>
                <a:gd name="T85" fmla="*/ 102 h 128"/>
                <a:gd name="T86" fmla="*/ 36 w 128"/>
                <a:gd name="T87" fmla="*/ 81 h 128"/>
                <a:gd name="T88" fmla="*/ 47 w 128"/>
                <a:gd name="T89" fmla="*/ 92 h 128"/>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Lst>
              <a:rect l="0" t="0" r="r" b="b"/>
              <a:pathLst>
                <a:path w="128" h="128">
                  <a:moveTo>
                    <a:pt x="120" y="48"/>
                  </a:moveTo>
                  <a:cubicBezTo>
                    <a:pt x="120" y="112"/>
                    <a:pt x="120" y="112"/>
                    <a:pt x="120" y="112"/>
                  </a:cubicBezTo>
                  <a:cubicBezTo>
                    <a:pt x="120" y="116"/>
                    <a:pt x="116" y="120"/>
                    <a:pt x="111" y="120"/>
                  </a:cubicBezTo>
                  <a:cubicBezTo>
                    <a:pt x="16" y="120"/>
                    <a:pt x="16" y="120"/>
                    <a:pt x="16" y="120"/>
                  </a:cubicBezTo>
                  <a:cubicBezTo>
                    <a:pt x="12" y="120"/>
                    <a:pt x="8" y="116"/>
                    <a:pt x="8" y="112"/>
                  </a:cubicBezTo>
                  <a:cubicBezTo>
                    <a:pt x="8" y="17"/>
                    <a:pt x="8" y="17"/>
                    <a:pt x="8" y="17"/>
                  </a:cubicBezTo>
                  <a:cubicBezTo>
                    <a:pt x="8" y="12"/>
                    <a:pt x="12" y="8"/>
                    <a:pt x="16" y="8"/>
                  </a:cubicBezTo>
                  <a:cubicBezTo>
                    <a:pt x="80" y="8"/>
                    <a:pt x="80" y="8"/>
                    <a:pt x="80" y="8"/>
                  </a:cubicBezTo>
                  <a:cubicBezTo>
                    <a:pt x="80" y="0"/>
                    <a:pt x="80" y="0"/>
                    <a:pt x="80" y="0"/>
                  </a:cubicBezTo>
                  <a:cubicBezTo>
                    <a:pt x="16" y="0"/>
                    <a:pt x="16" y="0"/>
                    <a:pt x="16" y="0"/>
                  </a:cubicBezTo>
                  <a:cubicBezTo>
                    <a:pt x="7" y="0"/>
                    <a:pt x="0" y="8"/>
                    <a:pt x="0" y="17"/>
                  </a:cubicBezTo>
                  <a:cubicBezTo>
                    <a:pt x="0" y="112"/>
                    <a:pt x="0" y="112"/>
                    <a:pt x="0" y="112"/>
                  </a:cubicBezTo>
                  <a:cubicBezTo>
                    <a:pt x="0" y="121"/>
                    <a:pt x="7" y="128"/>
                    <a:pt x="16" y="128"/>
                  </a:cubicBezTo>
                  <a:cubicBezTo>
                    <a:pt x="111" y="128"/>
                    <a:pt x="111" y="128"/>
                    <a:pt x="111" y="128"/>
                  </a:cubicBezTo>
                  <a:cubicBezTo>
                    <a:pt x="120" y="128"/>
                    <a:pt x="128" y="121"/>
                    <a:pt x="128" y="112"/>
                  </a:cubicBezTo>
                  <a:cubicBezTo>
                    <a:pt x="128" y="48"/>
                    <a:pt x="128" y="48"/>
                    <a:pt x="128" y="48"/>
                  </a:cubicBezTo>
                  <a:lnTo>
                    <a:pt x="120" y="48"/>
                  </a:lnTo>
                  <a:close/>
                  <a:moveTo>
                    <a:pt x="32" y="72"/>
                  </a:moveTo>
                  <a:cubicBezTo>
                    <a:pt x="15" y="107"/>
                    <a:pt x="15" y="107"/>
                    <a:pt x="15" y="107"/>
                  </a:cubicBezTo>
                  <a:cubicBezTo>
                    <a:pt x="14" y="111"/>
                    <a:pt x="17" y="115"/>
                    <a:pt x="21" y="113"/>
                  </a:cubicBezTo>
                  <a:cubicBezTo>
                    <a:pt x="56" y="95"/>
                    <a:pt x="56" y="95"/>
                    <a:pt x="56" y="95"/>
                  </a:cubicBezTo>
                  <a:cubicBezTo>
                    <a:pt x="57" y="95"/>
                    <a:pt x="59" y="95"/>
                    <a:pt x="60" y="93"/>
                  </a:cubicBezTo>
                  <a:cubicBezTo>
                    <a:pt x="122" y="32"/>
                    <a:pt x="122" y="32"/>
                    <a:pt x="122" y="32"/>
                  </a:cubicBezTo>
                  <a:cubicBezTo>
                    <a:pt x="125" y="28"/>
                    <a:pt x="125" y="23"/>
                    <a:pt x="122" y="20"/>
                  </a:cubicBezTo>
                  <a:cubicBezTo>
                    <a:pt x="108" y="6"/>
                    <a:pt x="108" y="6"/>
                    <a:pt x="108" y="6"/>
                  </a:cubicBezTo>
                  <a:cubicBezTo>
                    <a:pt x="104" y="3"/>
                    <a:pt x="99" y="3"/>
                    <a:pt x="96" y="6"/>
                  </a:cubicBezTo>
                  <a:cubicBezTo>
                    <a:pt x="34" y="68"/>
                    <a:pt x="34" y="68"/>
                    <a:pt x="34" y="68"/>
                  </a:cubicBezTo>
                  <a:cubicBezTo>
                    <a:pt x="33" y="69"/>
                    <a:pt x="33" y="71"/>
                    <a:pt x="32" y="72"/>
                  </a:cubicBezTo>
                  <a:close/>
                  <a:moveTo>
                    <a:pt x="99" y="15"/>
                  </a:moveTo>
                  <a:cubicBezTo>
                    <a:pt x="101" y="13"/>
                    <a:pt x="103" y="13"/>
                    <a:pt x="105" y="15"/>
                  </a:cubicBezTo>
                  <a:cubicBezTo>
                    <a:pt x="113" y="23"/>
                    <a:pt x="113" y="23"/>
                    <a:pt x="113" y="23"/>
                  </a:cubicBezTo>
                  <a:cubicBezTo>
                    <a:pt x="115" y="25"/>
                    <a:pt x="115" y="27"/>
                    <a:pt x="113" y="29"/>
                  </a:cubicBezTo>
                  <a:cubicBezTo>
                    <a:pt x="105" y="37"/>
                    <a:pt x="105" y="37"/>
                    <a:pt x="105" y="37"/>
                  </a:cubicBezTo>
                  <a:cubicBezTo>
                    <a:pt x="91" y="23"/>
                    <a:pt x="91" y="23"/>
                    <a:pt x="91" y="23"/>
                  </a:cubicBezTo>
                  <a:lnTo>
                    <a:pt x="99" y="15"/>
                  </a:lnTo>
                  <a:close/>
                  <a:moveTo>
                    <a:pt x="85" y="29"/>
                  </a:moveTo>
                  <a:cubicBezTo>
                    <a:pt x="99" y="43"/>
                    <a:pt x="99" y="43"/>
                    <a:pt x="99" y="43"/>
                  </a:cubicBezTo>
                  <a:cubicBezTo>
                    <a:pt x="54" y="88"/>
                    <a:pt x="54" y="88"/>
                    <a:pt x="54" y="88"/>
                  </a:cubicBezTo>
                  <a:cubicBezTo>
                    <a:pt x="49" y="83"/>
                    <a:pt x="42" y="75"/>
                    <a:pt x="40" y="74"/>
                  </a:cubicBezTo>
                  <a:lnTo>
                    <a:pt x="85" y="29"/>
                  </a:lnTo>
                  <a:close/>
                  <a:moveTo>
                    <a:pt x="47" y="92"/>
                  </a:moveTo>
                  <a:cubicBezTo>
                    <a:pt x="26" y="105"/>
                    <a:pt x="26" y="105"/>
                    <a:pt x="26" y="105"/>
                  </a:cubicBezTo>
                  <a:cubicBezTo>
                    <a:pt x="24" y="106"/>
                    <a:pt x="22" y="104"/>
                    <a:pt x="23" y="102"/>
                  </a:cubicBezTo>
                  <a:cubicBezTo>
                    <a:pt x="36" y="81"/>
                    <a:pt x="36" y="81"/>
                    <a:pt x="36" y="81"/>
                  </a:cubicBezTo>
                  <a:lnTo>
                    <a:pt x="47" y="92"/>
                  </a:lnTo>
                  <a:close/>
                </a:path>
              </a:pathLst>
            </a:custGeom>
            <a:solidFill>
              <a:schemeClr val="bg1">
                <a:lumMod val="65000"/>
              </a:schemeClr>
            </a:solidFill>
            <a:ln>
              <a:noFill/>
            </a:ln>
          </xdr:spPr>
          <xdr:txBody>
            <a:bodyPr vert="horz" wrap="square" lIns="91440" tIns="45720" rIns="91440" bIns="45720" numCol="1" anchor="t" anchorCtr="0" compatLnSpc="1">
              <a:prstTxWarp prst="textNoShape">
                <a:avLst/>
              </a:prstTxWarp>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en-US"/>
            </a:p>
          </xdr:txBody>
        </xdr:sp>
        <xdr:grpSp>
          <xdr:nvGrpSpPr>
            <xdr:cNvPr id="5" name="Group 4">
              <a:extLst>
                <a:ext uri="{FF2B5EF4-FFF2-40B4-BE49-F238E27FC236}">
                  <a16:creationId xmlns:a16="http://schemas.microsoft.com/office/drawing/2014/main" id="{BED6500E-03DD-406A-8356-715C7ABD5735}"/>
                </a:ext>
              </a:extLst>
            </xdr:cNvPr>
            <xdr:cNvGrpSpPr/>
          </xdr:nvGrpSpPr>
          <xdr:grpSpPr>
            <a:xfrm>
              <a:off x="6413202" y="0"/>
              <a:ext cx="493712" cy="368655"/>
              <a:chOff x="7434739" y="5547265"/>
              <a:chExt cx="457200" cy="654367"/>
            </a:xfrm>
          </xdr:grpSpPr>
          <xdr:sp macro="" textlink="">
            <xdr:nvSpPr>
              <xdr:cNvPr id="6" name="Freeform: Shape 5">
                <a:extLst>
                  <a:ext uri="{FF2B5EF4-FFF2-40B4-BE49-F238E27FC236}">
                    <a16:creationId xmlns:a16="http://schemas.microsoft.com/office/drawing/2014/main" id="{613E4728-B57D-485F-9B44-609A06561A9B}"/>
                  </a:ext>
                </a:extLst>
              </xdr:cNvPr>
              <xdr:cNvSpPr/>
            </xdr:nvSpPr>
            <xdr:spPr>
              <a:xfrm>
                <a:off x="7434739" y="5681567"/>
                <a:ext cx="457200" cy="520065"/>
              </a:xfrm>
              <a:custGeom>
                <a:avLst/>
                <a:gdLst>
                  <a:gd name="connsiteX0" fmla="*/ 454628 w 457200"/>
                  <a:gd name="connsiteY0" fmla="*/ 519208 h 520065"/>
                  <a:gd name="connsiteX1" fmla="*/ 4286 w 457200"/>
                  <a:gd name="connsiteY1" fmla="*/ 519208 h 520065"/>
                  <a:gd name="connsiteX2" fmla="*/ 4286 w 457200"/>
                  <a:gd name="connsiteY2" fmla="*/ 4286 h 520065"/>
                  <a:gd name="connsiteX3" fmla="*/ 454628 w 457200"/>
                  <a:gd name="connsiteY3" fmla="*/ 4286 h 520065"/>
                  <a:gd name="connsiteX4" fmla="*/ 454628 w 457200"/>
                  <a:gd name="connsiteY4" fmla="*/ 519208 h 520065"/>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457200" h="520065">
                    <a:moveTo>
                      <a:pt x="454628" y="519208"/>
                    </a:moveTo>
                    <a:lnTo>
                      <a:pt x="4286" y="519208"/>
                    </a:lnTo>
                    <a:lnTo>
                      <a:pt x="4286" y="4286"/>
                    </a:lnTo>
                    <a:lnTo>
                      <a:pt x="454628" y="4286"/>
                    </a:lnTo>
                    <a:lnTo>
                      <a:pt x="454628" y="519208"/>
                    </a:lnTo>
                    <a:close/>
                  </a:path>
                </a:pathLst>
              </a:custGeom>
              <a:solidFill>
                <a:srgbClr val="808285"/>
              </a:solidFill>
              <a:ln w="9525" cap="flat">
                <a:noFill/>
                <a:prstDash val="solid"/>
                <a:miter/>
              </a:ln>
            </xdr:spPr>
            <xdr:txBody>
              <a:bodyPr wrap="square" rtlCol="0" anchor="ct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en-US"/>
              </a:p>
            </xdr:txBody>
          </xdr:sp>
          <xdr:sp macro="" textlink="">
            <xdr:nvSpPr>
              <xdr:cNvPr id="7" name="Freeform: Shape 6">
                <a:extLst>
                  <a:ext uri="{FF2B5EF4-FFF2-40B4-BE49-F238E27FC236}">
                    <a16:creationId xmlns:a16="http://schemas.microsoft.com/office/drawing/2014/main" id="{E6FE4108-D2BB-489C-B17A-C9C558B320A0}"/>
                  </a:ext>
                </a:extLst>
              </xdr:cNvPr>
              <xdr:cNvSpPr/>
            </xdr:nvSpPr>
            <xdr:spPr>
              <a:xfrm>
                <a:off x="7470172" y="5722715"/>
                <a:ext cx="382905" cy="440055"/>
              </a:xfrm>
              <a:custGeom>
                <a:avLst/>
                <a:gdLst>
                  <a:gd name="connsiteX0" fmla="*/ 383191 w 382905"/>
                  <a:gd name="connsiteY0" fmla="*/ 437484 h 440055"/>
                  <a:gd name="connsiteX1" fmla="*/ 4286 w 382905"/>
                  <a:gd name="connsiteY1" fmla="*/ 437484 h 440055"/>
                  <a:gd name="connsiteX2" fmla="*/ 4286 w 382905"/>
                  <a:gd name="connsiteY2" fmla="*/ 4286 h 440055"/>
                  <a:gd name="connsiteX3" fmla="*/ 383191 w 382905"/>
                  <a:gd name="connsiteY3" fmla="*/ 4286 h 440055"/>
                  <a:gd name="connsiteX4" fmla="*/ 383191 w 382905"/>
                  <a:gd name="connsiteY4" fmla="*/ 437484 h 440055"/>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382905" h="440055">
                    <a:moveTo>
                      <a:pt x="383191" y="437484"/>
                    </a:moveTo>
                    <a:lnTo>
                      <a:pt x="4286" y="437484"/>
                    </a:lnTo>
                    <a:lnTo>
                      <a:pt x="4286" y="4286"/>
                    </a:lnTo>
                    <a:lnTo>
                      <a:pt x="383191" y="4286"/>
                    </a:lnTo>
                    <a:lnTo>
                      <a:pt x="383191" y="437484"/>
                    </a:lnTo>
                    <a:close/>
                  </a:path>
                </a:pathLst>
              </a:custGeom>
              <a:solidFill>
                <a:srgbClr val="FFFFFF"/>
              </a:solidFill>
              <a:ln w="9525" cap="flat">
                <a:noFill/>
                <a:prstDash val="solid"/>
                <a:miter/>
              </a:ln>
            </xdr:spPr>
            <xdr:txBody>
              <a:bodyPr wrap="square" rtlCol="0" anchor="ct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en-US"/>
              </a:p>
            </xdr:txBody>
          </xdr:sp>
          <xdr:sp macro="" textlink="">
            <xdr:nvSpPr>
              <xdr:cNvPr id="8" name="Freeform: Shape 7">
                <a:extLst>
                  <a:ext uri="{FF2B5EF4-FFF2-40B4-BE49-F238E27FC236}">
                    <a16:creationId xmlns:a16="http://schemas.microsoft.com/office/drawing/2014/main" id="{A14F0A55-9B11-402D-BF97-151F10392AD5}"/>
                  </a:ext>
                </a:extLst>
              </xdr:cNvPr>
              <xdr:cNvSpPr/>
            </xdr:nvSpPr>
            <xdr:spPr>
              <a:xfrm>
                <a:off x="7565612" y="5650135"/>
                <a:ext cx="194310" cy="108585"/>
              </a:xfrm>
              <a:custGeom>
                <a:avLst/>
                <a:gdLst>
                  <a:gd name="connsiteX0" fmla="*/ 191738 w 194310"/>
                  <a:gd name="connsiteY0" fmla="*/ 96869 h 108585"/>
                  <a:gd name="connsiteX1" fmla="*/ 179736 w 194310"/>
                  <a:gd name="connsiteY1" fmla="*/ 108871 h 108585"/>
                  <a:gd name="connsiteX2" fmla="*/ 16288 w 194310"/>
                  <a:gd name="connsiteY2" fmla="*/ 108871 h 108585"/>
                  <a:gd name="connsiteX3" fmla="*/ 4286 w 194310"/>
                  <a:gd name="connsiteY3" fmla="*/ 96869 h 108585"/>
                  <a:gd name="connsiteX4" fmla="*/ 11144 w 194310"/>
                  <a:gd name="connsiteY4" fmla="*/ 16288 h 108585"/>
                  <a:gd name="connsiteX5" fmla="*/ 23146 w 194310"/>
                  <a:gd name="connsiteY5" fmla="*/ 4286 h 108585"/>
                  <a:gd name="connsiteX6" fmla="*/ 172307 w 194310"/>
                  <a:gd name="connsiteY6" fmla="*/ 4286 h 108585"/>
                  <a:gd name="connsiteX7" fmla="*/ 184309 w 194310"/>
                  <a:gd name="connsiteY7" fmla="*/ 16288 h 108585"/>
                  <a:gd name="connsiteX8" fmla="*/ 191738 w 194310"/>
                  <a:gd name="connsiteY8" fmla="*/ 96869 h 108585"/>
                  <a:gd name="connsiteX9" fmla="*/ 191738 w 194310"/>
                  <a:gd name="connsiteY9" fmla="*/ 96869 h 108585"/>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Lst>
                <a:rect l="l" t="t" r="r" b="b"/>
                <a:pathLst>
                  <a:path w="194310" h="108585">
                    <a:moveTo>
                      <a:pt x="191738" y="96869"/>
                    </a:moveTo>
                    <a:cubicBezTo>
                      <a:pt x="191738" y="103156"/>
                      <a:pt x="186595" y="108871"/>
                      <a:pt x="179736" y="108871"/>
                    </a:cubicBezTo>
                    <a:lnTo>
                      <a:pt x="16288" y="108871"/>
                    </a:lnTo>
                    <a:cubicBezTo>
                      <a:pt x="10001" y="108871"/>
                      <a:pt x="4286" y="103727"/>
                      <a:pt x="4286" y="96869"/>
                    </a:cubicBezTo>
                    <a:lnTo>
                      <a:pt x="11144" y="16288"/>
                    </a:lnTo>
                    <a:cubicBezTo>
                      <a:pt x="11144" y="10001"/>
                      <a:pt x="16288" y="4286"/>
                      <a:pt x="23146" y="4286"/>
                    </a:cubicBezTo>
                    <a:lnTo>
                      <a:pt x="172307" y="4286"/>
                    </a:lnTo>
                    <a:cubicBezTo>
                      <a:pt x="178594" y="4286"/>
                      <a:pt x="184309" y="9430"/>
                      <a:pt x="184309" y="16288"/>
                    </a:cubicBezTo>
                    <a:lnTo>
                      <a:pt x="191738" y="96869"/>
                    </a:lnTo>
                    <a:lnTo>
                      <a:pt x="191738" y="96869"/>
                    </a:lnTo>
                    <a:close/>
                  </a:path>
                </a:pathLst>
              </a:custGeom>
              <a:solidFill>
                <a:srgbClr val="D1D3D4"/>
              </a:solidFill>
              <a:ln w="9525" cap="flat">
                <a:noFill/>
                <a:prstDash val="solid"/>
                <a:miter/>
              </a:ln>
            </xdr:spPr>
            <xdr:txBody>
              <a:bodyPr wrap="square" rtlCol="0" anchor="ct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en-US"/>
              </a:p>
            </xdr:txBody>
          </xdr:sp>
          <xdr:sp macro="" textlink="">
            <xdr:nvSpPr>
              <xdr:cNvPr id="9" name="Freeform: Shape 8">
                <a:extLst>
                  <a:ext uri="{FF2B5EF4-FFF2-40B4-BE49-F238E27FC236}">
                    <a16:creationId xmlns:a16="http://schemas.microsoft.com/office/drawing/2014/main" id="{5B72F08A-95DA-4FD3-884C-B0A2A6B58C7A}"/>
                  </a:ext>
                </a:extLst>
              </xdr:cNvPr>
              <xdr:cNvSpPr/>
            </xdr:nvSpPr>
            <xdr:spPr>
              <a:xfrm>
                <a:off x="7609046" y="5547265"/>
                <a:ext cx="108585" cy="108585"/>
              </a:xfrm>
              <a:custGeom>
                <a:avLst/>
                <a:gdLst>
                  <a:gd name="connsiteX0" fmla="*/ 95155 w 108585"/>
                  <a:gd name="connsiteY0" fmla="*/ 59721 h 108585"/>
                  <a:gd name="connsiteX1" fmla="*/ 97441 w 108585"/>
                  <a:gd name="connsiteY1" fmla="*/ 40291 h 108585"/>
                  <a:gd name="connsiteX2" fmla="*/ 55150 w 108585"/>
                  <a:gd name="connsiteY2" fmla="*/ 4286 h 108585"/>
                  <a:gd name="connsiteX3" fmla="*/ 12859 w 108585"/>
                  <a:gd name="connsiteY3" fmla="*/ 40291 h 108585"/>
                  <a:gd name="connsiteX4" fmla="*/ 15145 w 108585"/>
                  <a:gd name="connsiteY4" fmla="*/ 59721 h 108585"/>
                  <a:gd name="connsiteX5" fmla="*/ 4286 w 108585"/>
                  <a:gd name="connsiteY5" fmla="*/ 107156 h 108585"/>
                  <a:gd name="connsiteX6" fmla="*/ 18574 w 108585"/>
                  <a:gd name="connsiteY6" fmla="*/ 107156 h 108585"/>
                  <a:gd name="connsiteX7" fmla="*/ 30004 w 108585"/>
                  <a:gd name="connsiteY7" fmla="*/ 59721 h 108585"/>
                  <a:gd name="connsiteX8" fmla="*/ 26575 w 108585"/>
                  <a:gd name="connsiteY8" fmla="*/ 40291 h 108585"/>
                  <a:gd name="connsiteX9" fmla="*/ 55150 w 108585"/>
                  <a:gd name="connsiteY9" fmla="*/ 15716 h 108585"/>
                  <a:gd name="connsiteX10" fmla="*/ 83725 w 108585"/>
                  <a:gd name="connsiteY10" fmla="*/ 40291 h 108585"/>
                  <a:gd name="connsiteX11" fmla="*/ 80296 w 108585"/>
                  <a:gd name="connsiteY11" fmla="*/ 59721 h 108585"/>
                  <a:gd name="connsiteX12" fmla="*/ 91726 w 108585"/>
                  <a:gd name="connsiteY12" fmla="*/ 107156 h 108585"/>
                  <a:gd name="connsiteX13" fmla="*/ 106013 w 108585"/>
                  <a:gd name="connsiteY13" fmla="*/ 107156 h 108585"/>
                  <a:gd name="connsiteX14" fmla="*/ 95155 w 108585"/>
                  <a:gd name="connsiteY14" fmla="*/ 59721 h 108585"/>
                  <a:gd name="connsiteX15" fmla="*/ 95155 w 108585"/>
                  <a:gd name="connsiteY15" fmla="*/ 59721 h 108585"/>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Lst>
                <a:rect l="l" t="t" r="r" b="b"/>
                <a:pathLst>
                  <a:path w="108585" h="108585">
                    <a:moveTo>
                      <a:pt x="95155" y="59721"/>
                    </a:moveTo>
                    <a:cubicBezTo>
                      <a:pt x="96298" y="56293"/>
                      <a:pt x="97441" y="44291"/>
                      <a:pt x="97441" y="40291"/>
                    </a:cubicBezTo>
                    <a:cubicBezTo>
                      <a:pt x="97441" y="20288"/>
                      <a:pt x="78581" y="4286"/>
                      <a:pt x="55150" y="4286"/>
                    </a:cubicBezTo>
                    <a:cubicBezTo>
                      <a:pt x="31718" y="4286"/>
                      <a:pt x="12859" y="20288"/>
                      <a:pt x="12859" y="40291"/>
                    </a:cubicBezTo>
                    <a:cubicBezTo>
                      <a:pt x="12859" y="44291"/>
                      <a:pt x="13430" y="56293"/>
                      <a:pt x="15145" y="59721"/>
                    </a:cubicBezTo>
                    <a:lnTo>
                      <a:pt x="4286" y="107156"/>
                    </a:lnTo>
                    <a:lnTo>
                      <a:pt x="18574" y="107156"/>
                    </a:lnTo>
                    <a:lnTo>
                      <a:pt x="30004" y="59721"/>
                    </a:lnTo>
                    <a:cubicBezTo>
                      <a:pt x="27718" y="56293"/>
                      <a:pt x="26575" y="44291"/>
                      <a:pt x="26575" y="40291"/>
                    </a:cubicBezTo>
                    <a:cubicBezTo>
                      <a:pt x="26575" y="26575"/>
                      <a:pt x="39148" y="15716"/>
                      <a:pt x="55150" y="15716"/>
                    </a:cubicBezTo>
                    <a:cubicBezTo>
                      <a:pt x="71152" y="15716"/>
                      <a:pt x="83725" y="26575"/>
                      <a:pt x="83725" y="40291"/>
                    </a:cubicBezTo>
                    <a:cubicBezTo>
                      <a:pt x="83725" y="44291"/>
                      <a:pt x="82582" y="56293"/>
                      <a:pt x="80296" y="59721"/>
                    </a:cubicBezTo>
                    <a:lnTo>
                      <a:pt x="91726" y="107156"/>
                    </a:lnTo>
                    <a:lnTo>
                      <a:pt x="106013" y="107156"/>
                    </a:lnTo>
                    <a:lnTo>
                      <a:pt x="95155" y="59721"/>
                    </a:lnTo>
                    <a:lnTo>
                      <a:pt x="95155" y="59721"/>
                    </a:lnTo>
                    <a:close/>
                  </a:path>
                </a:pathLst>
              </a:custGeom>
              <a:solidFill>
                <a:srgbClr val="808285"/>
              </a:solidFill>
              <a:ln w="9525" cap="flat">
                <a:noFill/>
                <a:prstDash val="solid"/>
                <a:miter/>
              </a:ln>
            </xdr:spPr>
            <xdr:txBody>
              <a:bodyPr wrap="square" rtlCol="0" anchor="ct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en-US"/>
              </a:p>
            </xdr:txBody>
          </xdr:sp>
          <xdr:sp macro="" textlink="">
            <xdr:nvSpPr>
              <xdr:cNvPr id="10" name="Freeform: Shape 9">
                <a:extLst>
                  <a:ext uri="{FF2B5EF4-FFF2-40B4-BE49-F238E27FC236}">
                    <a16:creationId xmlns:a16="http://schemas.microsoft.com/office/drawing/2014/main" id="{9199041F-71DB-43E4-A96C-1E6A899675B5}"/>
                  </a:ext>
                </a:extLst>
              </xdr:cNvPr>
              <xdr:cNvSpPr/>
            </xdr:nvSpPr>
            <xdr:spPr>
              <a:xfrm>
                <a:off x="7571299" y="5886164"/>
                <a:ext cx="182880" cy="91440"/>
              </a:xfrm>
              <a:custGeom>
                <a:avLst/>
                <a:gdLst>
                  <a:gd name="connsiteX0" fmla="*/ 115185 w 182880"/>
                  <a:gd name="connsiteY0" fmla="*/ 47149 h 91440"/>
                  <a:gd name="connsiteX1" fmla="*/ 115185 w 182880"/>
                  <a:gd name="connsiteY1" fmla="*/ 4286 h 91440"/>
                  <a:gd name="connsiteX2" fmla="*/ 70037 w 182880"/>
                  <a:gd name="connsiteY2" fmla="*/ 4286 h 91440"/>
                  <a:gd name="connsiteX3" fmla="*/ 70037 w 182880"/>
                  <a:gd name="connsiteY3" fmla="*/ 47149 h 91440"/>
                  <a:gd name="connsiteX4" fmla="*/ 7743 w 182880"/>
                  <a:gd name="connsiteY4" fmla="*/ 62008 h 91440"/>
                  <a:gd name="connsiteX5" fmla="*/ 4314 w 182880"/>
                  <a:gd name="connsiteY5" fmla="*/ 88869 h 91440"/>
                  <a:gd name="connsiteX6" fmla="*/ 180336 w 182880"/>
                  <a:gd name="connsiteY6" fmla="*/ 88869 h 91440"/>
                  <a:gd name="connsiteX7" fmla="*/ 177479 w 182880"/>
                  <a:gd name="connsiteY7" fmla="*/ 61436 h 91440"/>
                  <a:gd name="connsiteX8" fmla="*/ 115185 w 182880"/>
                  <a:gd name="connsiteY8" fmla="*/ 47149 h 91440"/>
                  <a:gd name="connsiteX9" fmla="*/ 115185 w 182880"/>
                  <a:gd name="connsiteY9" fmla="*/ 47149 h 9144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Lst>
                <a:rect l="l" t="t" r="r" b="b"/>
                <a:pathLst>
                  <a:path w="182880" h="91440">
                    <a:moveTo>
                      <a:pt x="115185" y="47149"/>
                    </a:moveTo>
                    <a:cubicBezTo>
                      <a:pt x="107185" y="39720"/>
                      <a:pt x="115185" y="4286"/>
                      <a:pt x="115185" y="4286"/>
                    </a:cubicBezTo>
                    <a:lnTo>
                      <a:pt x="70037" y="4286"/>
                    </a:lnTo>
                    <a:cubicBezTo>
                      <a:pt x="70037" y="4286"/>
                      <a:pt x="78038" y="39720"/>
                      <a:pt x="70037" y="47149"/>
                    </a:cubicBezTo>
                    <a:cubicBezTo>
                      <a:pt x="63750" y="52864"/>
                      <a:pt x="11744" y="55721"/>
                      <a:pt x="7743" y="62008"/>
                    </a:cubicBezTo>
                    <a:cubicBezTo>
                      <a:pt x="3743" y="67723"/>
                      <a:pt x="4314" y="88869"/>
                      <a:pt x="4314" y="88869"/>
                    </a:cubicBezTo>
                    <a:lnTo>
                      <a:pt x="180336" y="88869"/>
                    </a:lnTo>
                    <a:cubicBezTo>
                      <a:pt x="180336" y="88869"/>
                      <a:pt x="182051" y="66580"/>
                      <a:pt x="177479" y="61436"/>
                    </a:cubicBezTo>
                    <a:cubicBezTo>
                      <a:pt x="172907" y="55721"/>
                      <a:pt x="121472" y="52864"/>
                      <a:pt x="115185" y="47149"/>
                    </a:cubicBezTo>
                    <a:lnTo>
                      <a:pt x="115185" y="47149"/>
                    </a:lnTo>
                    <a:close/>
                  </a:path>
                </a:pathLst>
              </a:custGeom>
              <a:solidFill>
                <a:srgbClr val="FBBC85"/>
              </a:solidFill>
              <a:ln w="9525" cap="flat">
                <a:noFill/>
                <a:prstDash val="solid"/>
                <a:miter/>
              </a:ln>
            </xdr:spPr>
            <xdr:txBody>
              <a:bodyPr wrap="square" rtlCol="0" anchor="ct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en-US"/>
              </a:p>
            </xdr:txBody>
          </xdr:sp>
          <xdr:sp macro="" textlink="">
            <xdr:nvSpPr>
              <xdr:cNvPr id="11" name="Freeform: Shape 10">
                <a:extLst>
                  <a:ext uri="{FF2B5EF4-FFF2-40B4-BE49-F238E27FC236}">
                    <a16:creationId xmlns:a16="http://schemas.microsoft.com/office/drawing/2014/main" id="{20438F06-7A12-42AC-945A-DBB5F9C656DF}"/>
                  </a:ext>
                </a:extLst>
              </xdr:cNvPr>
              <xdr:cNvSpPr/>
            </xdr:nvSpPr>
            <xdr:spPr>
              <a:xfrm>
                <a:off x="7618762" y="5794724"/>
                <a:ext cx="85725" cy="85725"/>
              </a:xfrm>
              <a:custGeom>
                <a:avLst/>
                <a:gdLst>
                  <a:gd name="connsiteX0" fmla="*/ 86582 w 85725"/>
                  <a:gd name="connsiteY0" fmla="*/ 45434 h 85725"/>
                  <a:gd name="connsiteX1" fmla="*/ 45434 w 85725"/>
                  <a:gd name="connsiteY1" fmla="*/ 86582 h 85725"/>
                  <a:gd name="connsiteX2" fmla="*/ 4286 w 85725"/>
                  <a:gd name="connsiteY2" fmla="*/ 45434 h 85725"/>
                  <a:gd name="connsiteX3" fmla="*/ 45434 w 85725"/>
                  <a:gd name="connsiteY3" fmla="*/ 4286 h 85725"/>
                  <a:gd name="connsiteX4" fmla="*/ 86582 w 85725"/>
                  <a:gd name="connsiteY4" fmla="*/ 45434 h 85725"/>
                  <a:gd name="connsiteX5" fmla="*/ 86582 w 85725"/>
                  <a:gd name="connsiteY5" fmla="*/ 45434 h 85725"/>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Lst>
                <a:rect l="l" t="t" r="r" b="b"/>
                <a:pathLst>
                  <a:path w="85725" h="85725">
                    <a:moveTo>
                      <a:pt x="86582" y="45434"/>
                    </a:moveTo>
                    <a:cubicBezTo>
                      <a:pt x="86582" y="68294"/>
                      <a:pt x="68294" y="86582"/>
                      <a:pt x="45434" y="86582"/>
                    </a:cubicBezTo>
                    <a:cubicBezTo>
                      <a:pt x="22574" y="86582"/>
                      <a:pt x="4286" y="68294"/>
                      <a:pt x="4286" y="45434"/>
                    </a:cubicBezTo>
                    <a:cubicBezTo>
                      <a:pt x="4286" y="22574"/>
                      <a:pt x="22574" y="4286"/>
                      <a:pt x="45434" y="4286"/>
                    </a:cubicBezTo>
                    <a:cubicBezTo>
                      <a:pt x="67723" y="4286"/>
                      <a:pt x="86582" y="22574"/>
                      <a:pt x="86582" y="45434"/>
                    </a:cubicBezTo>
                    <a:lnTo>
                      <a:pt x="86582" y="45434"/>
                    </a:lnTo>
                    <a:close/>
                  </a:path>
                </a:pathLst>
              </a:custGeom>
              <a:solidFill>
                <a:srgbClr val="3B2416"/>
              </a:solidFill>
              <a:ln w="9525" cap="flat">
                <a:noFill/>
                <a:prstDash val="solid"/>
                <a:miter/>
              </a:ln>
            </xdr:spPr>
            <xdr:txBody>
              <a:bodyPr wrap="square" rtlCol="0" anchor="ct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en-US"/>
              </a:p>
            </xdr:txBody>
          </xdr:sp>
          <xdr:sp macro="" textlink="">
            <xdr:nvSpPr>
              <xdr:cNvPr id="12" name="Freeform: Shape 11">
                <a:extLst>
                  <a:ext uri="{FF2B5EF4-FFF2-40B4-BE49-F238E27FC236}">
                    <a16:creationId xmlns:a16="http://schemas.microsoft.com/office/drawing/2014/main" id="{13B5409E-C9D7-4F2A-A8D8-A04D87C1A172}"/>
                  </a:ext>
                </a:extLst>
              </xdr:cNvPr>
              <xdr:cNvSpPr/>
            </xdr:nvSpPr>
            <xdr:spPr>
              <a:xfrm>
                <a:off x="7617047" y="5845016"/>
                <a:ext cx="22860" cy="34290"/>
              </a:xfrm>
              <a:custGeom>
                <a:avLst/>
                <a:gdLst>
                  <a:gd name="connsiteX0" fmla="*/ 19145 w 22860"/>
                  <a:gd name="connsiteY0" fmla="*/ 24289 h 34290"/>
                  <a:gd name="connsiteX1" fmla="*/ 11716 w 22860"/>
                  <a:gd name="connsiteY1" fmla="*/ 31719 h 34290"/>
                  <a:gd name="connsiteX2" fmla="*/ 11716 w 22860"/>
                  <a:gd name="connsiteY2" fmla="*/ 31719 h 34290"/>
                  <a:gd name="connsiteX3" fmla="*/ 4286 w 22860"/>
                  <a:gd name="connsiteY3" fmla="*/ 24289 h 34290"/>
                  <a:gd name="connsiteX4" fmla="*/ 4286 w 22860"/>
                  <a:gd name="connsiteY4" fmla="*/ 11716 h 34290"/>
                  <a:gd name="connsiteX5" fmla="*/ 11716 w 22860"/>
                  <a:gd name="connsiteY5" fmla="*/ 4286 h 34290"/>
                  <a:gd name="connsiteX6" fmla="*/ 11716 w 22860"/>
                  <a:gd name="connsiteY6" fmla="*/ 4286 h 34290"/>
                  <a:gd name="connsiteX7" fmla="*/ 19145 w 22860"/>
                  <a:gd name="connsiteY7" fmla="*/ 11716 h 34290"/>
                  <a:gd name="connsiteX8" fmla="*/ 19145 w 22860"/>
                  <a:gd name="connsiteY8" fmla="*/ 24289 h 34290"/>
                  <a:gd name="connsiteX9" fmla="*/ 19145 w 22860"/>
                  <a:gd name="connsiteY9" fmla="*/ 24289 h 3429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Lst>
                <a:rect l="l" t="t" r="r" b="b"/>
                <a:pathLst>
                  <a:path w="22860" h="34290">
                    <a:moveTo>
                      <a:pt x="19145" y="24289"/>
                    </a:moveTo>
                    <a:cubicBezTo>
                      <a:pt x="19145" y="28289"/>
                      <a:pt x="15716" y="31719"/>
                      <a:pt x="11716" y="31719"/>
                    </a:cubicBezTo>
                    <a:lnTo>
                      <a:pt x="11716" y="31719"/>
                    </a:lnTo>
                    <a:cubicBezTo>
                      <a:pt x="7715" y="31719"/>
                      <a:pt x="4286" y="28289"/>
                      <a:pt x="4286" y="24289"/>
                    </a:cubicBezTo>
                    <a:lnTo>
                      <a:pt x="4286" y="11716"/>
                    </a:lnTo>
                    <a:cubicBezTo>
                      <a:pt x="4286" y="7715"/>
                      <a:pt x="7715" y="4286"/>
                      <a:pt x="11716" y="4286"/>
                    </a:cubicBezTo>
                    <a:lnTo>
                      <a:pt x="11716" y="4286"/>
                    </a:lnTo>
                    <a:cubicBezTo>
                      <a:pt x="15716" y="4286"/>
                      <a:pt x="19145" y="7715"/>
                      <a:pt x="19145" y="11716"/>
                    </a:cubicBezTo>
                    <a:lnTo>
                      <a:pt x="19145" y="24289"/>
                    </a:lnTo>
                    <a:lnTo>
                      <a:pt x="19145" y="24289"/>
                    </a:lnTo>
                    <a:close/>
                  </a:path>
                </a:pathLst>
              </a:custGeom>
              <a:solidFill>
                <a:srgbClr val="FDD09E"/>
              </a:solidFill>
              <a:ln w="9525" cap="flat">
                <a:noFill/>
                <a:prstDash val="solid"/>
                <a:miter/>
              </a:ln>
            </xdr:spPr>
            <xdr:txBody>
              <a:bodyPr wrap="square" rtlCol="0" anchor="ct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en-US"/>
              </a:p>
            </xdr:txBody>
          </xdr:sp>
          <xdr:sp macro="" textlink="">
            <xdr:nvSpPr>
              <xdr:cNvPr id="13" name="Freeform: Shape 12">
                <a:extLst>
                  <a:ext uri="{FF2B5EF4-FFF2-40B4-BE49-F238E27FC236}">
                    <a16:creationId xmlns:a16="http://schemas.microsoft.com/office/drawing/2014/main" id="{73CF632C-3D9E-47DF-889E-24C258183C64}"/>
                  </a:ext>
                </a:extLst>
              </xdr:cNvPr>
              <xdr:cNvSpPr/>
            </xdr:nvSpPr>
            <xdr:spPr>
              <a:xfrm>
                <a:off x="7686770" y="5845016"/>
                <a:ext cx="22860" cy="34290"/>
              </a:xfrm>
              <a:custGeom>
                <a:avLst/>
                <a:gdLst>
                  <a:gd name="connsiteX0" fmla="*/ 19145 w 22860"/>
                  <a:gd name="connsiteY0" fmla="*/ 24289 h 34290"/>
                  <a:gd name="connsiteX1" fmla="*/ 11716 w 22860"/>
                  <a:gd name="connsiteY1" fmla="*/ 31719 h 34290"/>
                  <a:gd name="connsiteX2" fmla="*/ 11716 w 22860"/>
                  <a:gd name="connsiteY2" fmla="*/ 31719 h 34290"/>
                  <a:gd name="connsiteX3" fmla="*/ 4286 w 22860"/>
                  <a:gd name="connsiteY3" fmla="*/ 24289 h 34290"/>
                  <a:gd name="connsiteX4" fmla="*/ 4286 w 22860"/>
                  <a:gd name="connsiteY4" fmla="*/ 11716 h 34290"/>
                  <a:gd name="connsiteX5" fmla="*/ 11716 w 22860"/>
                  <a:gd name="connsiteY5" fmla="*/ 4286 h 34290"/>
                  <a:gd name="connsiteX6" fmla="*/ 11716 w 22860"/>
                  <a:gd name="connsiteY6" fmla="*/ 4286 h 34290"/>
                  <a:gd name="connsiteX7" fmla="*/ 19145 w 22860"/>
                  <a:gd name="connsiteY7" fmla="*/ 11716 h 34290"/>
                  <a:gd name="connsiteX8" fmla="*/ 19145 w 22860"/>
                  <a:gd name="connsiteY8" fmla="*/ 24289 h 34290"/>
                  <a:gd name="connsiteX9" fmla="*/ 19145 w 22860"/>
                  <a:gd name="connsiteY9" fmla="*/ 24289 h 3429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Lst>
                <a:rect l="l" t="t" r="r" b="b"/>
                <a:pathLst>
                  <a:path w="22860" h="34290">
                    <a:moveTo>
                      <a:pt x="19145" y="24289"/>
                    </a:moveTo>
                    <a:cubicBezTo>
                      <a:pt x="19145" y="28289"/>
                      <a:pt x="15716" y="31719"/>
                      <a:pt x="11716" y="31719"/>
                    </a:cubicBezTo>
                    <a:lnTo>
                      <a:pt x="11716" y="31719"/>
                    </a:lnTo>
                    <a:cubicBezTo>
                      <a:pt x="7715" y="31719"/>
                      <a:pt x="4286" y="28289"/>
                      <a:pt x="4286" y="24289"/>
                    </a:cubicBezTo>
                    <a:lnTo>
                      <a:pt x="4286" y="11716"/>
                    </a:lnTo>
                    <a:cubicBezTo>
                      <a:pt x="4286" y="7715"/>
                      <a:pt x="7715" y="4286"/>
                      <a:pt x="11716" y="4286"/>
                    </a:cubicBezTo>
                    <a:lnTo>
                      <a:pt x="11716" y="4286"/>
                    </a:lnTo>
                    <a:cubicBezTo>
                      <a:pt x="15716" y="4286"/>
                      <a:pt x="19145" y="7715"/>
                      <a:pt x="19145" y="11716"/>
                    </a:cubicBezTo>
                    <a:lnTo>
                      <a:pt x="19145" y="24289"/>
                    </a:lnTo>
                    <a:lnTo>
                      <a:pt x="19145" y="24289"/>
                    </a:lnTo>
                    <a:close/>
                  </a:path>
                </a:pathLst>
              </a:custGeom>
              <a:solidFill>
                <a:srgbClr val="FDD09E"/>
              </a:solidFill>
              <a:ln w="9525" cap="flat">
                <a:noFill/>
                <a:prstDash val="solid"/>
                <a:miter/>
              </a:ln>
            </xdr:spPr>
            <xdr:txBody>
              <a:bodyPr wrap="square" rtlCol="0" anchor="ct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en-US"/>
              </a:p>
            </xdr:txBody>
          </xdr:sp>
          <xdr:sp macro="" textlink="">
            <xdr:nvSpPr>
              <xdr:cNvPr id="14" name="Freeform: Shape 13">
                <a:extLst>
                  <a:ext uri="{FF2B5EF4-FFF2-40B4-BE49-F238E27FC236}">
                    <a16:creationId xmlns:a16="http://schemas.microsoft.com/office/drawing/2014/main" id="{7DFFB368-3053-4E0C-9B17-DA27AFDFD056}"/>
                  </a:ext>
                </a:extLst>
              </xdr:cNvPr>
              <xdr:cNvSpPr/>
            </xdr:nvSpPr>
            <xdr:spPr>
              <a:xfrm>
                <a:off x="7622762" y="5811869"/>
                <a:ext cx="80010" cy="97155"/>
              </a:xfrm>
              <a:custGeom>
                <a:avLst/>
                <a:gdLst>
                  <a:gd name="connsiteX0" fmla="*/ 78581 w 80010"/>
                  <a:gd name="connsiteY0" fmla="*/ 50006 h 97155"/>
                  <a:gd name="connsiteX1" fmla="*/ 41434 w 80010"/>
                  <a:gd name="connsiteY1" fmla="*/ 95726 h 97155"/>
                  <a:gd name="connsiteX2" fmla="*/ 4286 w 80010"/>
                  <a:gd name="connsiteY2" fmla="*/ 50006 h 97155"/>
                  <a:gd name="connsiteX3" fmla="*/ 41434 w 80010"/>
                  <a:gd name="connsiteY3" fmla="*/ 4286 h 97155"/>
                  <a:gd name="connsiteX4" fmla="*/ 78581 w 80010"/>
                  <a:gd name="connsiteY4" fmla="*/ 50006 h 97155"/>
                  <a:gd name="connsiteX5" fmla="*/ 78581 w 80010"/>
                  <a:gd name="connsiteY5" fmla="*/ 50006 h 97155"/>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Lst>
                <a:rect l="l" t="t" r="r" b="b"/>
                <a:pathLst>
                  <a:path w="80010" h="97155">
                    <a:moveTo>
                      <a:pt x="78581" y="50006"/>
                    </a:moveTo>
                    <a:cubicBezTo>
                      <a:pt x="78581" y="75152"/>
                      <a:pt x="62008" y="95726"/>
                      <a:pt x="41434" y="95726"/>
                    </a:cubicBezTo>
                    <a:cubicBezTo>
                      <a:pt x="20860" y="95726"/>
                      <a:pt x="4286" y="75152"/>
                      <a:pt x="4286" y="50006"/>
                    </a:cubicBezTo>
                    <a:cubicBezTo>
                      <a:pt x="4286" y="24860"/>
                      <a:pt x="20860" y="4286"/>
                      <a:pt x="41434" y="4286"/>
                    </a:cubicBezTo>
                    <a:cubicBezTo>
                      <a:pt x="62008" y="4286"/>
                      <a:pt x="78581" y="24860"/>
                      <a:pt x="78581" y="50006"/>
                    </a:cubicBezTo>
                    <a:lnTo>
                      <a:pt x="78581" y="50006"/>
                    </a:lnTo>
                    <a:close/>
                  </a:path>
                </a:pathLst>
              </a:custGeom>
              <a:solidFill>
                <a:srgbClr val="FDD09E"/>
              </a:solidFill>
              <a:ln w="9525" cap="flat">
                <a:noFill/>
                <a:prstDash val="solid"/>
                <a:miter/>
              </a:ln>
            </xdr:spPr>
            <xdr:txBody>
              <a:bodyPr wrap="square" rtlCol="0" anchor="ct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en-US"/>
              </a:p>
            </xdr:txBody>
          </xdr:sp>
          <xdr:sp macro="" textlink="">
            <xdr:nvSpPr>
              <xdr:cNvPr id="15" name="Freeform: Shape 14">
                <a:extLst>
                  <a:ext uri="{FF2B5EF4-FFF2-40B4-BE49-F238E27FC236}">
                    <a16:creationId xmlns:a16="http://schemas.microsoft.com/office/drawing/2014/main" id="{BB1BAA03-02EF-40FF-A2B8-536922A7BED2}"/>
                  </a:ext>
                </a:extLst>
              </xdr:cNvPr>
              <xdr:cNvSpPr/>
            </xdr:nvSpPr>
            <xdr:spPr>
              <a:xfrm>
                <a:off x="7571748" y="5931884"/>
                <a:ext cx="182880" cy="45720"/>
              </a:xfrm>
              <a:custGeom>
                <a:avLst/>
                <a:gdLst>
                  <a:gd name="connsiteX0" fmla="*/ 177030 w 182880"/>
                  <a:gd name="connsiteY0" fmla="*/ 15716 h 45720"/>
                  <a:gd name="connsiteX1" fmla="*/ 138740 w 182880"/>
                  <a:gd name="connsiteY1" fmla="*/ 7716 h 45720"/>
                  <a:gd name="connsiteX2" fmla="*/ 125595 w 182880"/>
                  <a:gd name="connsiteY2" fmla="*/ 4858 h 45720"/>
                  <a:gd name="connsiteX3" fmla="*/ 125595 w 182880"/>
                  <a:gd name="connsiteY3" fmla="*/ 4858 h 45720"/>
                  <a:gd name="connsiteX4" fmla="*/ 125024 w 182880"/>
                  <a:gd name="connsiteY4" fmla="*/ 4858 h 45720"/>
                  <a:gd name="connsiteX5" fmla="*/ 60444 w 182880"/>
                  <a:gd name="connsiteY5" fmla="*/ 4286 h 45720"/>
                  <a:gd name="connsiteX6" fmla="*/ 60444 w 182880"/>
                  <a:gd name="connsiteY6" fmla="*/ 4286 h 45720"/>
                  <a:gd name="connsiteX7" fmla="*/ 48443 w 182880"/>
                  <a:gd name="connsiteY7" fmla="*/ 6572 h 45720"/>
                  <a:gd name="connsiteX8" fmla="*/ 7295 w 182880"/>
                  <a:gd name="connsiteY8" fmla="*/ 15716 h 45720"/>
                  <a:gd name="connsiteX9" fmla="*/ 4437 w 182880"/>
                  <a:gd name="connsiteY9" fmla="*/ 42577 h 45720"/>
                  <a:gd name="connsiteX10" fmla="*/ 92449 w 182880"/>
                  <a:gd name="connsiteY10" fmla="*/ 42577 h 45720"/>
                  <a:gd name="connsiteX11" fmla="*/ 180459 w 182880"/>
                  <a:gd name="connsiteY11" fmla="*/ 42577 h 45720"/>
                  <a:gd name="connsiteX12" fmla="*/ 177030 w 182880"/>
                  <a:gd name="connsiteY12" fmla="*/ 15716 h 45720"/>
                  <a:gd name="connsiteX13" fmla="*/ 177030 w 182880"/>
                  <a:gd name="connsiteY13" fmla="*/ 15716 h 4572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Lst>
                <a:rect l="l" t="t" r="r" b="b"/>
                <a:pathLst>
                  <a:path w="182880" h="45720">
                    <a:moveTo>
                      <a:pt x="177030" y="15716"/>
                    </a:moveTo>
                    <a:cubicBezTo>
                      <a:pt x="174173" y="11716"/>
                      <a:pt x="149027" y="10001"/>
                      <a:pt x="138740" y="7716"/>
                    </a:cubicBezTo>
                    <a:cubicBezTo>
                      <a:pt x="133596" y="6572"/>
                      <a:pt x="125595" y="4858"/>
                      <a:pt x="125595" y="4858"/>
                    </a:cubicBezTo>
                    <a:lnTo>
                      <a:pt x="125595" y="4858"/>
                    </a:lnTo>
                    <a:lnTo>
                      <a:pt x="125024" y="4858"/>
                    </a:lnTo>
                    <a:lnTo>
                      <a:pt x="60444" y="4286"/>
                    </a:lnTo>
                    <a:lnTo>
                      <a:pt x="60444" y="4286"/>
                    </a:lnTo>
                    <a:cubicBezTo>
                      <a:pt x="57015" y="5430"/>
                      <a:pt x="53015" y="6001"/>
                      <a:pt x="48443" y="6572"/>
                    </a:cubicBezTo>
                    <a:cubicBezTo>
                      <a:pt x="34727" y="8859"/>
                      <a:pt x="10724" y="11716"/>
                      <a:pt x="7295" y="15716"/>
                    </a:cubicBezTo>
                    <a:cubicBezTo>
                      <a:pt x="3294" y="21431"/>
                      <a:pt x="4437" y="42577"/>
                      <a:pt x="4437" y="42577"/>
                    </a:cubicBezTo>
                    <a:lnTo>
                      <a:pt x="92449" y="42577"/>
                    </a:lnTo>
                    <a:lnTo>
                      <a:pt x="180459" y="42577"/>
                    </a:lnTo>
                    <a:cubicBezTo>
                      <a:pt x="180459" y="43149"/>
                      <a:pt x="181602" y="20860"/>
                      <a:pt x="177030" y="15716"/>
                    </a:cubicBezTo>
                    <a:lnTo>
                      <a:pt x="177030" y="15716"/>
                    </a:lnTo>
                    <a:close/>
                  </a:path>
                </a:pathLst>
              </a:custGeom>
              <a:solidFill>
                <a:srgbClr val="6ECFF5"/>
              </a:solidFill>
              <a:ln w="9525" cap="flat">
                <a:noFill/>
                <a:prstDash val="solid"/>
                <a:miter/>
              </a:ln>
            </xdr:spPr>
            <xdr:txBody>
              <a:bodyPr wrap="square" rtlCol="0" anchor="ct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en-US"/>
              </a:p>
            </xdr:txBody>
          </xdr:sp>
          <xdr:sp macro="" textlink="">
            <xdr:nvSpPr>
              <xdr:cNvPr id="16" name="Freeform: Shape 15">
                <a:extLst>
                  <a:ext uri="{FF2B5EF4-FFF2-40B4-BE49-F238E27FC236}">
                    <a16:creationId xmlns:a16="http://schemas.microsoft.com/office/drawing/2014/main" id="{0034345B-FE97-44B6-BA3A-C7BFAEB63EB3}"/>
                  </a:ext>
                </a:extLst>
              </xdr:cNvPr>
              <xdr:cNvSpPr/>
            </xdr:nvSpPr>
            <xdr:spPr>
              <a:xfrm>
                <a:off x="7571327" y="6005608"/>
                <a:ext cx="182880" cy="34290"/>
              </a:xfrm>
              <a:custGeom>
                <a:avLst/>
                <a:gdLst>
                  <a:gd name="connsiteX0" fmla="*/ 180880 w 182880"/>
                  <a:gd name="connsiteY0" fmla="*/ 31147 h 34290"/>
                  <a:gd name="connsiteX1" fmla="*/ 4286 w 182880"/>
                  <a:gd name="connsiteY1" fmla="*/ 31147 h 34290"/>
                  <a:gd name="connsiteX2" fmla="*/ 4286 w 182880"/>
                  <a:gd name="connsiteY2" fmla="*/ 4286 h 34290"/>
                  <a:gd name="connsiteX3" fmla="*/ 180880 w 182880"/>
                  <a:gd name="connsiteY3" fmla="*/ 4286 h 34290"/>
                  <a:gd name="connsiteX4" fmla="*/ 180880 w 182880"/>
                  <a:gd name="connsiteY4" fmla="*/ 31147 h 3429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182880" h="34290">
                    <a:moveTo>
                      <a:pt x="180880" y="31147"/>
                    </a:moveTo>
                    <a:lnTo>
                      <a:pt x="4286" y="31147"/>
                    </a:lnTo>
                    <a:lnTo>
                      <a:pt x="4286" y="4286"/>
                    </a:lnTo>
                    <a:lnTo>
                      <a:pt x="180880" y="4286"/>
                    </a:lnTo>
                    <a:lnTo>
                      <a:pt x="180880" y="31147"/>
                    </a:lnTo>
                    <a:close/>
                  </a:path>
                </a:pathLst>
              </a:custGeom>
              <a:solidFill>
                <a:srgbClr val="808285"/>
              </a:solidFill>
              <a:ln w="9525" cap="flat">
                <a:noFill/>
                <a:prstDash val="solid"/>
                <a:miter/>
              </a:ln>
            </xdr:spPr>
            <xdr:txBody>
              <a:bodyPr wrap="square" rtlCol="0" anchor="ct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en-US"/>
              </a:p>
            </xdr:txBody>
          </xdr:sp>
          <xdr:sp macro="" textlink="">
            <xdr:nvSpPr>
              <xdr:cNvPr id="17" name="Freeform: Shape 16">
                <a:extLst>
                  <a:ext uri="{FF2B5EF4-FFF2-40B4-BE49-F238E27FC236}">
                    <a16:creationId xmlns:a16="http://schemas.microsoft.com/office/drawing/2014/main" id="{739D0105-43C1-4F2A-96D0-B95F6CA50ABD}"/>
                  </a:ext>
                </a:extLst>
              </xdr:cNvPr>
              <xdr:cNvSpPr/>
            </xdr:nvSpPr>
            <xdr:spPr>
              <a:xfrm>
                <a:off x="7512463" y="6059329"/>
                <a:ext cx="314325" cy="28575"/>
              </a:xfrm>
              <a:custGeom>
                <a:avLst/>
                <a:gdLst>
                  <a:gd name="connsiteX0" fmla="*/ 314611 w 314325"/>
                  <a:gd name="connsiteY0" fmla="*/ 27146 h 28575"/>
                  <a:gd name="connsiteX1" fmla="*/ 4286 w 314325"/>
                  <a:gd name="connsiteY1" fmla="*/ 27146 h 28575"/>
                  <a:gd name="connsiteX2" fmla="*/ 4286 w 314325"/>
                  <a:gd name="connsiteY2" fmla="*/ 4286 h 28575"/>
                  <a:gd name="connsiteX3" fmla="*/ 314611 w 314325"/>
                  <a:gd name="connsiteY3" fmla="*/ 4286 h 28575"/>
                  <a:gd name="connsiteX4" fmla="*/ 314611 w 314325"/>
                  <a:gd name="connsiteY4" fmla="*/ 27146 h 28575"/>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314325" h="28575">
                    <a:moveTo>
                      <a:pt x="314611" y="27146"/>
                    </a:moveTo>
                    <a:lnTo>
                      <a:pt x="4286" y="27146"/>
                    </a:lnTo>
                    <a:lnTo>
                      <a:pt x="4286" y="4286"/>
                    </a:lnTo>
                    <a:lnTo>
                      <a:pt x="314611" y="4286"/>
                    </a:lnTo>
                    <a:lnTo>
                      <a:pt x="314611" y="27146"/>
                    </a:lnTo>
                    <a:close/>
                  </a:path>
                </a:pathLst>
              </a:custGeom>
              <a:solidFill>
                <a:srgbClr val="808285"/>
              </a:solidFill>
              <a:ln w="9525" cap="flat">
                <a:noFill/>
                <a:prstDash val="solid"/>
                <a:miter/>
              </a:ln>
            </xdr:spPr>
            <xdr:txBody>
              <a:bodyPr wrap="square" rtlCol="0" anchor="ct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en-US"/>
              </a:p>
            </xdr:txBody>
          </xdr:sp>
          <xdr:sp macro="" textlink="">
            <xdr:nvSpPr>
              <xdr:cNvPr id="18" name="Freeform: Shape 17">
                <a:extLst>
                  <a:ext uri="{FF2B5EF4-FFF2-40B4-BE49-F238E27FC236}">
                    <a16:creationId xmlns:a16="http://schemas.microsoft.com/office/drawing/2014/main" id="{466BAB0C-DCD7-4A82-A2CD-C4591565D8BC}"/>
                  </a:ext>
                </a:extLst>
              </xdr:cNvPr>
              <xdr:cNvSpPr/>
            </xdr:nvSpPr>
            <xdr:spPr>
              <a:xfrm>
                <a:off x="7512463" y="6095905"/>
                <a:ext cx="314325" cy="28575"/>
              </a:xfrm>
              <a:custGeom>
                <a:avLst/>
                <a:gdLst>
                  <a:gd name="connsiteX0" fmla="*/ 314611 w 314325"/>
                  <a:gd name="connsiteY0" fmla="*/ 26575 h 28575"/>
                  <a:gd name="connsiteX1" fmla="*/ 4286 w 314325"/>
                  <a:gd name="connsiteY1" fmla="*/ 26575 h 28575"/>
                  <a:gd name="connsiteX2" fmla="*/ 4286 w 314325"/>
                  <a:gd name="connsiteY2" fmla="*/ 4286 h 28575"/>
                  <a:gd name="connsiteX3" fmla="*/ 314611 w 314325"/>
                  <a:gd name="connsiteY3" fmla="*/ 4286 h 28575"/>
                  <a:gd name="connsiteX4" fmla="*/ 314611 w 314325"/>
                  <a:gd name="connsiteY4" fmla="*/ 26575 h 28575"/>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314325" h="28575">
                    <a:moveTo>
                      <a:pt x="314611" y="26575"/>
                    </a:moveTo>
                    <a:lnTo>
                      <a:pt x="4286" y="26575"/>
                    </a:lnTo>
                    <a:lnTo>
                      <a:pt x="4286" y="4286"/>
                    </a:lnTo>
                    <a:lnTo>
                      <a:pt x="314611" y="4286"/>
                    </a:lnTo>
                    <a:lnTo>
                      <a:pt x="314611" y="26575"/>
                    </a:lnTo>
                    <a:close/>
                  </a:path>
                </a:pathLst>
              </a:custGeom>
              <a:solidFill>
                <a:srgbClr val="808285"/>
              </a:solidFill>
              <a:ln w="9525" cap="flat">
                <a:noFill/>
                <a:prstDash val="solid"/>
                <a:miter/>
              </a:ln>
            </xdr:spPr>
            <xdr:txBody>
              <a:bodyPr wrap="square" rtlCol="0" anchor="ct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en-US"/>
              </a:p>
            </xdr:txBody>
          </xdr:sp>
        </xdr:grpSp>
        <xdr:grpSp>
          <xdr:nvGrpSpPr>
            <xdr:cNvPr id="19" name="Group 18">
              <a:extLst>
                <a:ext uri="{FF2B5EF4-FFF2-40B4-BE49-F238E27FC236}">
                  <a16:creationId xmlns:a16="http://schemas.microsoft.com/office/drawing/2014/main" id="{B6371203-3E3D-4989-99B4-CFC1DF83CEA6}"/>
                </a:ext>
              </a:extLst>
            </xdr:cNvPr>
            <xdr:cNvGrpSpPr/>
          </xdr:nvGrpSpPr>
          <xdr:grpSpPr>
            <a:xfrm>
              <a:off x="9788254" y="69873"/>
              <a:ext cx="569024" cy="250730"/>
              <a:chOff x="3183350" y="416909"/>
              <a:chExt cx="596075" cy="588645"/>
            </a:xfrm>
          </xdr:grpSpPr>
          <xdr:sp macro="" textlink="">
            <xdr:nvSpPr>
              <xdr:cNvPr id="20" name="Freeform: Shape 19">
                <a:extLst>
                  <a:ext uri="{FF2B5EF4-FFF2-40B4-BE49-F238E27FC236}">
                    <a16:creationId xmlns:a16="http://schemas.microsoft.com/office/drawing/2014/main" id="{1E1B89D6-E894-4B05-A642-413D123AE229}"/>
                  </a:ext>
                </a:extLst>
              </xdr:cNvPr>
              <xdr:cNvSpPr/>
            </xdr:nvSpPr>
            <xdr:spPr>
              <a:xfrm>
                <a:off x="3183350" y="491204"/>
                <a:ext cx="520065" cy="514350"/>
              </a:xfrm>
              <a:custGeom>
                <a:avLst/>
                <a:gdLst>
                  <a:gd name="connsiteX0" fmla="*/ 519779 w 520065"/>
                  <a:gd name="connsiteY0" fmla="*/ 455771 h 514350"/>
                  <a:gd name="connsiteX1" fmla="*/ 61436 w 520065"/>
                  <a:gd name="connsiteY1" fmla="*/ 455771 h 514350"/>
                  <a:gd name="connsiteX2" fmla="*/ 61436 w 520065"/>
                  <a:gd name="connsiteY2" fmla="*/ 4286 h 514350"/>
                  <a:gd name="connsiteX3" fmla="*/ 32861 w 520065"/>
                  <a:gd name="connsiteY3" fmla="*/ 4286 h 514350"/>
                  <a:gd name="connsiteX4" fmla="*/ 32861 w 520065"/>
                  <a:gd name="connsiteY4" fmla="*/ 455771 h 514350"/>
                  <a:gd name="connsiteX5" fmla="*/ 4286 w 520065"/>
                  <a:gd name="connsiteY5" fmla="*/ 455771 h 514350"/>
                  <a:gd name="connsiteX6" fmla="*/ 4286 w 520065"/>
                  <a:gd name="connsiteY6" fmla="*/ 484346 h 514350"/>
                  <a:gd name="connsiteX7" fmla="*/ 32861 w 520065"/>
                  <a:gd name="connsiteY7" fmla="*/ 484346 h 514350"/>
                  <a:gd name="connsiteX8" fmla="*/ 32861 w 520065"/>
                  <a:gd name="connsiteY8" fmla="*/ 512921 h 514350"/>
                  <a:gd name="connsiteX9" fmla="*/ 61436 w 520065"/>
                  <a:gd name="connsiteY9" fmla="*/ 512921 h 514350"/>
                  <a:gd name="connsiteX10" fmla="*/ 61436 w 520065"/>
                  <a:gd name="connsiteY10" fmla="*/ 484346 h 514350"/>
                  <a:gd name="connsiteX11" fmla="*/ 519779 w 520065"/>
                  <a:gd name="connsiteY11" fmla="*/ 484346 h 514350"/>
                  <a:gd name="connsiteX12" fmla="*/ 519779 w 520065"/>
                  <a:gd name="connsiteY12" fmla="*/ 455771 h 51435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Lst>
                <a:rect l="l" t="t" r="r" b="b"/>
                <a:pathLst>
                  <a:path w="520065" h="514350">
                    <a:moveTo>
                      <a:pt x="519779" y="455771"/>
                    </a:moveTo>
                    <a:lnTo>
                      <a:pt x="61436" y="455771"/>
                    </a:lnTo>
                    <a:lnTo>
                      <a:pt x="61436" y="4286"/>
                    </a:lnTo>
                    <a:lnTo>
                      <a:pt x="32861" y="4286"/>
                    </a:lnTo>
                    <a:lnTo>
                      <a:pt x="32861" y="455771"/>
                    </a:lnTo>
                    <a:lnTo>
                      <a:pt x="4286" y="455771"/>
                    </a:lnTo>
                    <a:lnTo>
                      <a:pt x="4286" y="484346"/>
                    </a:lnTo>
                    <a:lnTo>
                      <a:pt x="32861" y="484346"/>
                    </a:lnTo>
                    <a:lnTo>
                      <a:pt x="32861" y="512921"/>
                    </a:lnTo>
                    <a:lnTo>
                      <a:pt x="61436" y="512921"/>
                    </a:lnTo>
                    <a:lnTo>
                      <a:pt x="61436" y="484346"/>
                    </a:lnTo>
                    <a:lnTo>
                      <a:pt x="519779" y="484346"/>
                    </a:lnTo>
                    <a:lnTo>
                      <a:pt x="519779" y="455771"/>
                    </a:lnTo>
                    <a:close/>
                  </a:path>
                </a:pathLst>
              </a:custGeom>
              <a:solidFill>
                <a:srgbClr val="606161"/>
              </a:solidFill>
              <a:ln w="9525" cap="flat">
                <a:noFill/>
                <a:prstDash val="solid"/>
                <a:miter/>
              </a:ln>
            </xdr:spPr>
            <xdr:txBody>
              <a:bodyPr wrap="square" rtlCol="0" anchor="ct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en-US"/>
              </a:p>
            </xdr:txBody>
          </xdr:sp>
          <xdr:sp macro="" textlink="">
            <xdr:nvSpPr>
              <xdr:cNvPr id="21" name="Freeform: Shape 20">
                <a:extLst>
                  <a:ext uri="{FF2B5EF4-FFF2-40B4-BE49-F238E27FC236}">
                    <a16:creationId xmlns:a16="http://schemas.microsoft.com/office/drawing/2014/main" id="{51867A7D-610A-45DF-85E8-761D600FAC1F}"/>
                  </a:ext>
                </a:extLst>
              </xdr:cNvPr>
              <xdr:cNvSpPr/>
            </xdr:nvSpPr>
            <xdr:spPr>
              <a:xfrm>
                <a:off x="3202781" y="416909"/>
                <a:ext cx="51435" cy="74295"/>
              </a:xfrm>
              <a:custGeom>
                <a:avLst/>
                <a:gdLst>
                  <a:gd name="connsiteX0" fmla="*/ 27718 w 51435"/>
                  <a:gd name="connsiteY0" fmla="*/ 4286 h 74295"/>
                  <a:gd name="connsiteX1" fmla="*/ 51721 w 51435"/>
                  <a:gd name="connsiteY1" fmla="*/ 72866 h 74295"/>
                  <a:gd name="connsiteX2" fmla="*/ 4286 w 51435"/>
                  <a:gd name="connsiteY2" fmla="*/ 72866 h 74295"/>
                  <a:gd name="connsiteX3" fmla="*/ 27718 w 51435"/>
                  <a:gd name="connsiteY3" fmla="*/ 4286 h 74295"/>
                </a:gdLst>
                <a:ahLst/>
                <a:cxnLst>
                  <a:cxn ang="0">
                    <a:pos x="connsiteX0" y="connsiteY0"/>
                  </a:cxn>
                  <a:cxn ang="0">
                    <a:pos x="connsiteX1" y="connsiteY1"/>
                  </a:cxn>
                  <a:cxn ang="0">
                    <a:pos x="connsiteX2" y="connsiteY2"/>
                  </a:cxn>
                  <a:cxn ang="0">
                    <a:pos x="connsiteX3" y="connsiteY3"/>
                  </a:cxn>
                </a:cxnLst>
                <a:rect l="l" t="t" r="r" b="b"/>
                <a:pathLst>
                  <a:path w="51435" h="74295">
                    <a:moveTo>
                      <a:pt x="27718" y="4286"/>
                    </a:moveTo>
                    <a:lnTo>
                      <a:pt x="51721" y="72866"/>
                    </a:lnTo>
                    <a:lnTo>
                      <a:pt x="4286" y="72866"/>
                    </a:lnTo>
                    <a:lnTo>
                      <a:pt x="27718" y="4286"/>
                    </a:lnTo>
                    <a:close/>
                  </a:path>
                </a:pathLst>
              </a:custGeom>
              <a:solidFill>
                <a:srgbClr val="606161"/>
              </a:solidFill>
              <a:ln w="9525" cap="flat">
                <a:noFill/>
                <a:prstDash val="solid"/>
                <a:miter/>
              </a:ln>
            </xdr:spPr>
            <xdr:txBody>
              <a:bodyPr wrap="square" rtlCol="0" anchor="ct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en-US"/>
              </a:p>
            </xdr:txBody>
          </xdr:sp>
          <xdr:sp macro="" textlink="">
            <xdr:nvSpPr>
              <xdr:cNvPr id="22" name="Freeform: Shape 21">
                <a:extLst>
                  <a:ext uri="{FF2B5EF4-FFF2-40B4-BE49-F238E27FC236}">
                    <a16:creationId xmlns:a16="http://schemas.microsoft.com/office/drawing/2014/main" id="{36A7E578-089B-4469-8E65-C981E61CB918}"/>
                  </a:ext>
                </a:extLst>
              </xdr:cNvPr>
              <xdr:cNvSpPr/>
            </xdr:nvSpPr>
            <xdr:spPr>
              <a:xfrm>
                <a:off x="3705130" y="933545"/>
                <a:ext cx="74295" cy="51435"/>
              </a:xfrm>
              <a:custGeom>
                <a:avLst/>
                <a:gdLst>
                  <a:gd name="connsiteX0" fmla="*/ 72866 w 74295"/>
                  <a:gd name="connsiteY0" fmla="*/ 27718 h 51435"/>
                  <a:gd name="connsiteX1" fmla="*/ 4286 w 74295"/>
                  <a:gd name="connsiteY1" fmla="*/ 51149 h 51435"/>
                  <a:gd name="connsiteX2" fmla="*/ 4286 w 74295"/>
                  <a:gd name="connsiteY2" fmla="*/ 4286 h 51435"/>
                  <a:gd name="connsiteX3" fmla="*/ 72866 w 74295"/>
                  <a:gd name="connsiteY3" fmla="*/ 27718 h 51435"/>
                </a:gdLst>
                <a:ahLst/>
                <a:cxnLst>
                  <a:cxn ang="0">
                    <a:pos x="connsiteX0" y="connsiteY0"/>
                  </a:cxn>
                  <a:cxn ang="0">
                    <a:pos x="connsiteX1" y="connsiteY1"/>
                  </a:cxn>
                  <a:cxn ang="0">
                    <a:pos x="connsiteX2" y="connsiteY2"/>
                  </a:cxn>
                  <a:cxn ang="0">
                    <a:pos x="connsiteX3" y="connsiteY3"/>
                  </a:cxn>
                </a:cxnLst>
                <a:rect l="l" t="t" r="r" b="b"/>
                <a:pathLst>
                  <a:path w="74295" h="51435">
                    <a:moveTo>
                      <a:pt x="72866" y="27718"/>
                    </a:moveTo>
                    <a:lnTo>
                      <a:pt x="4286" y="51149"/>
                    </a:lnTo>
                    <a:lnTo>
                      <a:pt x="4286" y="4286"/>
                    </a:lnTo>
                    <a:lnTo>
                      <a:pt x="72866" y="27718"/>
                    </a:lnTo>
                    <a:close/>
                  </a:path>
                </a:pathLst>
              </a:custGeom>
              <a:solidFill>
                <a:srgbClr val="606161"/>
              </a:solidFill>
              <a:ln w="9525" cap="flat">
                <a:noFill/>
                <a:prstDash val="solid"/>
                <a:miter/>
              </a:ln>
            </xdr:spPr>
            <xdr:txBody>
              <a:bodyPr wrap="square" rtlCol="0" anchor="ct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en-US"/>
              </a:p>
            </xdr:txBody>
          </xdr:sp>
          <xdr:sp macro="" textlink="">
            <xdr:nvSpPr>
              <xdr:cNvPr id="23" name="Freeform: Shape 22">
                <a:extLst>
                  <a:ext uri="{FF2B5EF4-FFF2-40B4-BE49-F238E27FC236}">
                    <a16:creationId xmlns:a16="http://schemas.microsoft.com/office/drawing/2014/main" id="{894326D1-1EBA-4381-A0CD-088BC3A2F9E5}"/>
                  </a:ext>
                </a:extLst>
              </xdr:cNvPr>
              <xdr:cNvSpPr/>
            </xdr:nvSpPr>
            <xdr:spPr>
              <a:xfrm>
                <a:off x="3289078" y="503206"/>
                <a:ext cx="480060" cy="360045"/>
              </a:xfrm>
              <a:custGeom>
                <a:avLst/>
                <a:gdLst>
                  <a:gd name="connsiteX0" fmla="*/ 467773 w 480060"/>
                  <a:gd name="connsiteY0" fmla="*/ 356902 h 360045"/>
                  <a:gd name="connsiteX1" fmla="*/ 413480 w 480060"/>
                  <a:gd name="connsiteY1" fmla="*/ 323183 h 360045"/>
                  <a:gd name="connsiteX2" fmla="*/ 359188 w 480060"/>
                  <a:gd name="connsiteY2" fmla="*/ 336899 h 360045"/>
                  <a:gd name="connsiteX3" fmla="*/ 251746 w 480060"/>
                  <a:gd name="connsiteY3" fmla="*/ 160877 h 360045"/>
                  <a:gd name="connsiteX4" fmla="*/ 179165 w 480060"/>
                  <a:gd name="connsiteY4" fmla="*/ 190024 h 360045"/>
                  <a:gd name="connsiteX5" fmla="*/ 103156 w 480060"/>
                  <a:gd name="connsiteY5" fmla="*/ 29432 h 360045"/>
                  <a:gd name="connsiteX6" fmla="*/ 12859 w 480060"/>
                  <a:gd name="connsiteY6" fmla="*/ 78581 h 360045"/>
                  <a:gd name="connsiteX7" fmla="*/ 4286 w 480060"/>
                  <a:gd name="connsiteY7" fmla="*/ 63151 h 360045"/>
                  <a:gd name="connsiteX8" fmla="*/ 111157 w 480060"/>
                  <a:gd name="connsiteY8" fmla="*/ 4286 h 360045"/>
                  <a:gd name="connsiteX9" fmla="*/ 188309 w 480060"/>
                  <a:gd name="connsiteY9" fmla="*/ 167164 h 360045"/>
                  <a:gd name="connsiteX10" fmla="*/ 259175 w 480060"/>
                  <a:gd name="connsiteY10" fmla="*/ 138017 h 360045"/>
                  <a:gd name="connsiteX11" fmla="*/ 367189 w 480060"/>
                  <a:gd name="connsiteY11" fmla="*/ 316325 h 360045"/>
                  <a:gd name="connsiteX12" fmla="*/ 416338 w 480060"/>
                  <a:gd name="connsiteY12" fmla="*/ 303752 h 360045"/>
                  <a:gd name="connsiteX13" fmla="*/ 477488 w 480060"/>
                  <a:gd name="connsiteY13" fmla="*/ 341471 h 360045"/>
                  <a:gd name="connsiteX14" fmla="*/ 467773 w 480060"/>
                  <a:gd name="connsiteY14" fmla="*/ 356902 h 360045"/>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Lst>
                <a:rect l="l" t="t" r="r" b="b"/>
                <a:pathLst>
                  <a:path w="480060" h="360045">
                    <a:moveTo>
                      <a:pt x="467773" y="356902"/>
                    </a:moveTo>
                    <a:lnTo>
                      <a:pt x="413480" y="323183"/>
                    </a:lnTo>
                    <a:lnTo>
                      <a:pt x="359188" y="336899"/>
                    </a:lnTo>
                    <a:lnTo>
                      <a:pt x="251746" y="160877"/>
                    </a:lnTo>
                    <a:lnTo>
                      <a:pt x="179165" y="190024"/>
                    </a:lnTo>
                    <a:lnTo>
                      <a:pt x="103156" y="29432"/>
                    </a:lnTo>
                    <a:lnTo>
                      <a:pt x="12859" y="78581"/>
                    </a:lnTo>
                    <a:lnTo>
                      <a:pt x="4286" y="63151"/>
                    </a:lnTo>
                    <a:lnTo>
                      <a:pt x="111157" y="4286"/>
                    </a:lnTo>
                    <a:lnTo>
                      <a:pt x="188309" y="167164"/>
                    </a:lnTo>
                    <a:lnTo>
                      <a:pt x="259175" y="138017"/>
                    </a:lnTo>
                    <a:lnTo>
                      <a:pt x="367189" y="316325"/>
                    </a:lnTo>
                    <a:lnTo>
                      <a:pt x="416338" y="303752"/>
                    </a:lnTo>
                    <a:lnTo>
                      <a:pt x="477488" y="341471"/>
                    </a:lnTo>
                    <a:lnTo>
                      <a:pt x="467773" y="356902"/>
                    </a:lnTo>
                    <a:close/>
                  </a:path>
                </a:pathLst>
              </a:custGeom>
              <a:solidFill>
                <a:srgbClr val="569241"/>
              </a:solidFill>
              <a:ln w="9525" cap="flat">
                <a:noFill/>
                <a:prstDash val="solid"/>
                <a:miter/>
              </a:ln>
            </xdr:spPr>
            <xdr:txBody>
              <a:bodyPr wrap="square" rtlCol="0" anchor="ct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en-US"/>
              </a:p>
            </xdr:txBody>
          </xdr:sp>
          <xdr:sp macro="" textlink="">
            <xdr:nvSpPr>
              <xdr:cNvPr id="24" name="Freeform: Shape 23">
                <a:extLst>
                  <a:ext uri="{FF2B5EF4-FFF2-40B4-BE49-F238E27FC236}">
                    <a16:creationId xmlns:a16="http://schemas.microsoft.com/office/drawing/2014/main" id="{409CE372-DDC9-4FAD-90FB-E68CB3090955}"/>
                  </a:ext>
                </a:extLst>
              </xdr:cNvPr>
              <xdr:cNvSpPr/>
            </xdr:nvSpPr>
            <xdr:spPr>
              <a:xfrm>
                <a:off x="3285649" y="460343"/>
                <a:ext cx="411480" cy="428625"/>
              </a:xfrm>
              <a:custGeom>
                <a:avLst/>
                <a:gdLst>
                  <a:gd name="connsiteX0" fmla="*/ 19717 w 411480"/>
                  <a:gd name="connsiteY0" fmla="*/ 424339 h 428625"/>
                  <a:gd name="connsiteX1" fmla="*/ 4286 w 411480"/>
                  <a:gd name="connsiteY1" fmla="*/ 415195 h 428625"/>
                  <a:gd name="connsiteX2" fmla="*/ 110585 w 411480"/>
                  <a:gd name="connsiteY2" fmla="*/ 246031 h 428625"/>
                  <a:gd name="connsiteX3" fmla="*/ 175165 w 411480"/>
                  <a:gd name="connsiteY3" fmla="*/ 256889 h 428625"/>
                  <a:gd name="connsiteX4" fmla="*/ 309467 w 411480"/>
                  <a:gd name="connsiteY4" fmla="*/ 32861 h 428625"/>
                  <a:gd name="connsiteX5" fmla="*/ 347186 w 411480"/>
                  <a:gd name="connsiteY5" fmla="*/ 51721 h 428625"/>
                  <a:gd name="connsiteX6" fmla="*/ 396335 w 411480"/>
                  <a:gd name="connsiteY6" fmla="*/ 4286 h 428625"/>
                  <a:gd name="connsiteX7" fmla="*/ 408908 w 411480"/>
                  <a:gd name="connsiteY7" fmla="*/ 17431 h 428625"/>
                  <a:gd name="connsiteX8" fmla="*/ 350044 w 411480"/>
                  <a:gd name="connsiteY8" fmla="*/ 73438 h 428625"/>
                  <a:gd name="connsiteX9" fmla="*/ 316325 w 411480"/>
                  <a:gd name="connsiteY9" fmla="*/ 56293 h 428625"/>
                  <a:gd name="connsiteX10" fmla="*/ 183737 w 411480"/>
                  <a:gd name="connsiteY10" fmla="*/ 276892 h 428625"/>
                  <a:gd name="connsiteX11" fmla="*/ 119729 w 411480"/>
                  <a:gd name="connsiteY11" fmla="*/ 265462 h 428625"/>
                  <a:gd name="connsiteX12" fmla="*/ 19717 w 411480"/>
                  <a:gd name="connsiteY12" fmla="*/ 424339 h 428625"/>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Lst>
                <a:rect l="l" t="t" r="r" b="b"/>
                <a:pathLst>
                  <a:path w="411480" h="428625">
                    <a:moveTo>
                      <a:pt x="19717" y="424339"/>
                    </a:moveTo>
                    <a:lnTo>
                      <a:pt x="4286" y="415195"/>
                    </a:lnTo>
                    <a:lnTo>
                      <a:pt x="110585" y="246031"/>
                    </a:lnTo>
                    <a:lnTo>
                      <a:pt x="175165" y="256889"/>
                    </a:lnTo>
                    <a:lnTo>
                      <a:pt x="309467" y="32861"/>
                    </a:lnTo>
                    <a:lnTo>
                      <a:pt x="347186" y="51721"/>
                    </a:lnTo>
                    <a:lnTo>
                      <a:pt x="396335" y="4286"/>
                    </a:lnTo>
                    <a:lnTo>
                      <a:pt x="408908" y="17431"/>
                    </a:lnTo>
                    <a:lnTo>
                      <a:pt x="350044" y="73438"/>
                    </a:lnTo>
                    <a:lnTo>
                      <a:pt x="316325" y="56293"/>
                    </a:lnTo>
                    <a:lnTo>
                      <a:pt x="183737" y="276892"/>
                    </a:lnTo>
                    <a:lnTo>
                      <a:pt x="119729" y="265462"/>
                    </a:lnTo>
                    <a:lnTo>
                      <a:pt x="19717" y="424339"/>
                    </a:lnTo>
                    <a:close/>
                  </a:path>
                </a:pathLst>
              </a:custGeom>
              <a:solidFill>
                <a:srgbClr val="D32332"/>
              </a:solidFill>
              <a:ln w="9525" cap="flat">
                <a:noFill/>
                <a:prstDash val="solid"/>
                <a:miter/>
              </a:ln>
            </xdr:spPr>
            <xdr:txBody>
              <a:bodyPr wrap="square" rtlCol="0" anchor="ct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en-US"/>
              </a:p>
            </xdr:txBody>
          </xdr:sp>
        </xdr:grpSp>
        <xdr:grpSp>
          <xdr:nvGrpSpPr>
            <xdr:cNvPr id="25" name="Group 24">
              <a:extLst>
                <a:ext uri="{FF2B5EF4-FFF2-40B4-BE49-F238E27FC236}">
                  <a16:creationId xmlns:a16="http://schemas.microsoft.com/office/drawing/2014/main" id="{8DBBBBD3-BE99-478D-8539-212E4E3220A8}"/>
                </a:ext>
              </a:extLst>
            </xdr:cNvPr>
            <xdr:cNvGrpSpPr/>
          </xdr:nvGrpSpPr>
          <xdr:grpSpPr>
            <a:xfrm>
              <a:off x="11574317" y="22477"/>
              <a:ext cx="542224" cy="277942"/>
              <a:chOff x="8391430" y="402622"/>
              <a:chExt cx="622935" cy="622935"/>
            </a:xfrm>
          </xdr:grpSpPr>
          <xdr:sp macro="" textlink="">
            <xdr:nvSpPr>
              <xdr:cNvPr id="26" name="Freeform: Shape 25">
                <a:extLst>
                  <a:ext uri="{FF2B5EF4-FFF2-40B4-BE49-F238E27FC236}">
                    <a16:creationId xmlns:a16="http://schemas.microsoft.com/office/drawing/2014/main" id="{B23DCF32-8631-4681-AA34-1F38E8CB879D}"/>
                  </a:ext>
                </a:extLst>
              </xdr:cNvPr>
              <xdr:cNvSpPr/>
            </xdr:nvSpPr>
            <xdr:spPr>
              <a:xfrm>
                <a:off x="8391430" y="402622"/>
                <a:ext cx="622935" cy="622935"/>
              </a:xfrm>
              <a:custGeom>
                <a:avLst/>
                <a:gdLst>
                  <a:gd name="connsiteX0" fmla="*/ 78581 w 622935"/>
                  <a:gd name="connsiteY0" fmla="*/ 549497 h 622935"/>
                  <a:gd name="connsiteX1" fmla="*/ 78581 w 622935"/>
                  <a:gd name="connsiteY1" fmla="*/ 4286 h 622935"/>
                  <a:gd name="connsiteX2" fmla="*/ 53435 w 622935"/>
                  <a:gd name="connsiteY2" fmla="*/ 4286 h 622935"/>
                  <a:gd name="connsiteX3" fmla="*/ 53435 w 622935"/>
                  <a:gd name="connsiteY3" fmla="*/ 58007 h 622935"/>
                  <a:gd name="connsiteX4" fmla="*/ 4286 w 622935"/>
                  <a:gd name="connsiteY4" fmla="*/ 58007 h 622935"/>
                  <a:gd name="connsiteX5" fmla="*/ 4286 w 622935"/>
                  <a:gd name="connsiteY5" fmla="*/ 82582 h 622935"/>
                  <a:gd name="connsiteX6" fmla="*/ 53435 w 622935"/>
                  <a:gd name="connsiteY6" fmla="*/ 82582 h 622935"/>
                  <a:gd name="connsiteX7" fmla="*/ 53435 w 622935"/>
                  <a:gd name="connsiteY7" fmla="*/ 156305 h 622935"/>
                  <a:gd name="connsiteX8" fmla="*/ 4286 w 622935"/>
                  <a:gd name="connsiteY8" fmla="*/ 156305 h 622935"/>
                  <a:gd name="connsiteX9" fmla="*/ 4286 w 622935"/>
                  <a:gd name="connsiteY9" fmla="*/ 180880 h 622935"/>
                  <a:gd name="connsiteX10" fmla="*/ 53435 w 622935"/>
                  <a:gd name="connsiteY10" fmla="*/ 180880 h 622935"/>
                  <a:gd name="connsiteX11" fmla="*/ 53435 w 622935"/>
                  <a:gd name="connsiteY11" fmla="*/ 254603 h 622935"/>
                  <a:gd name="connsiteX12" fmla="*/ 4286 w 622935"/>
                  <a:gd name="connsiteY12" fmla="*/ 254603 h 622935"/>
                  <a:gd name="connsiteX13" fmla="*/ 4286 w 622935"/>
                  <a:gd name="connsiteY13" fmla="*/ 279178 h 622935"/>
                  <a:gd name="connsiteX14" fmla="*/ 53435 w 622935"/>
                  <a:gd name="connsiteY14" fmla="*/ 279178 h 622935"/>
                  <a:gd name="connsiteX15" fmla="*/ 53435 w 622935"/>
                  <a:gd name="connsiteY15" fmla="*/ 352901 h 622935"/>
                  <a:gd name="connsiteX16" fmla="*/ 4286 w 622935"/>
                  <a:gd name="connsiteY16" fmla="*/ 352901 h 622935"/>
                  <a:gd name="connsiteX17" fmla="*/ 4286 w 622935"/>
                  <a:gd name="connsiteY17" fmla="*/ 377476 h 622935"/>
                  <a:gd name="connsiteX18" fmla="*/ 53435 w 622935"/>
                  <a:gd name="connsiteY18" fmla="*/ 377476 h 622935"/>
                  <a:gd name="connsiteX19" fmla="*/ 53435 w 622935"/>
                  <a:gd name="connsiteY19" fmla="*/ 451199 h 622935"/>
                  <a:gd name="connsiteX20" fmla="*/ 4286 w 622935"/>
                  <a:gd name="connsiteY20" fmla="*/ 451199 h 622935"/>
                  <a:gd name="connsiteX21" fmla="*/ 4286 w 622935"/>
                  <a:gd name="connsiteY21" fmla="*/ 476345 h 622935"/>
                  <a:gd name="connsiteX22" fmla="*/ 53435 w 622935"/>
                  <a:gd name="connsiteY22" fmla="*/ 476345 h 622935"/>
                  <a:gd name="connsiteX23" fmla="*/ 53435 w 622935"/>
                  <a:gd name="connsiteY23" fmla="*/ 549497 h 622935"/>
                  <a:gd name="connsiteX24" fmla="*/ 4286 w 622935"/>
                  <a:gd name="connsiteY24" fmla="*/ 549497 h 622935"/>
                  <a:gd name="connsiteX25" fmla="*/ 4286 w 622935"/>
                  <a:gd name="connsiteY25" fmla="*/ 574643 h 622935"/>
                  <a:gd name="connsiteX26" fmla="*/ 53435 w 622935"/>
                  <a:gd name="connsiteY26" fmla="*/ 574643 h 622935"/>
                  <a:gd name="connsiteX27" fmla="*/ 53435 w 622935"/>
                  <a:gd name="connsiteY27" fmla="*/ 623221 h 622935"/>
                  <a:gd name="connsiteX28" fmla="*/ 78581 w 622935"/>
                  <a:gd name="connsiteY28" fmla="*/ 623221 h 622935"/>
                  <a:gd name="connsiteX29" fmla="*/ 78581 w 622935"/>
                  <a:gd name="connsiteY29" fmla="*/ 574643 h 622935"/>
                  <a:gd name="connsiteX30" fmla="*/ 151733 w 622935"/>
                  <a:gd name="connsiteY30" fmla="*/ 574643 h 622935"/>
                  <a:gd name="connsiteX31" fmla="*/ 151733 w 622935"/>
                  <a:gd name="connsiteY31" fmla="*/ 623221 h 622935"/>
                  <a:gd name="connsiteX32" fmla="*/ 176879 w 622935"/>
                  <a:gd name="connsiteY32" fmla="*/ 623221 h 622935"/>
                  <a:gd name="connsiteX33" fmla="*/ 176879 w 622935"/>
                  <a:gd name="connsiteY33" fmla="*/ 574643 h 622935"/>
                  <a:gd name="connsiteX34" fmla="*/ 250031 w 622935"/>
                  <a:gd name="connsiteY34" fmla="*/ 574643 h 622935"/>
                  <a:gd name="connsiteX35" fmla="*/ 250031 w 622935"/>
                  <a:gd name="connsiteY35" fmla="*/ 623221 h 622935"/>
                  <a:gd name="connsiteX36" fmla="*/ 275177 w 622935"/>
                  <a:gd name="connsiteY36" fmla="*/ 623221 h 622935"/>
                  <a:gd name="connsiteX37" fmla="*/ 275177 w 622935"/>
                  <a:gd name="connsiteY37" fmla="*/ 574643 h 622935"/>
                  <a:gd name="connsiteX38" fmla="*/ 348900 w 622935"/>
                  <a:gd name="connsiteY38" fmla="*/ 574643 h 622935"/>
                  <a:gd name="connsiteX39" fmla="*/ 348900 w 622935"/>
                  <a:gd name="connsiteY39" fmla="*/ 623221 h 622935"/>
                  <a:gd name="connsiteX40" fmla="*/ 373475 w 622935"/>
                  <a:gd name="connsiteY40" fmla="*/ 623221 h 622935"/>
                  <a:gd name="connsiteX41" fmla="*/ 373475 w 622935"/>
                  <a:gd name="connsiteY41" fmla="*/ 574643 h 622935"/>
                  <a:gd name="connsiteX42" fmla="*/ 447199 w 622935"/>
                  <a:gd name="connsiteY42" fmla="*/ 574643 h 622935"/>
                  <a:gd name="connsiteX43" fmla="*/ 447199 w 622935"/>
                  <a:gd name="connsiteY43" fmla="*/ 623221 h 622935"/>
                  <a:gd name="connsiteX44" fmla="*/ 471773 w 622935"/>
                  <a:gd name="connsiteY44" fmla="*/ 623221 h 622935"/>
                  <a:gd name="connsiteX45" fmla="*/ 471773 w 622935"/>
                  <a:gd name="connsiteY45" fmla="*/ 574643 h 622935"/>
                  <a:gd name="connsiteX46" fmla="*/ 545497 w 622935"/>
                  <a:gd name="connsiteY46" fmla="*/ 574643 h 622935"/>
                  <a:gd name="connsiteX47" fmla="*/ 545497 w 622935"/>
                  <a:gd name="connsiteY47" fmla="*/ 623221 h 622935"/>
                  <a:gd name="connsiteX48" fmla="*/ 570071 w 622935"/>
                  <a:gd name="connsiteY48" fmla="*/ 623221 h 622935"/>
                  <a:gd name="connsiteX49" fmla="*/ 570071 w 622935"/>
                  <a:gd name="connsiteY49" fmla="*/ 574643 h 622935"/>
                  <a:gd name="connsiteX50" fmla="*/ 623792 w 622935"/>
                  <a:gd name="connsiteY50" fmla="*/ 574643 h 622935"/>
                  <a:gd name="connsiteX51" fmla="*/ 623792 w 622935"/>
                  <a:gd name="connsiteY51" fmla="*/ 549497 h 622935"/>
                  <a:gd name="connsiteX52" fmla="*/ 78581 w 622935"/>
                  <a:gd name="connsiteY52" fmla="*/ 549497 h 622935"/>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Lst>
                <a:rect l="l" t="t" r="r" b="b"/>
                <a:pathLst>
                  <a:path w="622935" h="622935">
                    <a:moveTo>
                      <a:pt x="78581" y="549497"/>
                    </a:moveTo>
                    <a:lnTo>
                      <a:pt x="78581" y="4286"/>
                    </a:lnTo>
                    <a:lnTo>
                      <a:pt x="53435" y="4286"/>
                    </a:lnTo>
                    <a:lnTo>
                      <a:pt x="53435" y="58007"/>
                    </a:lnTo>
                    <a:lnTo>
                      <a:pt x="4286" y="58007"/>
                    </a:lnTo>
                    <a:lnTo>
                      <a:pt x="4286" y="82582"/>
                    </a:lnTo>
                    <a:lnTo>
                      <a:pt x="53435" y="82582"/>
                    </a:lnTo>
                    <a:lnTo>
                      <a:pt x="53435" y="156305"/>
                    </a:lnTo>
                    <a:lnTo>
                      <a:pt x="4286" y="156305"/>
                    </a:lnTo>
                    <a:lnTo>
                      <a:pt x="4286" y="180880"/>
                    </a:lnTo>
                    <a:lnTo>
                      <a:pt x="53435" y="180880"/>
                    </a:lnTo>
                    <a:lnTo>
                      <a:pt x="53435" y="254603"/>
                    </a:lnTo>
                    <a:lnTo>
                      <a:pt x="4286" y="254603"/>
                    </a:lnTo>
                    <a:lnTo>
                      <a:pt x="4286" y="279178"/>
                    </a:lnTo>
                    <a:lnTo>
                      <a:pt x="53435" y="279178"/>
                    </a:lnTo>
                    <a:lnTo>
                      <a:pt x="53435" y="352901"/>
                    </a:lnTo>
                    <a:lnTo>
                      <a:pt x="4286" y="352901"/>
                    </a:lnTo>
                    <a:lnTo>
                      <a:pt x="4286" y="377476"/>
                    </a:lnTo>
                    <a:lnTo>
                      <a:pt x="53435" y="377476"/>
                    </a:lnTo>
                    <a:lnTo>
                      <a:pt x="53435" y="451199"/>
                    </a:lnTo>
                    <a:lnTo>
                      <a:pt x="4286" y="451199"/>
                    </a:lnTo>
                    <a:lnTo>
                      <a:pt x="4286" y="476345"/>
                    </a:lnTo>
                    <a:lnTo>
                      <a:pt x="53435" y="476345"/>
                    </a:lnTo>
                    <a:lnTo>
                      <a:pt x="53435" y="549497"/>
                    </a:lnTo>
                    <a:lnTo>
                      <a:pt x="4286" y="549497"/>
                    </a:lnTo>
                    <a:lnTo>
                      <a:pt x="4286" y="574643"/>
                    </a:lnTo>
                    <a:lnTo>
                      <a:pt x="53435" y="574643"/>
                    </a:lnTo>
                    <a:lnTo>
                      <a:pt x="53435" y="623221"/>
                    </a:lnTo>
                    <a:lnTo>
                      <a:pt x="78581" y="623221"/>
                    </a:lnTo>
                    <a:lnTo>
                      <a:pt x="78581" y="574643"/>
                    </a:lnTo>
                    <a:lnTo>
                      <a:pt x="151733" y="574643"/>
                    </a:lnTo>
                    <a:lnTo>
                      <a:pt x="151733" y="623221"/>
                    </a:lnTo>
                    <a:lnTo>
                      <a:pt x="176879" y="623221"/>
                    </a:lnTo>
                    <a:lnTo>
                      <a:pt x="176879" y="574643"/>
                    </a:lnTo>
                    <a:lnTo>
                      <a:pt x="250031" y="574643"/>
                    </a:lnTo>
                    <a:lnTo>
                      <a:pt x="250031" y="623221"/>
                    </a:lnTo>
                    <a:lnTo>
                      <a:pt x="275177" y="623221"/>
                    </a:lnTo>
                    <a:lnTo>
                      <a:pt x="275177" y="574643"/>
                    </a:lnTo>
                    <a:lnTo>
                      <a:pt x="348900" y="574643"/>
                    </a:lnTo>
                    <a:lnTo>
                      <a:pt x="348900" y="623221"/>
                    </a:lnTo>
                    <a:lnTo>
                      <a:pt x="373475" y="623221"/>
                    </a:lnTo>
                    <a:lnTo>
                      <a:pt x="373475" y="574643"/>
                    </a:lnTo>
                    <a:lnTo>
                      <a:pt x="447199" y="574643"/>
                    </a:lnTo>
                    <a:lnTo>
                      <a:pt x="447199" y="623221"/>
                    </a:lnTo>
                    <a:lnTo>
                      <a:pt x="471773" y="623221"/>
                    </a:lnTo>
                    <a:lnTo>
                      <a:pt x="471773" y="574643"/>
                    </a:lnTo>
                    <a:lnTo>
                      <a:pt x="545497" y="574643"/>
                    </a:lnTo>
                    <a:lnTo>
                      <a:pt x="545497" y="623221"/>
                    </a:lnTo>
                    <a:lnTo>
                      <a:pt x="570071" y="623221"/>
                    </a:lnTo>
                    <a:lnTo>
                      <a:pt x="570071" y="574643"/>
                    </a:lnTo>
                    <a:lnTo>
                      <a:pt x="623792" y="574643"/>
                    </a:lnTo>
                    <a:lnTo>
                      <a:pt x="623792" y="549497"/>
                    </a:lnTo>
                    <a:lnTo>
                      <a:pt x="78581" y="549497"/>
                    </a:lnTo>
                    <a:close/>
                  </a:path>
                </a:pathLst>
              </a:custGeom>
              <a:solidFill>
                <a:srgbClr val="C7E5E1"/>
              </a:solidFill>
              <a:ln w="9525" cap="flat">
                <a:noFill/>
                <a:prstDash val="solid"/>
                <a:miter/>
              </a:ln>
            </xdr:spPr>
            <xdr:txBody>
              <a:bodyPr wrap="square" rtlCol="0" anchor="ct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en-US"/>
              </a:p>
            </xdr:txBody>
          </xdr:sp>
          <xdr:sp macro="" textlink="">
            <xdr:nvSpPr>
              <xdr:cNvPr id="27" name="Freeform: Shape 26">
                <a:extLst>
                  <a:ext uri="{FF2B5EF4-FFF2-40B4-BE49-F238E27FC236}">
                    <a16:creationId xmlns:a16="http://schemas.microsoft.com/office/drawing/2014/main" id="{0BF3B942-5DE8-4A86-8162-4BD05EDFADAB}"/>
                  </a:ext>
                </a:extLst>
              </xdr:cNvPr>
              <xdr:cNvSpPr/>
            </xdr:nvSpPr>
            <xdr:spPr>
              <a:xfrm>
                <a:off x="8520589" y="472345"/>
                <a:ext cx="474345" cy="451485"/>
              </a:xfrm>
              <a:custGeom>
                <a:avLst/>
                <a:gdLst>
                  <a:gd name="connsiteX0" fmla="*/ 447770 w 474345"/>
                  <a:gd name="connsiteY0" fmla="*/ 325469 h 451485"/>
                  <a:gd name="connsiteX1" fmla="*/ 475202 w 474345"/>
                  <a:gd name="connsiteY1" fmla="*/ 272320 h 451485"/>
                  <a:gd name="connsiteX2" fmla="*/ 462058 w 474345"/>
                  <a:gd name="connsiteY2" fmla="*/ 265462 h 451485"/>
                  <a:gd name="connsiteX3" fmla="*/ 434626 w 474345"/>
                  <a:gd name="connsiteY3" fmla="*/ 318611 h 451485"/>
                  <a:gd name="connsiteX4" fmla="*/ 424339 w 474345"/>
                  <a:gd name="connsiteY4" fmla="*/ 316897 h 451485"/>
                  <a:gd name="connsiteX5" fmla="*/ 387191 w 474345"/>
                  <a:gd name="connsiteY5" fmla="*/ 354044 h 451485"/>
                  <a:gd name="connsiteX6" fmla="*/ 388906 w 474345"/>
                  <a:gd name="connsiteY6" fmla="*/ 365474 h 451485"/>
                  <a:gd name="connsiteX7" fmla="*/ 354044 w 474345"/>
                  <a:gd name="connsiteY7" fmla="*/ 385477 h 451485"/>
                  <a:gd name="connsiteX8" fmla="*/ 326041 w 474345"/>
                  <a:gd name="connsiteY8" fmla="*/ 372904 h 451485"/>
                  <a:gd name="connsiteX9" fmla="*/ 314611 w 474345"/>
                  <a:gd name="connsiteY9" fmla="*/ 374618 h 451485"/>
                  <a:gd name="connsiteX10" fmla="*/ 143732 w 474345"/>
                  <a:gd name="connsiteY10" fmla="*/ 69437 h 451485"/>
                  <a:gd name="connsiteX11" fmla="*/ 156876 w 474345"/>
                  <a:gd name="connsiteY11" fmla="*/ 41434 h 451485"/>
                  <a:gd name="connsiteX12" fmla="*/ 119729 w 474345"/>
                  <a:gd name="connsiteY12" fmla="*/ 4286 h 451485"/>
                  <a:gd name="connsiteX13" fmla="*/ 82581 w 474345"/>
                  <a:gd name="connsiteY13" fmla="*/ 41434 h 451485"/>
                  <a:gd name="connsiteX14" fmla="*/ 84296 w 474345"/>
                  <a:gd name="connsiteY14" fmla="*/ 53435 h 451485"/>
                  <a:gd name="connsiteX15" fmla="*/ 4286 w 474345"/>
                  <a:gd name="connsiteY15" fmla="*/ 99727 h 451485"/>
                  <a:gd name="connsiteX16" fmla="*/ 11716 w 474345"/>
                  <a:gd name="connsiteY16" fmla="*/ 112871 h 451485"/>
                  <a:gd name="connsiteX17" fmla="*/ 91726 w 474345"/>
                  <a:gd name="connsiteY17" fmla="*/ 66580 h 451485"/>
                  <a:gd name="connsiteX18" fmla="*/ 119729 w 474345"/>
                  <a:gd name="connsiteY18" fmla="*/ 79153 h 451485"/>
                  <a:gd name="connsiteX19" fmla="*/ 131159 w 474345"/>
                  <a:gd name="connsiteY19" fmla="*/ 77438 h 451485"/>
                  <a:gd name="connsiteX20" fmla="*/ 302038 w 474345"/>
                  <a:gd name="connsiteY20" fmla="*/ 382619 h 451485"/>
                  <a:gd name="connsiteX21" fmla="*/ 288894 w 474345"/>
                  <a:gd name="connsiteY21" fmla="*/ 410623 h 451485"/>
                  <a:gd name="connsiteX22" fmla="*/ 326041 w 474345"/>
                  <a:gd name="connsiteY22" fmla="*/ 447770 h 451485"/>
                  <a:gd name="connsiteX23" fmla="*/ 363189 w 474345"/>
                  <a:gd name="connsiteY23" fmla="*/ 410623 h 451485"/>
                  <a:gd name="connsiteX24" fmla="*/ 361474 w 474345"/>
                  <a:gd name="connsiteY24" fmla="*/ 399193 h 451485"/>
                  <a:gd name="connsiteX25" fmla="*/ 396335 w 474345"/>
                  <a:gd name="connsiteY25" fmla="*/ 379190 h 451485"/>
                  <a:gd name="connsiteX26" fmla="*/ 424339 w 474345"/>
                  <a:gd name="connsiteY26" fmla="*/ 391763 h 451485"/>
                  <a:gd name="connsiteX27" fmla="*/ 461486 w 474345"/>
                  <a:gd name="connsiteY27" fmla="*/ 354616 h 451485"/>
                  <a:gd name="connsiteX28" fmla="*/ 447770 w 474345"/>
                  <a:gd name="connsiteY28" fmla="*/ 325469 h 451485"/>
                  <a:gd name="connsiteX29" fmla="*/ 447770 w 474345"/>
                  <a:gd name="connsiteY29" fmla="*/ 325469 h 451485"/>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Lst>
                <a:rect l="l" t="t" r="r" b="b"/>
                <a:pathLst>
                  <a:path w="474345" h="451485">
                    <a:moveTo>
                      <a:pt x="447770" y="325469"/>
                    </a:moveTo>
                    <a:lnTo>
                      <a:pt x="475202" y="272320"/>
                    </a:lnTo>
                    <a:lnTo>
                      <a:pt x="462058" y="265462"/>
                    </a:lnTo>
                    <a:lnTo>
                      <a:pt x="434626" y="318611"/>
                    </a:lnTo>
                    <a:cubicBezTo>
                      <a:pt x="431196" y="317468"/>
                      <a:pt x="427768" y="316897"/>
                      <a:pt x="424339" y="316897"/>
                    </a:cubicBezTo>
                    <a:cubicBezTo>
                      <a:pt x="403765" y="316897"/>
                      <a:pt x="387191" y="333470"/>
                      <a:pt x="387191" y="354044"/>
                    </a:cubicBezTo>
                    <a:cubicBezTo>
                      <a:pt x="387191" y="358045"/>
                      <a:pt x="387763" y="362045"/>
                      <a:pt x="388906" y="365474"/>
                    </a:cubicBezTo>
                    <a:lnTo>
                      <a:pt x="354044" y="385477"/>
                    </a:lnTo>
                    <a:cubicBezTo>
                      <a:pt x="347186" y="377476"/>
                      <a:pt x="337471" y="372904"/>
                      <a:pt x="326041" y="372904"/>
                    </a:cubicBezTo>
                    <a:cubicBezTo>
                      <a:pt x="322040" y="372904"/>
                      <a:pt x="318040" y="373475"/>
                      <a:pt x="314611" y="374618"/>
                    </a:cubicBezTo>
                    <a:lnTo>
                      <a:pt x="143732" y="69437"/>
                    </a:lnTo>
                    <a:cubicBezTo>
                      <a:pt x="151734" y="62579"/>
                      <a:pt x="156876" y="52292"/>
                      <a:pt x="156876" y="41434"/>
                    </a:cubicBezTo>
                    <a:cubicBezTo>
                      <a:pt x="156876" y="20860"/>
                      <a:pt x="140304" y="4286"/>
                      <a:pt x="119729" y="4286"/>
                    </a:cubicBezTo>
                    <a:cubicBezTo>
                      <a:pt x="99155" y="4286"/>
                      <a:pt x="82581" y="20860"/>
                      <a:pt x="82581" y="41434"/>
                    </a:cubicBezTo>
                    <a:cubicBezTo>
                      <a:pt x="82581" y="45434"/>
                      <a:pt x="83154" y="49435"/>
                      <a:pt x="84296" y="53435"/>
                    </a:cubicBezTo>
                    <a:lnTo>
                      <a:pt x="4286" y="99727"/>
                    </a:lnTo>
                    <a:lnTo>
                      <a:pt x="11716" y="112871"/>
                    </a:lnTo>
                    <a:lnTo>
                      <a:pt x="91726" y="66580"/>
                    </a:lnTo>
                    <a:cubicBezTo>
                      <a:pt x="98584" y="74009"/>
                      <a:pt x="108299" y="79153"/>
                      <a:pt x="119729" y="79153"/>
                    </a:cubicBezTo>
                    <a:cubicBezTo>
                      <a:pt x="123730" y="79153"/>
                      <a:pt x="127730" y="78581"/>
                      <a:pt x="131159" y="77438"/>
                    </a:cubicBezTo>
                    <a:lnTo>
                      <a:pt x="302038" y="382619"/>
                    </a:lnTo>
                    <a:cubicBezTo>
                      <a:pt x="294036" y="389477"/>
                      <a:pt x="288894" y="399764"/>
                      <a:pt x="288894" y="410623"/>
                    </a:cubicBezTo>
                    <a:cubicBezTo>
                      <a:pt x="288894" y="431197"/>
                      <a:pt x="305466" y="447770"/>
                      <a:pt x="326041" y="447770"/>
                    </a:cubicBezTo>
                    <a:cubicBezTo>
                      <a:pt x="346615" y="447770"/>
                      <a:pt x="363189" y="431197"/>
                      <a:pt x="363189" y="410623"/>
                    </a:cubicBezTo>
                    <a:cubicBezTo>
                      <a:pt x="363189" y="406622"/>
                      <a:pt x="362616" y="402622"/>
                      <a:pt x="361474" y="399193"/>
                    </a:cubicBezTo>
                    <a:lnTo>
                      <a:pt x="396335" y="379190"/>
                    </a:lnTo>
                    <a:cubicBezTo>
                      <a:pt x="403194" y="387191"/>
                      <a:pt x="412909" y="391763"/>
                      <a:pt x="424339" y="391763"/>
                    </a:cubicBezTo>
                    <a:cubicBezTo>
                      <a:pt x="444913" y="391763"/>
                      <a:pt x="461486" y="375190"/>
                      <a:pt x="461486" y="354616"/>
                    </a:cubicBezTo>
                    <a:cubicBezTo>
                      <a:pt x="461486" y="342614"/>
                      <a:pt x="456343" y="332327"/>
                      <a:pt x="447770" y="325469"/>
                    </a:cubicBezTo>
                    <a:lnTo>
                      <a:pt x="447770" y="325469"/>
                    </a:lnTo>
                    <a:close/>
                  </a:path>
                </a:pathLst>
              </a:custGeom>
              <a:solidFill>
                <a:srgbClr val="F9F076"/>
              </a:solidFill>
              <a:ln w="9525" cap="flat">
                <a:noFill/>
                <a:prstDash val="solid"/>
                <a:miter/>
              </a:ln>
            </xdr:spPr>
            <xdr:txBody>
              <a:bodyPr wrap="square" rtlCol="0" anchor="ct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en-US"/>
              </a:p>
            </xdr:txBody>
          </xdr:sp>
          <xdr:sp macro="" textlink="">
            <xdr:nvSpPr>
              <xdr:cNvPr id="28" name="Freeform: Shape 27">
                <a:extLst>
                  <a:ext uri="{FF2B5EF4-FFF2-40B4-BE49-F238E27FC236}">
                    <a16:creationId xmlns:a16="http://schemas.microsoft.com/office/drawing/2014/main" id="{15D9C2FA-7FBE-4F09-A3B6-7A847BD633F0}"/>
                  </a:ext>
                </a:extLst>
              </xdr:cNvPr>
              <xdr:cNvSpPr/>
            </xdr:nvSpPr>
            <xdr:spPr>
              <a:xfrm>
                <a:off x="8490299" y="510064"/>
                <a:ext cx="497205" cy="325755"/>
              </a:xfrm>
              <a:custGeom>
                <a:avLst/>
                <a:gdLst>
                  <a:gd name="connsiteX0" fmla="*/ 495776 w 497205"/>
                  <a:gd name="connsiteY0" fmla="*/ 88297 h 325755"/>
                  <a:gd name="connsiteX1" fmla="*/ 429482 w 497205"/>
                  <a:gd name="connsiteY1" fmla="*/ 52292 h 325755"/>
                  <a:gd name="connsiteX2" fmla="*/ 431197 w 497205"/>
                  <a:gd name="connsiteY2" fmla="*/ 41434 h 325755"/>
                  <a:gd name="connsiteX3" fmla="*/ 394049 w 497205"/>
                  <a:gd name="connsiteY3" fmla="*/ 4286 h 325755"/>
                  <a:gd name="connsiteX4" fmla="*/ 356902 w 497205"/>
                  <a:gd name="connsiteY4" fmla="*/ 41434 h 325755"/>
                  <a:gd name="connsiteX5" fmla="*/ 366046 w 497205"/>
                  <a:gd name="connsiteY5" fmla="*/ 65437 h 325755"/>
                  <a:gd name="connsiteX6" fmla="*/ 219742 w 497205"/>
                  <a:gd name="connsiteY6" fmla="*/ 254603 h 325755"/>
                  <a:gd name="connsiteX7" fmla="*/ 203168 w 497205"/>
                  <a:gd name="connsiteY7" fmla="*/ 250603 h 325755"/>
                  <a:gd name="connsiteX8" fmla="*/ 180880 w 497205"/>
                  <a:gd name="connsiteY8" fmla="*/ 258032 h 325755"/>
                  <a:gd name="connsiteX9" fmla="*/ 107728 w 497205"/>
                  <a:gd name="connsiteY9" fmla="*/ 192881 h 325755"/>
                  <a:gd name="connsiteX10" fmla="*/ 112871 w 497205"/>
                  <a:gd name="connsiteY10" fmla="*/ 174022 h 325755"/>
                  <a:gd name="connsiteX11" fmla="*/ 75723 w 497205"/>
                  <a:gd name="connsiteY11" fmla="*/ 136874 h 325755"/>
                  <a:gd name="connsiteX12" fmla="*/ 38576 w 497205"/>
                  <a:gd name="connsiteY12" fmla="*/ 174022 h 325755"/>
                  <a:gd name="connsiteX13" fmla="*/ 46577 w 497205"/>
                  <a:gd name="connsiteY13" fmla="*/ 196882 h 325755"/>
                  <a:gd name="connsiteX14" fmla="*/ 4286 w 497205"/>
                  <a:gd name="connsiteY14" fmla="*/ 245459 h 325755"/>
                  <a:gd name="connsiteX15" fmla="*/ 15716 w 497205"/>
                  <a:gd name="connsiteY15" fmla="*/ 255175 h 325755"/>
                  <a:gd name="connsiteX16" fmla="*/ 58007 w 497205"/>
                  <a:gd name="connsiteY16" fmla="*/ 206597 h 325755"/>
                  <a:gd name="connsiteX17" fmla="*/ 76295 w 497205"/>
                  <a:gd name="connsiteY17" fmla="*/ 211169 h 325755"/>
                  <a:gd name="connsiteX18" fmla="*/ 98583 w 497205"/>
                  <a:gd name="connsiteY18" fmla="*/ 203740 h 325755"/>
                  <a:gd name="connsiteX19" fmla="*/ 171736 w 497205"/>
                  <a:gd name="connsiteY19" fmla="*/ 268891 h 325755"/>
                  <a:gd name="connsiteX20" fmla="*/ 166592 w 497205"/>
                  <a:gd name="connsiteY20" fmla="*/ 287750 h 325755"/>
                  <a:gd name="connsiteX21" fmla="*/ 203740 w 497205"/>
                  <a:gd name="connsiteY21" fmla="*/ 324898 h 325755"/>
                  <a:gd name="connsiteX22" fmla="*/ 240887 w 497205"/>
                  <a:gd name="connsiteY22" fmla="*/ 287750 h 325755"/>
                  <a:gd name="connsiteX23" fmla="*/ 231743 w 497205"/>
                  <a:gd name="connsiteY23" fmla="*/ 263747 h 325755"/>
                  <a:gd name="connsiteX24" fmla="*/ 378047 w 497205"/>
                  <a:gd name="connsiteY24" fmla="*/ 74581 h 325755"/>
                  <a:gd name="connsiteX25" fmla="*/ 394621 w 497205"/>
                  <a:gd name="connsiteY25" fmla="*/ 78581 h 325755"/>
                  <a:gd name="connsiteX26" fmla="*/ 423196 w 497205"/>
                  <a:gd name="connsiteY26" fmla="*/ 65437 h 325755"/>
                  <a:gd name="connsiteX27" fmla="*/ 489490 w 497205"/>
                  <a:gd name="connsiteY27" fmla="*/ 101441 h 325755"/>
                  <a:gd name="connsiteX28" fmla="*/ 495776 w 497205"/>
                  <a:gd name="connsiteY28" fmla="*/ 88297 h 325755"/>
                  <a:gd name="connsiteX29" fmla="*/ 495776 w 497205"/>
                  <a:gd name="connsiteY29" fmla="*/ 88297 h 325755"/>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Lst>
                <a:rect l="l" t="t" r="r" b="b"/>
                <a:pathLst>
                  <a:path w="497205" h="325755">
                    <a:moveTo>
                      <a:pt x="495776" y="88297"/>
                    </a:moveTo>
                    <a:lnTo>
                      <a:pt x="429482" y="52292"/>
                    </a:lnTo>
                    <a:cubicBezTo>
                      <a:pt x="430625" y="48863"/>
                      <a:pt x="431197" y="45434"/>
                      <a:pt x="431197" y="41434"/>
                    </a:cubicBezTo>
                    <a:cubicBezTo>
                      <a:pt x="431197" y="20860"/>
                      <a:pt x="414623" y="4286"/>
                      <a:pt x="394049" y="4286"/>
                    </a:cubicBezTo>
                    <a:cubicBezTo>
                      <a:pt x="373475" y="4286"/>
                      <a:pt x="356902" y="20860"/>
                      <a:pt x="356902" y="41434"/>
                    </a:cubicBezTo>
                    <a:cubicBezTo>
                      <a:pt x="356902" y="50578"/>
                      <a:pt x="360331" y="59150"/>
                      <a:pt x="366046" y="65437"/>
                    </a:cubicBezTo>
                    <a:lnTo>
                      <a:pt x="219742" y="254603"/>
                    </a:lnTo>
                    <a:cubicBezTo>
                      <a:pt x="214598" y="252317"/>
                      <a:pt x="209455" y="250603"/>
                      <a:pt x="203168" y="250603"/>
                    </a:cubicBezTo>
                    <a:cubicBezTo>
                      <a:pt x="194596" y="250603"/>
                      <a:pt x="187166" y="253460"/>
                      <a:pt x="180880" y="258032"/>
                    </a:cubicBezTo>
                    <a:lnTo>
                      <a:pt x="107728" y="192881"/>
                    </a:lnTo>
                    <a:cubicBezTo>
                      <a:pt x="111157" y="187166"/>
                      <a:pt x="112871" y="180880"/>
                      <a:pt x="112871" y="174022"/>
                    </a:cubicBezTo>
                    <a:cubicBezTo>
                      <a:pt x="112871" y="153448"/>
                      <a:pt x="96298" y="136874"/>
                      <a:pt x="75723" y="136874"/>
                    </a:cubicBezTo>
                    <a:cubicBezTo>
                      <a:pt x="55150" y="136874"/>
                      <a:pt x="38576" y="153448"/>
                      <a:pt x="38576" y="174022"/>
                    </a:cubicBezTo>
                    <a:cubicBezTo>
                      <a:pt x="38576" y="182594"/>
                      <a:pt x="41433" y="190595"/>
                      <a:pt x="46577" y="196882"/>
                    </a:cubicBezTo>
                    <a:lnTo>
                      <a:pt x="4286" y="245459"/>
                    </a:lnTo>
                    <a:lnTo>
                      <a:pt x="15716" y="255175"/>
                    </a:lnTo>
                    <a:lnTo>
                      <a:pt x="58007" y="206597"/>
                    </a:lnTo>
                    <a:cubicBezTo>
                      <a:pt x="63151" y="209455"/>
                      <a:pt x="69437" y="211169"/>
                      <a:pt x="76295" y="211169"/>
                    </a:cubicBezTo>
                    <a:cubicBezTo>
                      <a:pt x="84868" y="211169"/>
                      <a:pt x="92297" y="208312"/>
                      <a:pt x="98583" y="203740"/>
                    </a:cubicBezTo>
                    <a:lnTo>
                      <a:pt x="171736" y="268891"/>
                    </a:lnTo>
                    <a:cubicBezTo>
                      <a:pt x="168307" y="274606"/>
                      <a:pt x="166592" y="280892"/>
                      <a:pt x="166592" y="287750"/>
                    </a:cubicBezTo>
                    <a:cubicBezTo>
                      <a:pt x="166592" y="308324"/>
                      <a:pt x="183166" y="324898"/>
                      <a:pt x="203740" y="324898"/>
                    </a:cubicBezTo>
                    <a:cubicBezTo>
                      <a:pt x="224313" y="324898"/>
                      <a:pt x="240887" y="308324"/>
                      <a:pt x="240887" y="287750"/>
                    </a:cubicBezTo>
                    <a:cubicBezTo>
                      <a:pt x="240887" y="278606"/>
                      <a:pt x="237458" y="270034"/>
                      <a:pt x="231743" y="263747"/>
                    </a:cubicBezTo>
                    <a:lnTo>
                      <a:pt x="378047" y="74581"/>
                    </a:lnTo>
                    <a:cubicBezTo>
                      <a:pt x="383191" y="76867"/>
                      <a:pt x="388334" y="78581"/>
                      <a:pt x="394621" y="78581"/>
                    </a:cubicBezTo>
                    <a:cubicBezTo>
                      <a:pt x="406051" y="78581"/>
                      <a:pt x="416338" y="73438"/>
                      <a:pt x="423196" y="65437"/>
                    </a:cubicBezTo>
                    <a:lnTo>
                      <a:pt x="489490" y="101441"/>
                    </a:lnTo>
                    <a:lnTo>
                      <a:pt x="495776" y="88297"/>
                    </a:lnTo>
                    <a:lnTo>
                      <a:pt x="495776" y="88297"/>
                    </a:lnTo>
                    <a:close/>
                  </a:path>
                </a:pathLst>
              </a:custGeom>
              <a:solidFill>
                <a:srgbClr val="19A5C7"/>
              </a:solidFill>
              <a:ln w="9525" cap="flat">
                <a:noFill/>
                <a:prstDash val="solid"/>
                <a:miter/>
              </a:ln>
            </xdr:spPr>
            <xdr:txBody>
              <a:bodyPr wrap="square" rtlCol="0" anchor="ct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en-US"/>
              </a:p>
            </xdr:txBody>
          </xdr:sp>
        </xdr:grpSp>
        <xdr:sp macro="" textlink="">
          <xdr:nvSpPr>
            <xdr:cNvPr id="29" name="Freeform 23">
              <a:extLst>
                <a:ext uri="{FF2B5EF4-FFF2-40B4-BE49-F238E27FC236}">
                  <a16:creationId xmlns:a16="http://schemas.microsoft.com/office/drawing/2014/main" id="{FF753C70-69F4-47D3-B6D5-279509B7F5B8}"/>
                </a:ext>
              </a:extLst>
            </xdr:cNvPr>
            <xdr:cNvSpPr>
              <a:spLocks noEditPoints="1"/>
            </xdr:cNvSpPr>
          </xdr:nvSpPr>
          <xdr:spPr bwMode="auto">
            <a:xfrm>
              <a:off x="1818538" y="29766"/>
              <a:ext cx="377031" cy="304234"/>
            </a:xfrm>
            <a:custGeom>
              <a:avLst/>
              <a:gdLst/>
              <a:ahLst/>
              <a:cxnLst>
                <a:cxn ang="0">
                  <a:pos x="58" y="68"/>
                </a:cxn>
                <a:cxn ang="0">
                  <a:pos x="0" y="63"/>
                </a:cxn>
                <a:cxn ang="0">
                  <a:pos x="5" y="0"/>
                </a:cxn>
                <a:cxn ang="0">
                  <a:pos x="63" y="5"/>
                </a:cxn>
                <a:cxn ang="0">
                  <a:pos x="58" y="7"/>
                </a:cxn>
                <a:cxn ang="0">
                  <a:pos x="7" y="5"/>
                </a:cxn>
                <a:cxn ang="0">
                  <a:pos x="5" y="17"/>
                </a:cxn>
                <a:cxn ang="0">
                  <a:pos x="56" y="19"/>
                </a:cxn>
                <a:cxn ang="0">
                  <a:pos x="58" y="7"/>
                </a:cxn>
                <a:cxn ang="0">
                  <a:pos x="5" y="29"/>
                </a:cxn>
                <a:cxn ang="0">
                  <a:pos x="14" y="29"/>
                </a:cxn>
                <a:cxn ang="0">
                  <a:pos x="9" y="39"/>
                </a:cxn>
                <a:cxn ang="0">
                  <a:pos x="9" y="48"/>
                </a:cxn>
                <a:cxn ang="0">
                  <a:pos x="9" y="39"/>
                </a:cxn>
                <a:cxn ang="0">
                  <a:pos x="5" y="58"/>
                </a:cxn>
                <a:cxn ang="0">
                  <a:pos x="14" y="58"/>
                </a:cxn>
                <a:cxn ang="0">
                  <a:pos x="24" y="24"/>
                </a:cxn>
                <a:cxn ang="0">
                  <a:pos x="24" y="34"/>
                </a:cxn>
                <a:cxn ang="0">
                  <a:pos x="24" y="24"/>
                </a:cxn>
                <a:cxn ang="0">
                  <a:pos x="19" y="43"/>
                </a:cxn>
                <a:cxn ang="0">
                  <a:pos x="29" y="43"/>
                </a:cxn>
                <a:cxn ang="0">
                  <a:pos x="24" y="53"/>
                </a:cxn>
                <a:cxn ang="0">
                  <a:pos x="24" y="63"/>
                </a:cxn>
                <a:cxn ang="0">
                  <a:pos x="24" y="53"/>
                </a:cxn>
                <a:cxn ang="0">
                  <a:pos x="34" y="29"/>
                </a:cxn>
                <a:cxn ang="0">
                  <a:pos x="43" y="29"/>
                </a:cxn>
                <a:cxn ang="0">
                  <a:pos x="39" y="39"/>
                </a:cxn>
                <a:cxn ang="0">
                  <a:pos x="39" y="48"/>
                </a:cxn>
                <a:cxn ang="0">
                  <a:pos x="39" y="39"/>
                </a:cxn>
                <a:cxn ang="0">
                  <a:pos x="34" y="58"/>
                </a:cxn>
                <a:cxn ang="0">
                  <a:pos x="43" y="58"/>
                </a:cxn>
                <a:cxn ang="0">
                  <a:pos x="53" y="24"/>
                </a:cxn>
                <a:cxn ang="0">
                  <a:pos x="53" y="34"/>
                </a:cxn>
                <a:cxn ang="0">
                  <a:pos x="53" y="24"/>
                </a:cxn>
                <a:cxn ang="0">
                  <a:pos x="53" y="39"/>
                </a:cxn>
                <a:cxn ang="0">
                  <a:pos x="48" y="58"/>
                </a:cxn>
                <a:cxn ang="0">
                  <a:pos x="58" y="58"/>
                </a:cxn>
              </a:cxnLst>
              <a:rect l="0" t="0" r="r" b="b"/>
              <a:pathLst>
                <a:path w="63" h="68">
                  <a:moveTo>
                    <a:pt x="63" y="63"/>
                  </a:moveTo>
                  <a:cubicBezTo>
                    <a:pt x="63" y="66"/>
                    <a:pt x="61" y="68"/>
                    <a:pt x="58" y="68"/>
                  </a:cubicBezTo>
                  <a:cubicBezTo>
                    <a:pt x="5" y="68"/>
                    <a:pt x="5" y="68"/>
                    <a:pt x="5" y="68"/>
                  </a:cubicBezTo>
                  <a:cubicBezTo>
                    <a:pt x="2" y="68"/>
                    <a:pt x="0" y="66"/>
                    <a:pt x="0" y="63"/>
                  </a:cubicBezTo>
                  <a:cubicBezTo>
                    <a:pt x="0" y="5"/>
                    <a:pt x="0" y="5"/>
                    <a:pt x="0" y="5"/>
                  </a:cubicBezTo>
                  <a:cubicBezTo>
                    <a:pt x="0" y="2"/>
                    <a:pt x="2" y="0"/>
                    <a:pt x="5" y="0"/>
                  </a:cubicBezTo>
                  <a:cubicBezTo>
                    <a:pt x="58" y="0"/>
                    <a:pt x="58" y="0"/>
                    <a:pt x="58" y="0"/>
                  </a:cubicBezTo>
                  <a:cubicBezTo>
                    <a:pt x="61" y="0"/>
                    <a:pt x="63" y="2"/>
                    <a:pt x="63" y="5"/>
                  </a:cubicBezTo>
                  <a:lnTo>
                    <a:pt x="63" y="63"/>
                  </a:lnTo>
                  <a:close/>
                  <a:moveTo>
                    <a:pt x="58" y="7"/>
                  </a:moveTo>
                  <a:cubicBezTo>
                    <a:pt x="58" y="6"/>
                    <a:pt x="57" y="5"/>
                    <a:pt x="56" y="5"/>
                  </a:cubicBezTo>
                  <a:cubicBezTo>
                    <a:pt x="7" y="5"/>
                    <a:pt x="7" y="5"/>
                    <a:pt x="7" y="5"/>
                  </a:cubicBezTo>
                  <a:cubicBezTo>
                    <a:pt x="6" y="5"/>
                    <a:pt x="5" y="6"/>
                    <a:pt x="5" y="7"/>
                  </a:cubicBezTo>
                  <a:cubicBezTo>
                    <a:pt x="5" y="17"/>
                    <a:pt x="5" y="17"/>
                    <a:pt x="5" y="17"/>
                  </a:cubicBezTo>
                  <a:cubicBezTo>
                    <a:pt x="5" y="18"/>
                    <a:pt x="6" y="19"/>
                    <a:pt x="7" y="19"/>
                  </a:cubicBezTo>
                  <a:cubicBezTo>
                    <a:pt x="56" y="19"/>
                    <a:pt x="56" y="19"/>
                    <a:pt x="56" y="19"/>
                  </a:cubicBezTo>
                  <a:cubicBezTo>
                    <a:pt x="57" y="19"/>
                    <a:pt x="58" y="18"/>
                    <a:pt x="58" y="17"/>
                  </a:cubicBezTo>
                  <a:lnTo>
                    <a:pt x="58" y="7"/>
                  </a:lnTo>
                  <a:close/>
                  <a:moveTo>
                    <a:pt x="9" y="24"/>
                  </a:moveTo>
                  <a:cubicBezTo>
                    <a:pt x="7" y="24"/>
                    <a:pt x="5" y="26"/>
                    <a:pt x="5" y="29"/>
                  </a:cubicBezTo>
                  <a:cubicBezTo>
                    <a:pt x="5" y="32"/>
                    <a:pt x="7" y="34"/>
                    <a:pt x="9" y="34"/>
                  </a:cubicBezTo>
                  <a:cubicBezTo>
                    <a:pt x="12" y="34"/>
                    <a:pt x="14" y="32"/>
                    <a:pt x="14" y="29"/>
                  </a:cubicBezTo>
                  <a:cubicBezTo>
                    <a:pt x="14" y="26"/>
                    <a:pt x="12" y="24"/>
                    <a:pt x="9" y="24"/>
                  </a:cubicBezTo>
                  <a:close/>
                  <a:moveTo>
                    <a:pt x="9" y="39"/>
                  </a:moveTo>
                  <a:cubicBezTo>
                    <a:pt x="7" y="39"/>
                    <a:pt x="5" y="41"/>
                    <a:pt x="5" y="43"/>
                  </a:cubicBezTo>
                  <a:cubicBezTo>
                    <a:pt x="5" y="46"/>
                    <a:pt x="7" y="48"/>
                    <a:pt x="9" y="48"/>
                  </a:cubicBezTo>
                  <a:cubicBezTo>
                    <a:pt x="12" y="48"/>
                    <a:pt x="14" y="46"/>
                    <a:pt x="14" y="43"/>
                  </a:cubicBezTo>
                  <a:cubicBezTo>
                    <a:pt x="14" y="41"/>
                    <a:pt x="12" y="39"/>
                    <a:pt x="9" y="39"/>
                  </a:cubicBezTo>
                  <a:close/>
                  <a:moveTo>
                    <a:pt x="9" y="53"/>
                  </a:moveTo>
                  <a:cubicBezTo>
                    <a:pt x="7" y="53"/>
                    <a:pt x="5" y="55"/>
                    <a:pt x="5" y="58"/>
                  </a:cubicBezTo>
                  <a:cubicBezTo>
                    <a:pt x="5" y="61"/>
                    <a:pt x="7" y="63"/>
                    <a:pt x="9" y="63"/>
                  </a:cubicBezTo>
                  <a:cubicBezTo>
                    <a:pt x="12" y="63"/>
                    <a:pt x="14" y="61"/>
                    <a:pt x="14" y="58"/>
                  </a:cubicBezTo>
                  <a:cubicBezTo>
                    <a:pt x="14" y="55"/>
                    <a:pt x="12" y="53"/>
                    <a:pt x="9" y="53"/>
                  </a:cubicBezTo>
                  <a:close/>
                  <a:moveTo>
                    <a:pt x="24" y="24"/>
                  </a:moveTo>
                  <a:cubicBezTo>
                    <a:pt x="21" y="24"/>
                    <a:pt x="19" y="26"/>
                    <a:pt x="19" y="29"/>
                  </a:cubicBezTo>
                  <a:cubicBezTo>
                    <a:pt x="19" y="32"/>
                    <a:pt x="21" y="34"/>
                    <a:pt x="24" y="34"/>
                  </a:cubicBezTo>
                  <a:cubicBezTo>
                    <a:pt x="27" y="34"/>
                    <a:pt x="29" y="32"/>
                    <a:pt x="29" y="29"/>
                  </a:cubicBezTo>
                  <a:cubicBezTo>
                    <a:pt x="29" y="26"/>
                    <a:pt x="27" y="24"/>
                    <a:pt x="24" y="24"/>
                  </a:cubicBezTo>
                  <a:close/>
                  <a:moveTo>
                    <a:pt x="24" y="39"/>
                  </a:moveTo>
                  <a:cubicBezTo>
                    <a:pt x="21" y="39"/>
                    <a:pt x="19" y="41"/>
                    <a:pt x="19" y="43"/>
                  </a:cubicBezTo>
                  <a:cubicBezTo>
                    <a:pt x="19" y="46"/>
                    <a:pt x="21" y="48"/>
                    <a:pt x="24" y="48"/>
                  </a:cubicBezTo>
                  <a:cubicBezTo>
                    <a:pt x="27" y="48"/>
                    <a:pt x="29" y="46"/>
                    <a:pt x="29" y="43"/>
                  </a:cubicBezTo>
                  <a:cubicBezTo>
                    <a:pt x="29" y="41"/>
                    <a:pt x="27" y="39"/>
                    <a:pt x="24" y="39"/>
                  </a:cubicBezTo>
                  <a:close/>
                  <a:moveTo>
                    <a:pt x="24" y="53"/>
                  </a:moveTo>
                  <a:cubicBezTo>
                    <a:pt x="21" y="53"/>
                    <a:pt x="19" y="55"/>
                    <a:pt x="19" y="58"/>
                  </a:cubicBezTo>
                  <a:cubicBezTo>
                    <a:pt x="19" y="61"/>
                    <a:pt x="21" y="63"/>
                    <a:pt x="24" y="63"/>
                  </a:cubicBezTo>
                  <a:cubicBezTo>
                    <a:pt x="27" y="63"/>
                    <a:pt x="29" y="61"/>
                    <a:pt x="29" y="58"/>
                  </a:cubicBezTo>
                  <a:cubicBezTo>
                    <a:pt x="29" y="55"/>
                    <a:pt x="27" y="53"/>
                    <a:pt x="24" y="53"/>
                  </a:cubicBezTo>
                  <a:close/>
                  <a:moveTo>
                    <a:pt x="39" y="24"/>
                  </a:moveTo>
                  <a:cubicBezTo>
                    <a:pt x="36" y="24"/>
                    <a:pt x="34" y="26"/>
                    <a:pt x="34" y="29"/>
                  </a:cubicBezTo>
                  <a:cubicBezTo>
                    <a:pt x="34" y="32"/>
                    <a:pt x="36" y="34"/>
                    <a:pt x="39" y="34"/>
                  </a:cubicBezTo>
                  <a:cubicBezTo>
                    <a:pt x="41" y="34"/>
                    <a:pt x="43" y="32"/>
                    <a:pt x="43" y="29"/>
                  </a:cubicBezTo>
                  <a:cubicBezTo>
                    <a:pt x="43" y="26"/>
                    <a:pt x="41" y="24"/>
                    <a:pt x="39" y="24"/>
                  </a:cubicBezTo>
                  <a:close/>
                  <a:moveTo>
                    <a:pt x="39" y="39"/>
                  </a:moveTo>
                  <a:cubicBezTo>
                    <a:pt x="36" y="39"/>
                    <a:pt x="34" y="41"/>
                    <a:pt x="34" y="43"/>
                  </a:cubicBezTo>
                  <a:cubicBezTo>
                    <a:pt x="34" y="46"/>
                    <a:pt x="36" y="48"/>
                    <a:pt x="39" y="48"/>
                  </a:cubicBezTo>
                  <a:cubicBezTo>
                    <a:pt x="41" y="48"/>
                    <a:pt x="43" y="46"/>
                    <a:pt x="43" y="43"/>
                  </a:cubicBezTo>
                  <a:cubicBezTo>
                    <a:pt x="43" y="41"/>
                    <a:pt x="41" y="39"/>
                    <a:pt x="39" y="39"/>
                  </a:cubicBezTo>
                  <a:close/>
                  <a:moveTo>
                    <a:pt x="39" y="53"/>
                  </a:moveTo>
                  <a:cubicBezTo>
                    <a:pt x="36" y="53"/>
                    <a:pt x="34" y="55"/>
                    <a:pt x="34" y="58"/>
                  </a:cubicBezTo>
                  <a:cubicBezTo>
                    <a:pt x="34" y="61"/>
                    <a:pt x="36" y="63"/>
                    <a:pt x="39" y="63"/>
                  </a:cubicBezTo>
                  <a:cubicBezTo>
                    <a:pt x="41" y="63"/>
                    <a:pt x="43" y="61"/>
                    <a:pt x="43" y="58"/>
                  </a:cubicBezTo>
                  <a:cubicBezTo>
                    <a:pt x="43" y="55"/>
                    <a:pt x="41" y="53"/>
                    <a:pt x="39" y="53"/>
                  </a:cubicBezTo>
                  <a:close/>
                  <a:moveTo>
                    <a:pt x="53" y="24"/>
                  </a:moveTo>
                  <a:cubicBezTo>
                    <a:pt x="51" y="24"/>
                    <a:pt x="48" y="26"/>
                    <a:pt x="48" y="29"/>
                  </a:cubicBezTo>
                  <a:cubicBezTo>
                    <a:pt x="48" y="32"/>
                    <a:pt x="51" y="34"/>
                    <a:pt x="53" y="34"/>
                  </a:cubicBezTo>
                  <a:cubicBezTo>
                    <a:pt x="56" y="34"/>
                    <a:pt x="58" y="32"/>
                    <a:pt x="58" y="29"/>
                  </a:cubicBezTo>
                  <a:cubicBezTo>
                    <a:pt x="58" y="26"/>
                    <a:pt x="56" y="24"/>
                    <a:pt x="53" y="24"/>
                  </a:cubicBezTo>
                  <a:close/>
                  <a:moveTo>
                    <a:pt x="58" y="43"/>
                  </a:moveTo>
                  <a:cubicBezTo>
                    <a:pt x="58" y="41"/>
                    <a:pt x="56" y="39"/>
                    <a:pt x="53" y="39"/>
                  </a:cubicBezTo>
                  <a:cubicBezTo>
                    <a:pt x="51" y="39"/>
                    <a:pt x="48" y="41"/>
                    <a:pt x="48" y="43"/>
                  </a:cubicBezTo>
                  <a:cubicBezTo>
                    <a:pt x="48" y="58"/>
                    <a:pt x="48" y="58"/>
                    <a:pt x="48" y="58"/>
                  </a:cubicBezTo>
                  <a:cubicBezTo>
                    <a:pt x="48" y="61"/>
                    <a:pt x="51" y="63"/>
                    <a:pt x="53" y="63"/>
                  </a:cubicBezTo>
                  <a:cubicBezTo>
                    <a:pt x="56" y="63"/>
                    <a:pt x="58" y="61"/>
                    <a:pt x="58" y="58"/>
                  </a:cubicBezTo>
                  <a:lnTo>
                    <a:pt x="58" y="43"/>
                  </a:lnTo>
                  <a:close/>
                </a:path>
              </a:pathLst>
            </a:custGeom>
            <a:solidFill>
              <a:schemeClr val="bg1">
                <a:lumMod val="65000"/>
              </a:schemeClr>
            </a:solidFill>
            <a:ln w="9525">
              <a:noFill/>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en-US"/>
            </a:p>
          </xdr:txBody>
        </xdr:sp>
        <xdr:pic>
          <xdr:nvPicPr>
            <xdr:cNvPr id="30" name="Graphic 6" descr="Coins">
              <a:extLst>
                <a:ext uri="{FF2B5EF4-FFF2-40B4-BE49-F238E27FC236}">
                  <a16:creationId xmlns:a16="http://schemas.microsoft.com/office/drawing/2014/main" id="{14D8965E-673F-41ED-9DC2-CDAF7499353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7936985" y="39688"/>
              <a:ext cx="585390" cy="243387"/>
            </a:xfrm>
            <a:prstGeom prst="rect">
              <a:avLst/>
            </a:prstGeom>
          </xdr:spPr>
        </xdr:pic>
        <xdr:graphicFrame macro="">
          <xdr:nvGraphicFramePr>
            <xdr:cNvPr id="31" name="Chart 30">
              <a:extLst>
                <a:ext uri="{FF2B5EF4-FFF2-40B4-BE49-F238E27FC236}">
                  <a16:creationId xmlns:a16="http://schemas.microsoft.com/office/drawing/2014/main" id="{9189E1AF-F80E-4A02-9B39-6F4657A008C3}"/>
                </a:ext>
              </a:extLst>
            </xdr:cNvPr>
            <xdr:cNvGraphicFramePr>
              <a:graphicFrameLocks/>
            </xdr:cNvGraphicFramePr>
          </xdr:nvGraphicFramePr>
          <xdr:xfrm>
            <a:off x="1319352" y="830561"/>
            <a:ext cx="4094127" cy="2239262"/>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32" name="Chart 31">
              <a:extLst>
                <a:ext uri="{FF2B5EF4-FFF2-40B4-BE49-F238E27FC236}">
                  <a16:creationId xmlns:a16="http://schemas.microsoft.com/office/drawing/2014/main" id="{3124BDCB-A63F-4600-986A-5C3BED5B4BE8}"/>
                </a:ext>
              </a:extLst>
            </xdr:cNvPr>
            <xdr:cNvGraphicFramePr>
              <a:graphicFrameLocks/>
            </xdr:cNvGraphicFramePr>
          </xdr:nvGraphicFramePr>
          <xdr:xfrm>
            <a:off x="1319351" y="3087893"/>
            <a:ext cx="4094128" cy="2003417"/>
          </xdr:xfrm>
          <a:graphic>
            <a:graphicData uri="http://schemas.openxmlformats.org/drawingml/2006/chart">
              <c:chart xmlns:c="http://schemas.openxmlformats.org/drawingml/2006/chart" xmlns:r="http://schemas.openxmlformats.org/officeDocument/2006/relationships" r:id="rId4"/>
            </a:graphicData>
          </a:graphic>
        </xdr:graphicFrame>
        <xdr:graphicFrame macro="">
          <xdr:nvGraphicFramePr>
            <xdr:cNvPr id="34" name="Chart 33">
              <a:extLst>
                <a:ext uri="{FF2B5EF4-FFF2-40B4-BE49-F238E27FC236}">
                  <a16:creationId xmlns:a16="http://schemas.microsoft.com/office/drawing/2014/main" id="{658FE08C-BDE5-4833-B08F-28F7054189BA}"/>
                </a:ext>
              </a:extLst>
            </xdr:cNvPr>
            <xdr:cNvGraphicFramePr>
              <a:graphicFrameLocks/>
            </xdr:cNvGraphicFramePr>
          </xdr:nvGraphicFramePr>
          <xdr:xfrm>
            <a:off x="9927161" y="3602286"/>
            <a:ext cx="3618131" cy="1494337"/>
          </xdr:xfrm>
          <a:graphic>
            <a:graphicData uri="http://schemas.openxmlformats.org/drawingml/2006/chart">
              <c:chart xmlns:c="http://schemas.openxmlformats.org/drawingml/2006/chart" xmlns:r="http://schemas.openxmlformats.org/officeDocument/2006/relationships" r:id="rId5"/>
            </a:graphicData>
          </a:graphic>
        </xdr:graphicFrame>
        <xdr:graphicFrame macro="">
          <xdr:nvGraphicFramePr>
            <xdr:cNvPr id="35" name="Chart 34">
              <a:extLst>
                <a:ext uri="{FF2B5EF4-FFF2-40B4-BE49-F238E27FC236}">
                  <a16:creationId xmlns:a16="http://schemas.microsoft.com/office/drawing/2014/main" id="{441FC409-1043-4A46-9ADD-10D29309D6E4}"/>
                </a:ext>
              </a:extLst>
            </xdr:cNvPr>
            <xdr:cNvGraphicFramePr>
              <a:graphicFrameLocks/>
            </xdr:cNvGraphicFramePr>
          </xdr:nvGraphicFramePr>
          <xdr:xfrm>
            <a:off x="5423400" y="836532"/>
            <a:ext cx="4483914" cy="4260091"/>
          </xdr:xfrm>
          <a:graphic>
            <a:graphicData uri="http://schemas.openxmlformats.org/drawingml/2006/chart">
              <c:chart xmlns:c="http://schemas.openxmlformats.org/drawingml/2006/chart" xmlns:r="http://schemas.openxmlformats.org/officeDocument/2006/relationships" r:id="rId6"/>
            </a:graphicData>
          </a:graphic>
        </xdr:graphicFrame>
        <xdr:graphicFrame macro="">
          <xdr:nvGraphicFramePr>
            <xdr:cNvPr id="36" name="Chart 35">
              <a:extLst>
                <a:ext uri="{FF2B5EF4-FFF2-40B4-BE49-F238E27FC236}">
                  <a16:creationId xmlns:a16="http://schemas.microsoft.com/office/drawing/2014/main" id="{97E66290-8518-4356-A832-30E33C62019E}"/>
                </a:ext>
              </a:extLst>
            </xdr:cNvPr>
            <xdr:cNvGraphicFramePr>
              <a:graphicFrameLocks/>
            </xdr:cNvGraphicFramePr>
          </xdr:nvGraphicFramePr>
          <xdr:xfrm>
            <a:off x="9927159" y="836530"/>
            <a:ext cx="3622449" cy="2763178"/>
          </xdr:xfrm>
          <a:graphic>
            <a:graphicData uri="http://schemas.openxmlformats.org/drawingml/2006/chart">
              <c:chart xmlns:c="http://schemas.openxmlformats.org/drawingml/2006/chart" xmlns:r="http://schemas.openxmlformats.org/officeDocument/2006/relationships" r:id="rId7"/>
            </a:graphicData>
          </a:graphic>
        </xdr:graphicFrame>
        <xdr:sp macro="" textlink="">
          <xdr:nvSpPr>
            <xdr:cNvPr id="52" name="TextBox 51">
              <a:extLst>
                <a:ext uri="{FF2B5EF4-FFF2-40B4-BE49-F238E27FC236}">
                  <a16:creationId xmlns:a16="http://schemas.microsoft.com/office/drawing/2014/main" id="{65B17533-A729-46FD-B659-F6A469F0EBCA}"/>
                </a:ext>
              </a:extLst>
            </xdr:cNvPr>
            <xdr:cNvSpPr txBox="1"/>
          </xdr:nvSpPr>
          <xdr:spPr>
            <a:xfrm>
              <a:off x="39688" y="19844"/>
              <a:ext cx="1249898" cy="7373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solidFill>
                    <a:srgbClr val="FFFF00"/>
                  </a:solidFill>
                  <a:latin typeface="Arial" panose="020B0604020202020204" pitchFamily="34" charset="0"/>
                  <a:cs typeface="Arial" panose="020B0604020202020204" pitchFamily="34" charset="0"/>
                </a:rPr>
                <a:t>BÁO CÁO TUYỂN DỤNG</a:t>
              </a:r>
            </a:p>
          </xdr:txBody>
        </xdr:sp>
        <xdr:grpSp>
          <xdr:nvGrpSpPr>
            <xdr:cNvPr id="60" name="Group 59">
              <a:extLst>
                <a:ext uri="{FF2B5EF4-FFF2-40B4-BE49-F238E27FC236}">
                  <a16:creationId xmlns:a16="http://schemas.microsoft.com/office/drawing/2014/main" id="{10AFBADD-6C4D-4243-B379-FCE7230FEF8C}"/>
                </a:ext>
              </a:extLst>
            </xdr:cNvPr>
            <xdr:cNvGrpSpPr/>
          </xdr:nvGrpSpPr>
          <xdr:grpSpPr>
            <a:xfrm>
              <a:off x="1299507" y="0"/>
              <a:ext cx="12223519" cy="806765"/>
              <a:chOff x="1309687" y="0"/>
              <a:chExt cx="13726609" cy="803672"/>
            </a:xfrm>
          </xdr:grpSpPr>
          <xdr:sp macro="" textlink="">
            <xdr:nvSpPr>
              <xdr:cNvPr id="37" name="Rectangle 36">
                <a:extLst>
                  <a:ext uri="{FF2B5EF4-FFF2-40B4-BE49-F238E27FC236}">
                    <a16:creationId xmlns:a16="http://schemas.microsoft.com/office/drawing/2014/main" id="{80761A61-167B-45B4-B4C6-5277BAFF293D}"/>
                  </a:ext>
                </a:extLst>
              </xdr:cNvPr>
              <xdr:cNvSpPr/>
            </xdr:nvSpPr>
            <xdr:spPr>
              <a:xfrm>
                <a:off x="1309688" y="0"/>
                <a:ext cx="1961999" cy="406251"/>
              </a:xfrm>
              <a:prstGeom prst="rect">
                <a:avLst/>
              </a:prstGeom>
              <a:solidFill>
                <a:schemeClr val="accent3">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rgbClr val="C00000"/>
                    </a:solidFill>
                    <a:latin typeface="Arial" panose="020B0604020202020204" pitchFamily="34" charset="0"/>
                    <a:cs typeface="Arial" panose="020B0604020202020204" pitchFamily="34" charset="0"/>
                  </a:rPr>
                  <a:t>TỔNG</a:t>
                </a:r>
                <a:r>
                  <a:rPr lang="en-US" sz="1100" b="1" baseline="0">
                    <a:solidFill>
                      <a:srgbClr val="C00000"/>
                    </a:solidFill>
                    <a:latin typeface="Arial" panose="020B0604020202020204" pitchFamily="34" charset="0"/>
                    <a:cs typeface="Arial" panose="020B0604020202020204" pitchFamily="34" charset="0"/>
                  </a:rPr>
                  <a:t> CHI PHÍ</a:t>
                </a:r>
                <a:endParaRPr lang="en-US" sz="1100" b="1">
                  <a:solidFill>
                    <a:srgbClr val="C00000"/>
                  </a:solidFill>
                  <a:latin typeface="Arial" panose="020B0604020202020204" pitchFamily="34" charset="0"/>
                  <a:cs typeface="Arial" panose="020B0604020202020204" pitchFamily="34" charset="0"/>
                </a:endParaRPr>
              </a:p>
            </xdr:txBody>
          </xdr:sp>
          <xdr:sp macro="" textlink="">
            <xdr:nvSpPr>
              <xdr:cNvPr id="38" name="Rectangle 37">
                <a:extLst>
                  <a:ext uri="{FF2B5EF4-FFF2-40B4-BE49-F238E27FC236}">
                    <a16:creationId xmlns:a16="http://schemas.microsoft.com/office/drawing/2014/main" id="{82B98CEB-A430-45F8-B7BB-ADEC9B19F7FE}"/>
                  </a:ext>
                </a:extLst>
              </xdr:cNvPr>
              <xdr:cNvSpPr/>
            </xdr:nvSpPr>
            <xdr:spPr>
              <a:xfrm>
                <a:off x="3271687" y="0"/>
                <a:ext cx="1961999" cy="406251"/>
              </a:xfrm>
              <a:prstGeom prst="rect">
                <a:avLst/>
              </a:prstGeom>
              <a:solidFill>
                <a:schemeClr val="accent3">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rgbClr val="C00000"/>
                    </a:solidFill>
                    <a:latin typeface="Arial" panose="020B0604020202020204" pitchFamily="34" charset="0"/>
                    <a:cs typeface="Arial" panose="020B0604020202020204" pitchFamily="34" charset="0"/>
                  </a:rPr>
                  <a:t>TỔNG</a:t>
                </a:r>
                <a:r>
                  <a:rPr lang="en-US" sz="1100" b="1" baseline="0">
                    <a:solidFill>
                      <a:srgbClr val="C00000"/>
                    </a:solidFill>
                    <a:latin typeface="Arial" panose="020B0604020202020204" pitchFamily="34" charset="0"/>
                    <a:cs typeface="Arial" panose="020B0604020202020204" pitchFamily="34" charset="0"/>
                  </a:rPr>
                  <a:t> CV</a:t>
                </a:r>
                <a:endParaRPr lang="en-US" sz="1100" b="1">
                  <a:solidFill>
                    <a:srgbClr val="C00000"/>
                  </a:solidFill>
                  <a:latin typeface="Arial" panose="020B0604020202020204" pitchFamily="34" charset="0"/>
                  <a:cs typeface="Arial" panose="020B0604020202020204" pitchFamily="34" charset="0"/>
                </a:endParaRPr>
              </a:p>
            </xdr:txBody>
          </xdr:sp>
          <xdr:sp macro="" textlink="">
            <xdr:nvSpPr>
              <xdr:cNvPr id="39" name="Rectangle 38">
                <a:extLst>
                  <a:ext uri="{FF2B5EF4-FFF2-40B4-BE49-F238E27FC236}">
                    <a16:creationId xmlns:a16="http://schemas.microsoft.com/office/drawing/2014/main" id="{3D2679C4-0F1E-467B-B96B-B333DEAA88AE}"/>
                  </a:ext>
                </a:extLst>
              </xdr:cNvPr>
              <xdr:cNvSpPr/>
            </xdr:nvSpPr>
            <xdr:spPr>
              <a:xfrm>
                <a:off x="5233688" y="0"/>
                <a:ext cx="1961999" cy="406251"/>
              </a:xfrm>
              <a:prstGeom prst="rect">
                <a:avLst/>
              </a:prstGeom>
              <a:solidFill>
                <a:schemeClr val="accent3">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rgbClr val="C00000"/>
                    </a:solidFill>
                    <a:latin typeface="Arial" panose="020B0604020202020204" pitchFamily="34" charset="0"/>
                    <a:cs typeface="Arial" panose="020B0604020202020204" pitchFamily="34" charset="0"/>
                  </a:rPr>
                  <a:t>PASS</a:t>
                </a:r>
                <a:r>
                  <a:rPr lang="en-US" sz="1100" b="1" baseline="0">
                    <a:solidFill>
                      <a:srgbClr val="C00000"/>
                    </a:solidFill>
                    <a:latin typeface="Arial" panose="020B0604020202020204" pitchFamily="34" charset="0"/>
                    <a:cs typeface="Arial" panose="020B0604020202020204" pitchFamily="34" charset="0"/>
                  </a:rPr>
                  <a:t> VÒNG 1</a:t>
                </a:r>
                <a:endParaRPr lang="en-US" sz="1100" b="1">
                  <a:solidFill>
                    <a:srgbClr val="C00000"/>
                  </a:solidFill>
                  <a:latin typeface="Arial" panose="020B0604020202020204" pitchFamily="34" charset="0"/>
                  <a:cs typeface="Arial" panose="020B0604020202020204" pitchFamily="34" charset="0"/>
                </a:endParaRPr>
              </a:p>
            </xdr:txBody>
          </xdr:sp>
          <xdr:sp macro="" textlink="">
            <xdr:nvSpPr>
              <xdr:cNvPr id="40" name="Rectangle 39">
                <a:extLst>
                  <a:ext uri="{FF2B5EF4-FFF2-40B4-BE49-F238E27FC236}">
                    <a16:creationId xmlns:a16="http://schemas.microsoft.com/office/drawing/2014/main" id="{30287CEE-C63C-4A17-87AF-6B40E5B34B14}"/>
                  </a:ext>
                </a:extLst>
              </xdr:cNvPr>
              <xdr:cNvSpPr/>
            </xdr:nvSpPr>
            <xdr:spPr>
              <a:xfrm>
                <a:off x="7195689" y="0"/>
                <a:ext cx="1961999" cy="406251"/>
              </a:xfrm>
              <a:prstGeom prst="rect">
                <a:avLst/>
              </a:prstGeom>
              <a:solidFill>
                <a:schemeClr val="accent3">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rgbClr val="C00000"/>
                    </a:solidFill>
                    <a:latin typeface="Arial" panose="020B0604020202020204" pitchFamily="34" charset="0"/>
                    <a:cs typeface="Arial" panose="020B0604020202020204" pitchFamily="34" charset="0"/>
                  </a:rPr>
                  <a:t>PASS</a:t>
                </a:r>
                <a:r>
                  <a:rPr lang="en-US" sz="1100" b="1" baseline="0">
                    <a:solidFill>
                      <a:srgbClr val="C00000"/>
                    </a:solidFill>
                    <a:latin typeface="Arial" panose="020B0604020202020204" pitchFamily="34" charset="0"/>
                    <a:cs typeface="Arial" panose="020B0604020202020204" pitchFamily="34" charset="0"/>
                  </a:rPr>
                  <a:t> VÒNG 2</a:t>
                </a:r>
                <a:endParaRPr lang="en-US" sz="1100" b="1">
                  <a:solidFill>
                    <a:srgbClr val="C00000"/>
                  </a:solidFill>
                  <a:latin typeface="Arial" panose="020B0604020202020204" pitchFamily="34" charset="0"/>
                  <a:cs typeface="Arial" panose="020B0604020202020204" pitchFamily="34" charset="0"/>
                </a:endParaRPr>
              </a:p>
            </xdr:txBody>
          </xdr:sp>
          <xdr:sp macro="" textlink="">
            <xdr:nvSpPr>
              <xdr:cNvPr id="41" name="Rectangle 40">
                <a:extLst>
                  <a:ext uri="{FF2B5EF4-FFF2-40B4-BE49-F238E27FC236}">
                    <a16:creationId xmlns:a16="http://schemas.microsoft.com/office/drawing/2014/main" id="{7D56B2E8-6C77-4577-A3F9-1F219BCD59A8}"/>
                  </a:ext>
                </a:extLst>
              </xdr:cNvPr>
              <xdr:cNvSpPr/>
            </xdr:nvSpPr>
            <xdr:spPr>
              <a:xfrm>
                <a:off x="9157688" y="0"/>
                <a:ext cx="1961999" cy="406251"/>
              </a:xfrm>
              <a:prstGeom prst="rect">
                <a:avLst/>
              </a:prstGeom>
              <a:solidFill>
                <a:schemeClr val="accent3">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rgbClr val="C00000"/>
                    </a:solidFill>
                    <a:latin typeface="Arial" panose="020B0604020202020204" pitchFamily="34" charset="0"/>
                    <a:cs typeface="Arial" panose="020B0604020202020204" pitchFamily="34" charset="0"/>
                  </a:rPr>
                  <a:t>NHẬN</a:t>
                </a:r>
                <a:r>
                  <a:rPr lang="en-US" sz="1100" b="1" baseline="0">
                    <a:solidFill>
                      <a:srgbClr val="C00000"/>
                    </a:solidFill>
                    <a:latin typeface="Arial" panose="020B0604020202020204" pitchFamily="34" charset="0"/>
                    <a:cs typeface="Arial" panose="020B0604020202020204" pitchFamily="34" charset="0"/>
                  </a:rPr>
                  <a:t> VIỆC</a:t>
                </a:r>
                <a:endParaRPr lang="en-US" sz="1100" b="1">
                  <a:solidFill>
                    <a:srgbClr val="C00000"/>
                  </a:solidFill>
                  <a:latin typeface="Arial" panose="020B0604020202020204" pitchFamily="34" charset="0"/>
                  <a:cs typeface="Arial" panose="020B0604020202020204" pitchFamily="34" charset="0"/>
                </a:endParaRPr>
              </a:p>
            </xdr:txBody>
          </xdr:sp>
          <xdr:sp macro="" textlink="">
            <xdr:nvSpPr>
              <xdr:cNvPr id="42" name="Rectangle 41">
                <a:extLst>
                  <a:ext uri="{FF2B5EF4-FFF2-40B4-BE49-F238E27FC236}">
                    <a16:creationId xmlns:a16="http://schemas.microsoft.com/office/drawing/2014/main" id="{21234ACB-67FB-420B-BFB6-D5A377D6E442}"/>
                  </a:ext>
                </a:extLst>
              </xdr:cNvPr>
              <xdr:cNvSpPr/>
            </xdr:nvSpPr>
            <xdr:spPr>
              <a:xfrm>
                <a:off x="11119688" y="0"/>
                <a:ext cx="1961999" cy="406251"/>
              </a:xfrm>
              <a:prstGeom prst="rect">
                <a:avLst/>
              </a:prstGeom>
              <a:solidFill>
                <a:schemeClr val="accent3">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rgbClr val="C00000"/>
                    </a:solidFill>
                    <a:latin typeface="Arial" panose="020B0604020202020204" pitchFamily="34" charset="0"/>
                    <a:cs typeface="Arial" panose="020B0604020202020204" pitchFamily="34" charset="0"/>
                  </a:rPr>
                  <a:t>CHI PHÍ/CV</a:t>
                </a:r>
              </a:p>
            </xdr:txBody>
          </xdr:sp>
          <xdr:sp macro="" textlink="'Phân tích'!A3">
            <xdr:nvSpPr>
              <xdr:cNvPr id="45" name="Rectangle 44">
                <a:extLst>
                  <a:ext uri="{FF2B5EF4-FFF2-40B4-BE49-F238E27FC236}">
                    <a16:creationId xmlns:a16="http://schemas.microsoft.com/office/drawing/2014/main" id="{3DF5F91F-A7CD-4715-8A36-22C014DEFF72}"/>
                  </a:ext>
                </a:extLst>
              </xdr:cNvPr>
              <xdr:cNvSpPr/>
            </xdr:nvSpPr>
            <xdr:spPr>
              <a:xfrm>
                <a:off x="1309687" y="397421"/>
                <a:ext cx="1961999" cy="406251"/>
              </a:xfrm>
              <a:prstGeom prst="rect">
                <a:avLst/>
              </a:prstGeom>
              <a:solidFill>
                <a:schemeClr val="accent3">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C6F5A46D-45C3-491D-82D1-70BEF5395305}" type="TxLink">
                  <a:rPr lang="en-US" sz="1400" b="1" i="0" u="none" strike="noStrike">
                    <a:solidFill>
                      <a:srgbClr val="002060"/>
                    </a:solidFill>
                    <a:latin typeface="Arial" panose="020B0604020202020204" pitchFamily="34" charset="0"/>
                    <a:cs typeface="Arial" panose="020B0604020202020204" pitchFamily="34" charset="0"/>
                  </a:rPr>
                  <a:pPr algn="ctr"/>
                  <a:t>99.5M</a:t>
                </a:fld>
                <a:endParaRPr lang="en-US" sz="1400" b="1">
                  <a:solidFill>
                    <a:srgbClr val="002060"/>
                  </a:solidFill>
                  <a:latin typeface="Arial" panose="020B0604020202020204" pitchFamily="34" charset="0"/>
                  <a:cs typeface="Arial" panose="020B0604020202020204" pitchFamily="34" charset="0"/>
                </a:endParaRPr>
              </a:p>
            </xdr:txBody>
          </xdr:sp>
          <xdr:sp macro="" textlink="'Phân tích'!B6">
            <xdr:nvSpPr>
              <xdr:cNvPr id="46" name="Rectangle 45">
                <a:extLst>
                  <a:ext uri="{FF2B5EF4-FFF2-40B4-BE49-F238E27FC236}">
                    <a16:creationId xmlns:a16="http://schemas.microsoft.com/office/drawing/2014/main" id="{5D61737F-A79D-4A21-8C3E-CE683441565A}"/>
                  </a:ext>
                </a:extLst>
              </xdr:cNvPr>
              <xdr:cNvSpPr/>
            </xdr:nvSpPr>
            <xdr:spPr>
              <a:xfrm>
                <a:off x="3271686" y="397421"/>
                <a:ext cx="1961999" cy="406251"/>
              </a:xfrm>
              <a:prstGeom prst="rect">
                <a:avLst/>
              </a:prstGeom>
              <a:solidFill>
                <a:schemeClr val="accent3">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29E73481-7CAF-438A-A6CF-F79AA1BE9008}" type="TxLink">
                  <a:rPr lang="en-US" sz="1400" b="1" i="0" u="none" strike="noStrike">
                    <a:solidFill>
                      <a:srgbClr val="002060"/>
                    </a:solidFill>
                    <a:latin typeface="Arial" panose="020B0604020202020204" pitchFamily="34" charset="0"/>
                    <a:cs typeface="Arial" panose="020B0604020202020204" pitchFamily="34" charset="0"/>
                  </a:rPr>
                  <a:pPr algn="ctr"/>
                  <a:t>620</a:t>
                </a:fld>
                <a:endParaRPr lang="en-US" sz="1400" b="1">
                  <a:solidFill>
                    <a:srgbClr val="002060"/>
                  </a:solidFill>
                  <a:latin typeface="Arial" panose="020B0604020202020204" pitchFamily="34" charset="0"/>
                  <a:cs typeface="Arial" panose="020B0604020202020204" pitchFamily="34" charset="0"/>
                </a:endParaRPr>
              </a:p>
            </xdr:txBody>
          </xdr:sp>
          <xdr:sp macro="" textlink="'Phân tích'!B7">
            <xdr:nvSpPr>
              <xdr:cNvPr id="47" name="Rectangle 46">
                <a:extLst>
                  <a:ext uri="{FF2B5EF4-FFF2-40B4-BE49-F238E27FC236}">
                    <a16:creationId xmlns:a16="http://schemas.microsoft.com/office/drawing/2014/main" id="{018D0DCD-7311-403F-B5DF-557E04BA057E}"/>
                  </a:ext>
                </a:extLst>
              </xdr:cNvPr>
              <xdr:cNvSpPr/>
            </xdr:nvSpPr>
            <xdr:spPr>
              <a:xfrm>
                <a:off x="5233687" y="397421"/>
                <a:ext cx="1961999" cy="406251"/>
              </a:xfrm>
              <a:prstGeom prst="rect">
                <a:avLst/>
              </a:prstGeom>
              <a:solidFill>
                <a:schemeClr val="accent3">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CE602F89-5600-4B28-9A7C-4F1548D04E6E}" type="TxLink">
                  <a:rPr lang="en-US" sz="1400" b="1" i="0" u="none" strike="noStrike">
                    <a:solidFill>
                      <a:srgbClr val="002060"/>
                    </a:solidFill>
                    <a:latin typeface="Arial" panose="020B0604020202020204" pitchFamily="34" charset="0"/>
                    <a:cs typeface="Arial" panose="020B0604020202020204" pitchFamily="34" charset="0"/>
                  </a:rPr>
                  <a:pPr algn="ctr"/>
                  <a:t>362</a:t>
                </a:fld>
                <a:endParaRPr lang="en-US" sz="1400" b="1">
                  <a:solidFill>
                    <a:srgbClr val="002060"/>
                  </a:solidFill>
                  <a:latin typeface="Arial" panose="020B0604020202020204" pitchFamily="34" charset="0"/>
                  <a:cs typeface="Arial" panose="020B0604020202020204" pitchFamily="34" charset="0"/>
                </a:endParaRPr>
              </a:p>
            </xdr:txBody>
          </xdr:sp>
          <xdr:sp macro="" textlink="'Phân tích'!B8">
            <xdr:nvSpPr>
              <xdr:cNvPr id="48" name="Rectangle 47">
                <a:extLst>
                  <a:ext uri="{FF2B5EF4-FFF2-40B4-BE49-F238E27FC236}">
                    <a16:creationId xmlns:a16="http://schemas.microsoft.com/office/drawing/2014/main" id="{4DE2FEE8-73CE-4DA9-A3B4-AE66D1A8C6C0}"/>
                  </a:ext>
                </a:extLst>
              </xdr:cNvPr>
              <xdr:cNvSpPr/>
            </xdr:nvSpPr>
            <xdr:spPr>
              <a:xfrm>
                <a:off x="7195688" y="397421"/>
                <a:ext cx="1961999" cy="406251"/>
              </a:xfrm>
              <a:prstGeom prst="rect">
                <a:avLst/>
              </a:prstGeom>
              <a:solidFill>
                <a:schemeClr val="accent3">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802ABB46-FE4B-4EA2-B0E1-9D41EF2011C6}" type="TxLink">
                  <a:rPr lang="en-US" sz="1400" b="1" i="0" u="none" strike="noStrike">
                    <a:solidFill>
                      <a:srgbClr val="002060"/>
                    </a:solidFill>
                    <a:latin typeface="Arial" panose="020B0604020202020204" pitchFamily="34" charset="0"/>
                    <a:cs typeface="Arial" panose="020B0604020202020204" pitchFamily="34" charset="0"/>
                  </a:rPr>
                  <a:pPr algn="ctr"/>
                  <a:t>165</a:t>
                </a:fld>
                <a:endParaRPr lang="en-US" sz="1400" b="1">
                  <a:solidFill>
                    <a:srgbClr val="002060"/>
                  </a:solidFill>
                  <a:latin typeface="Arial" panose="020B0604020202020204" pitchFamily="34" charset="0"/>
                  <a:cs typeface="Arial" panose="020B0604020202020204" pitchFamily="34" charset="0"/>
                </a:endParaRPr>
              </a:p>
            </xdr:txBody>
          </xdr:sp>
          <xdr:sp macro="" textlink="'Phân tích'!E7">
            <xdr:nvSpPr>
              <xdr:cNvPr id="49" name="Rectangle 48">
                <a:extLst>
                  <a:ext uri="{FF2B5EF4-FFF2-40B4-BE49-F238E27FC236}">
                    <a16:creationId xmlns:a16="http://schemas.microsoft.com/office/drawing/2014/main" id="{E517CEDA-395B-41FE-9141-C5F75160515F}"/>
                  </a:ext>
                </a:extLst>
              </xdr:cNvPr>
              <xdr:cNvSpPr/>
            </xdr:nvSpPr>
            <xdr:spPr>
              <a:xfrm>
                <a:off x="9157687" y="397421"/>
                <a:ext cx="1961999" cy="406251"/>
              </a:xfrm>
              <a:prstGeom prst="rect">
                <a:avLst/>
              </a:prstGeom>
              <a:solidFill>
                <a:schemeClr val="accent3">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045834DA-1960-4B4E-828C-9B0AAB7D2E53}" type="TxLink">
                  <a:rPr lang="en-US" sz="1400" b="1" i="0" u="none" strike="noStrike">
                    <a:solidFill>
                      <a:srgbClr val="002060"/>
                    </a:solidFill>
                    <a:latin typeface="Arial" panose="020B0604020202020204" pitchFamily="34" charset="0"/>
                    <a:cs typeface="Arial" panose="020B0604020202020204" pitchFamily="34" charset="0"/>
                  </a:rPr>
                  <a:pPr algn="ctr"/>
                  <a:t>125</a:t>
                </a:fld>
                <a:endParaRPr lang="en-US" sz="1400" b="1">
                  <a:solidFill>
                    <a:srgbClr val="002060"/>
                  </a:solidFill>
                  <a:latin typeface="Arial" panose="020B0604020202020204" pitchFamily="34" charset="0"/>
                  <a:cs typeface="Arial" panose="020B0604020202020204" pitchFamily="34" charset="0"/>
                </a:endParaRPr>
              </a:p>
            </xdr:txBody>
          </xdr:sp>
          <xdr:sp macro="" textlink="'Phân tích'!E2">
            <xdr:nvSpPr>
              <xdr:cNvPr id="50" name="Rectangle 49">
                <a:extLst>
                  <a:ext uri="{FF2B5EF4-FFF2-40B4-BE49-F238E27FC236}">
                    <a16:creationId xmlns:a16="http://schemas.microsoft.com/office/drawing/2014/main" id="{FCC20E85-4050-4781-A3AD-894F0AB94BB5}"/>
                  </a:ext>
                </a:extLst>
              </xdr:cNvPr>
              <xdr:cNvSpPr/>
            </xdr:nvSpPr>
            <xdr:spPr>
              <a:xfrm>
                <a:off x="11119687" y="397421"/>
                <a:ext cx="1961999" cy="406251"/>
              </a:xfrm>
              <a:prstGeom prst="rect">
                <a:avLst/>
              </a:prstGeom>
              <a:solidFill>
                <a:schemeClr val="accent3">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F1547AE2-36D0-4AD2-ADC0-E7B273DE0753}" type="TxLink">
                  <a:rPr lang="en-US" sz="1400" b="1" i="0" u="none" strike="noStrike">
                    <a:solidFill>
                      <a:srgbClr val="002060"/>
                    </a:solidFill>
                    <a:latin typeface="Arial" panose="020B0604020202020204" pitchFamily="34" charset="0"/>
                    <a:cs typeface="Arial" panose="020B0604020202020204" pitchFamily="34" charset="0"/>
                  </a:rPr>
                  <a:pPr algn="ctr"/>
                  <a:t>160,494 </a:t>
                </a:fld>
                <a:endParaRPr lang="en-US" sz="1400" b="1">
                  <a:solidFill>
                    <a:srgbClr val="002060"/>
                  </a:solidFill>
                  <a:latin typeface="Arial" panose="020B0604020202020204" pitchFamily="34" charset="0"/>
                  <a:cs typeface="Arial" panose="020B0604020202020204" pitchFamily="34" charset="0"/>
                </a:endParaRPr>
              </a:p>
            </xdr:txBody>
          </xdr:sp>
          <xdr:sp macro="" textlink="">
            <xdr:nvSpPr>
              <xdr:cNvPr id="58" name="Rectangle 57">
                <a:extLst>
                  <a:ext uri="{FF2B5EF4-FFF2-40B4-BE49-F238E27FC236}">
                    <a16:creationId xmlns:a16="http://schemas.microsoft.com/office/drawing/2014/main" id="{9C461834-2F42-42B1-ACA0-BCCFA2E3A39A}"/>
                  </a:ext>
                </a:extLst>
              </xdr:cNvPr>
              <xdr:cNvSpPr/>
            </xdr:nvSpPr>
            <xdr:spPr>
              <a:xfrm>
                <a:off x="13074297" y="0"/>
                <a:ext cx="1961999" cy="406251"/>
              </a:xfrm>
              <a:prstGeom prst="rect">
                <a:avLst/>
              </a:prstGeom>
              <a:solidFill>
                <a:schemeClr val="accent3">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rgbClr val="C00000"/>
                    </a:solidFill>
                    <a:latin typeface="Arial" panose="020B0604020202020204" pitchFamily="34" charset="0"/>
                    <a:cs typeface="Arial" panose="020B0604020202020204" pitchFamily="34" charset="0"/>
                  </a:rPr>
                  <a:t>CHI PHÍ/NV</a:t>
                </a:r>
              </a:p>
            </xdr:txBody>
          </xdr:sp>
          <xdr:sp macro="" textlink="'Phân tích'!H2">
            <xdr:nvSpPr>
              <xdr:cNvPr id="59" name="Rectangle 58">
                <a:extLst>
                  <a:ext uri="{FF2B5EF4-FFF2-40B4-BE49-F238E27FC236}">
                    <a16:creationId xmlns:a16="http://schemas.microsoft.com/office/drawing/2014/main" id="{6F78A043-B5C1-47A3-B67E-11E0C512F931}"/>
                  </a:ext>
                </a:extLst>
              </xdr:cNvPr>
              <xdr:cNvSpPr/>
            </xdr:nvSpPr>
            <xdr:spPr>
              <a:xfrm>
                <a:off x="13074296" y="397421"/>
                <a:ext cx="1961999" cy="406251"/>
              </a:xfrm>
              <a:prstGeom prst="rect">
                <a:avLst/>
              </a:prstGeom>
              <a:solidFill>
                <a:schemeClr val="accent3">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AAD1644D-6E80-478F-8C62-C338C835DCF6}" type="TxLink">
                  <a:rPr lang="en-US" sz="1400" b="1" i="0" u="none" strike="noStrike">
                    <a:solidFill>
                      <a:srgbClr val="002060"/>
                    </a:solidFill>
                    <a:latin typeface="Arial" panose="020B0604020202020204" pitchFamily="34" charset="0"/>
                    <a:cs typeface="Arial" panose="020B0604020202020204" pitchFamily="34" charset="0"/>
                  </a:rPr>
                  <a:pPr algn="ctr"/>
                  <a:t>796,050 </a:t>
                </a:fld>
                <a:endParaRPr lang="en-US" sz="1400" b="1">
                  <a:solidFill>
                    <a:srgbClr val="002060"/>
                  </a:solidFill>
                  <a:latin typeface="Arial" panose="020B0604020202020204" pitchFamily="34" charset="0"/>
                  <a:cs typeface="Arial" panose="020B0604020202020204" pitchFamily="34" charset="0"/>
                </a:endParaRPr>
              </a:p>
            </xdr:txBody>
          </xdr:sp>
        </xdr:grpSp>
      </xdr:grpSp>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4560.685836689816" createdVersion="6" refreshedVersion="7" minRefreshableVersion="3" recordCount="620" xr:uid="{C901A25D-7473-48D6-A1DE-75BCA4F122B7}">
  <cacheSource type="worksheet">
    <worksheetSource name="Data_TD"/>
  </cacheSource>
  <cacheFields count="24">
    <cacheField name="STT" numFmtId="0">
      <sharedItems containsSemiMixedTypes="0" containsString="0" containsNumber="1" containsInteger="1" minValue="1" maxValue="620"/>
    </cacheField>
    <cacheField name="Ngày nhận hồ sơ" numFmtId="14">
      <sharedItems containsSemiMixedTypes="0" containsNonDate="0" containsDate="1" containsString="0" minDate="2019-01-01T00:00:00" maxDate="2019-12-28T00:00:00" count="270">
        <d v="2019-01-01T00:00:00"/>
        <d v="2019-01-02T00:00:00"/>
        <d v="2019-01-03T00:00:00"/>
        <d v="2019-01-04T00:00:00"/>
        <d v="2019-01-05T00:00:00"/>
        <d v="2019-01-06T00:00:00"/>
        <d v="2019-01-08T00:00:00"/>
        <d v="2019-01-09T00:00:00"/>
        <d v="2019-01-10T00:00:00"/>
        <d v="2019-01-11T00:00:00"/>
        <d v="2019-01-12T00:00:00"/>
        <d v="2019-01-17T00:00:00"/>
        <d v="2019-01-18T00:00:00"/>
        <d v="2019-01-19T00:00:00"/>
        <d v="2019-01-20T00:00:00"/>
        <d v="2019-01-21T00:00:00"/>
        <d v="2019-01-22T00:00:00"/>
        <d v="2019-01-23T00:00:00"/>
        <d v="2019-01-24T00:00:00"/>
        <d v="2019-01-25T00:00:00"/>
        <d v="2019-01-26T00:00:00"/>
        <d v="2019-01-27T00:00:00"/>
        <d v="2019-01-28T00:00:00"/>
        <d v="2019-01-29T00:00:00"/>
        <d v="2019-02-01T00:00:00"/>
        <d v="2019-02-02T00:00:00"/>
        <d v="2019-02-03T00:00:00"/>
        <d v="2019-02-04T00:00:00"/>
        <d v="2019-02-05T00:00:00"/>
        <d v="2019-02-06T00:00:00"/>
        <d v="2019-02-08T00:00:00"/>
        <d v="2019-02-09T00:00:00"/>
        <d v="2019-02-10T00:00:00"/>
        <d v="2019-02-11T00:00:00"/>
        <d v="2019-02-12T00:00:00"/>
        <d v="2019-02-13T00:00:00"/>
        <d v="2019-02-15T00:00:00"/>
        <d v="2019-02-16T00:00:00"/>
        <d v="2019-02-17T00:00:00"/>
        <d v="2019-02-18T00:00:00"/>
        <d v="2019-02-19T00:00:00"/>
        <d v="2019-02-20T00:00:00"/>
        <d v="2019-02-21T00:00:00"/>
        <d v="2019-02-22T00:00:00"/>
        <d v="2019-02-23T00:00:00"/>
        <d v="2019-02-24T00:00:00"/>
        <d v="2019-03-01T00:00:00"/>
        <d v="2019-03-02T00:00:00"/>
        <d v="2019-03-03T00:00:00"/>
        <d v="2019-03-04T00:00:00"/>
        <d v="2019-03-05T00:00:00"/>
        <d v="2019-03-06T00:00:00"/>
        <d v="2019-03-08T00:00:00"/>
        <d v="2019-03-09T00:00:00"/>
        <d v="2019-03-10T00:00:00"/>
        <d v="2019-03-11T00:00:00"/>
        <d v="2019-03-12T00:00:00"/>
        <d v="2019-03-13T00:00:00"/>
        <d v="2019-03-15T00:00:00"/>
        <d v="2019-03-16T00:00:00"/>
        <d v="2019-03-17T00:00:00"/>
        <d v="2019-03-18T00:00:00"/>
        <d v="2019-03-19T00:00:00"/>
        <d v="2019-03-20T00:00:00"/>
        <d v="2019-03-21T00:00:00"/>
        <d v="2019-03-22T00:00:00"/>
        <d v="2019-03-23T00:00:00"/>
        <d v="2019-03-24T00:00:00"/>
        <d v="2019-04-01T00:00:00"/>
        <d v="2019-04-02T00:00:00"/>
        <d v="2019-04-03T00:00:00"/>
        <d v="2019-04-04T00:00:00"/>
        <d v="2019-04-05T00:00:00"/>
        <d v="2019-04-06T00:00:00"/>
        <d v="2019-04-08T00:00:00"/>
        <d v="2019-04-09T00:00:00"/>
        <d v="2019-04-10T00:00:00"/>
        <d v="2019-04-11T00:00:00"/>
        <d v="2019-04-12T00:00:00"/>
        <d v="2019-04-13T00:00:00"/>
        <d v="2019-04-15T00:00:00"/>
        <d v="2019-04-16T00:00:00"/>
        <d v="2019-04-17T00:00:00"/>
        <d v="2019-04-18T00:00:00"/>
        <d v="2019-04-19T00:00:00"/>
        <d v="2019-04-20T00:00:00"/>
        <d v="2019-04-21T00:00:00"/>
        <d v="2019-04-22T00:00:00"/>
        <d v="2019-04-23T00:00:00"/>
        <d v="2019-04-24T00:00:00"/>
        <d v="2019-04-27T00:00:00"/>
        <d v="2019-05-01T00:00:00"/>
        <d v="2019-05-02T00:00:00"/>
        <d v="2019-05-03T00:00:00"/>
        <d v="2019-05-04T00:00:00"/>
        <d v="2019-05-05T00:00:00"/>
        <d v="2019-05-06T00:00:00"/>
        <d v="2019-05-08T00:00:00"/>
        <d v="2019-05-09T00:00:00"/>
        <d v="2019-05-10T00:00:00"/>
        <d v="2019-05-11T00:00:00"/>
        <d v="2019-05-12T00:00:00"/>
        <d v="2019-05-13T00:00:00"/>
        <d v="2019-05-15T00:00:00"/>
        <d v="2019-05-16T00:00:00"/>
        <d v="2019-05-17T00:00:00"/>
        <d v="2019-05-18T00:00:00"/>
        <d v="2019-05-19T00:00:00"/>
        <d v="2019-05-20T00:00:00"/>
        <d v="2019-05-21T00:00:00"/>
        <d v="2019-05-22T00:00:00"/>
        <d v="2019-05-23T00:00:00"/>
        <d v="2019-05-24T00:00:00"/>
        <d v="2019-05-27T00:00:00"/>
        <d v="2019-06-01T00:00:00"/>
        <d v="2019-06-02T00:00:00"/>
        <d v="2019-06-03T00:00:00"/>
        <d v="2019-06-04T00:00:00"/>
        <d v="2019-06-05T00:00:00"/>
        <d v="2019-06-06T00:00:00"/>
        <d v="2019-06-08T00:00:00"/>
        <d v="2019-06-09T00:00:00"/>
        <d v="2019-06-10T00:00:00"/>
        <d v="2019-06-11T00:00:00"/>
        <d v="2019-06-12T00:00:00"/>
        <d v="2019-06-13T00:00:00"/>
        <d v="2019-06-15T00:00:00"/>
        <d v="2019-06-16T00:00:00"/>
        <d v="2019-06-17T00:00:00"/>
        <d v="2019-06-18T00:00:00"/>
        <d v="2019-06-19T00:00:00"/>
        <d v="2019-06-20T00:00:00"/>
        <d v="2019-06-21T00:00:00"/>
        <d v="2019-06-22T00:00:00"/>
        <d v="2019-06-23T00:00:00"/>
        <d v="2019-06-24T00:00:00"/>
        <d v="2019-06-27T00:00:00"/>
        <d v="2019-07-01T00:00:00"/>
        <d v="2019-07-02T00:00:00"/>
        <d v="2019-07-03T00:00:00"/>
        <d v="2019-07-04T00:00:00"/>
        <d v="2019-07-05T00:00:00"/>
        <d v="2019-07-06T00:00:00"/>
        <d v="2019-07-08T00:00:00"/>
        <d v="2019-07-09T00:00:00"/>
        <d v="2019-07-10T00:00:00"/>
        <d v="2019-07-11T00:00:00"/>
        <d v="2019-07-12T00:00:00"/>
        <d v="2019-07-13T00:00:00"/>
        <d v="2019-07-15T00:00:00"/>
        <d v="2019-07-16T00:00:00"/>
        <d v="2019-07-17T00:00:00"/>
        <d v="2019-07-18T00:00:00"/>
        <d v="2019-07-19T00:00:00"/>
        <d v="2019-07-20T00:00:00"/>
        <d v="2019-07-21T00:00:00"/>
        <d v="2019-07-22T00:00:00"/>
        <d v="2019-07-23T00:00:00"/>
        <d v="2019-07-24T00:00:00"/>
        <d v="2019-07-27T00:00:00"/>
        <d v="2019-08-01T00:00:00"/>
        <d v="2019-08-02T00:00:00"/>
        <d v="2019-08-03T00:00:00"/>
        <d v="2019-08-04T00:00:00"/>
        <d v="2019-08-05T00:00:00"/>
        <d v="2019-08-06T00:00:00"/>
        <d v="2019-08-08T00:00:00"/>
        <d v="2019-08-09T00:00:00"/>
        <d v="2019-08-11T00:00:00"/>
        <d v="2019-08-12T00:00:00"/>
        <d v="2019-08-13T00:00:00"/>
        <d v="2019-08-15T00:00:00"/>
        <d v="2019-08-16T00:00:00"/>
        <d v="2019-08-17T00:00:00"/>
        <d v="2019-08-18T00:00:00"/>
        <d v="2019-08-19T00:00:00"/>
        <d v="2019-08-20T00:00:00"/>
        <d v="2019-08-21T00:00:00"/>
        <d v="2019-08-22T00:00:00"/>
        <d v="2019-08-23T00:00:00"/>
        <d v="2019-08-24T00:00:00"/>
        <d v="2019-08-27T00:00:00"/>
        <d v="2019-09-01T00:00:00"/>
        <d v="2019-09-02T00:00:00"/>
        <d v="2019-09-03T00:00:00"/>
        <d v="2019-09-04T00:00:00"/>
        <d v="2019-09-05T00:00:00"/>
        <d v="2019-09-06T00:00:00"/>
        <d v="2019-09-08T00:00:00"/>
        <d v="2019-09-09T00:00:00"/>
        <d v="2019-09-10T00:00:00"/>
        <d v="2019-09-11T00:00:00"/>
        <d v="2019-09-12T00:00:00"/>
        <d v="2019-09-13T00:00:00"/>
        <d v="2019-09-15T00:00:00"/>
        <d v="2019-09-16T00:00:00"/>
        <d v="2019-09-17T00:00:00"/>
        <d v="2019-09-18T00:00:00"/>
        <d v="2019-09-19T00:00:00"/>
        <d v="2019-09-20T00:00:00"/>
        <d v="2019-09-21T00:00:00"/>
        <d v="2019-09-22T00:00:00"/>
        <d v="2019-09-23T00:00:00"/>
        <d v="2019-09-24T00:00:00"/>
        <d v="2019-09-27T00:00:00"/>
        <d v="2019-10-01T00:00:00"/>
        <d v="2019-10-02T00:00:00"/>
        <d v="2019-10-03T00:00:00"/>
        <d v="2019-10-04T00:00:00"/>
        <d v="2019-10-05T00:00:00"/>
        <d v="2019-10-06T00:00:00"/>
        <d v="2019-10-08T00:00:00"/>
        <d v="2019-10-09T00:00:00"/>
        <d v="2019-10-10T00:00:00"/>
        <d v="2019-10-11T00:00:00"/>
        <d v="2019-10-12T00:00:00"/>
        <d v="2019-10-13T00:00:00"/>
        <d v="2019-10-15T00:00:00"/>
        <d v="2019-10-16T00:00:00"/>
        <d v="2019-10-17T00:00:00"/>
        <d v="2019-10-18T00:00:00"/>
        <d v="2019-10-19T00:00:00"/>
        <d v="2019-10-20T00:00:00"/>
        <d v="2019-10-21T00:00:00"/>
        <d v="2019-10-22T00:00:00"/>
        <d v="2019-10-23T00:00:00"/>
        <d v="2019-10-24T00:00:00"/>
        <d v="2019-10-27T00:00:00"/>
        <d v="2019-11-01T00:00:00"/>
        <d v="2019-11-02T00:00:00"/>
        <d v="2019-11-03T00:00:00"/>
        <d v="2019-11-04T00:00:00"/>
        <d v="2019-11-05T00:00:00"/>
        <d v="2019-11-06T00:00:00"/>
        <d v="2019-11-08T00:00:00"/>
        <d v="2019-11-09T00:00:00"/>
        <d v="2019-11-10T00:00:00"/>
        <d v="2019-11-11T00:00:00"/>
        <d v="2019-11-12T00:00:00"/>
        <d v="2019-11-13T00:00:00"/>
        <d v="2019-11-15T00:00:00"/>
        <d v="2019-11-16T00:00:00"/>
        <d v="2019-11-17T00:00:00"/>
        <d v="2019-11-18T00:00:00"/>
        <d v="2019-11-20T00:00:00"/>
        <d v="2019-11-21T00:00:00"/>
        <d v="2019-11-22T00:00:00"/>
        <d v="2019-11-23T00:00:00"/>
        <d v="2019-11-24T00:00:00"/>
        <d v="2019-12-01T00:00:00"/>
        <d v="2019-12-02T00:00:00"/>
        <d v="2019-12-03T00:00:00"/>
        <d v="2019-12-04T00:00:00"/>
        <d v="2019-12-05T00:00:00"/>
        <d v="2019-12-06T00:00:00"/>
        <d v="2019-12-08T00:00:00"/>
        <d v="2019-12-09T00:00:00"/>
        <d v="2019-12-10T00:00:00"/>
        <d v="2019-12-11T00:00:00"/>
        <d v="2019-12-12T00:00:00"/>
        <d v="2019-12-13T00:00:00"/>
        <d v="2019-12-15T00:00:00"/>
        <d v="2019-12-16T00:00:00"/>
        <d v="2019-12-17T00:00:00"/>
        <d v="2019-12-18T00:00:00"/>
        <d v="2019-12-19T00:00:00"/>
        <d v="2019-12-20T00:00:00"/>
        <d v="2019-12-21T00:00:00"/>
        <d v="2019-12-22T00:00:00"/>
        <d v="2019-12-27T00:00:00"/>
      </sharedItems>
      <fieldGroup par="23" base="1">
        <rangePr groupBy="days" startDate="2019-01-01T00:00:00" endDate="2019-12-28T00:00:00"/>
        <groupItems count="368">
          <s v="&lt;01/01/2019"/>
          <s v="01-Thg1"/>
          <s v="02-Thg1"/>
          <s v="03-Thg1"/>
          <s v="04-Thg1"/>
          <s v="05-Thg1"/>
          <s v="06-Thg1"/>
          <s v="07-Thg1"/>
          <s v="08-Thg1"/>
          <s v="09-Thg1"/>
          <s v="10-Thg1"/>
          <s v="11-Thg1"/>
          <s v="12-Thg1"/>
          <s v="13-Thg1"/>
          <s v="14-Thg1"/>
          <s v="15-Thg1"/>
          <s v="16-Thg1"/>
          <s v="17-Thg1"/>
          <s v="18-Thg1"/>
          <s v="19-Thg1"/>
          <s v="20-Thg1"/>
          <s v="21-Thg1"/>
          <s v="22-Thg1"/>
          <s v="23-Thg1"/>
          <s v="24-Thg1"/>
          <s v="25-Thg1"/>
          <s v="26-Thg1"/>
          <s v="27-Thg1"/>
          <s v="28-Thg1"/>
          <s v="29-Thg1"/>
          <s v="30-Thg1"/>
          <s v="31-Thg1"/>
          <s v="01-Thg2"/>
          <s v="02-Thg2"/>
          <s v="03-Thg2"/>
          <s v="04-Thg2"/>
          <s v="05-Thg2"/>
          <s v="06-Thg2"/>
          <s v="07-Thg2"/>
          <s v="08-Thg2"/>
          <s v="09-Thg2"/>
          <s v="10-Thg2"/>
          <s v="11-Thg2"/>
          <s v="12-Thg2"/>
          <s v="13-Thg2"/>
          <s v="14-Thg2"/>
          <s v="15-Thg2"/>
          <s v="16-Thg2"/>
          <s v="17-Thg2"/>
          <s v="18-Thg2"/>
          <s v="19-Thg2"/>
          <s v="20-Thg2"/>
          <s v="21-Thg2"/>
          <s v="22-Thg2"/>
          <s v="23-Thg2"/>
          <s v="24-Thg2"/>
          <s v="25-Thg2"/>
          <s v="26-Thg2"/>
          <s v="27-Thg2"/>
          <s v="28-Thg2"/>
          <s v="29-Thg2"/>
          <s v="01-Thg3"/>
          <s v="02-Thg3"/>
          <s v="03-Thg3"/>
          <s v="04-Thg3"/>
          <s v="05-Thg3"/>
          <s v="06-Thg3"/>
          <s v="07-Thg3"/>
          <s v="08-Thg3"/>
          <s v="09-Thg3"/>
          <s v="10-Thg3"/>
          <s v="11-Thg3"/>
          <s v="12-Thg3"/>
          <s v="13-Thg3"/>
          <s v="14-Thg3"/>
          <s v="15-Thg3"/>
          <s v="16-Thg3"/>
          <s v="17-Thg3"/>
          <s v="18-Thg3"/>
          <s v="19-Thg3"/>
          <s v="20-Thg3"/>
          <s v="21-Thg3"/>
          <s v="22-Thg3"/>
          <s v="23-Thg3"/>
          <s v="24-Thg3"/>
          <s v="25-Thg3"/>
          <s v="26-Thg3"/>
          <s v="27-Thg3"/>
          <s v="28-Thg3"/>
          <s v="29-Thg3"/>
          <s v="30-Thg3"/>
          <s v="31-Thg3"/>
          <s v="01-Thg4"/>
          <s v="02-Thg4"/>
          <s v="03-Thg4"/>
          <s v="04-Thg4"/>
          <s v="05-Thg4"/>
          <s v="06-Thg4"/>
          <s v="07-Thg4"/>
          <s v="08-Thg4"/>
          <s v="09-Thg4"/>
          <s v="10-Thg4"/>
          <s v="11-Thg4"/>
          <s v="12-Thg4"/>
          <s v="13-Thg4"/>
          <s v="14-Thg4"/>
          <s v="15-Thg4"/>
          <s v="16-Thg4"/>
          <s v="17-Thg4"/>
          <s v="18-Thg4"/>
          <s v="19-Thg4"/>
          <s v="20-Thg4"/>
          <s v="21-Thg4"/>
          <s v="22-Thg4"/>
          <s v="23-Thg4"/>
          <s v="24-Thg4"/>
          <s v="25-Thg4"/>
          <s v="26-Thg4"/>
          <s v="27-Thg4"/>
          <s v="28-Thg4"/>
          <s v="29-Thg4"/>
          <s v="30-Thg4"/>
          <s v="01-Thg5"/>
          <s v="02-Thg5"/>
          <s v="03-Thg5"/>
          <s v="04-Thg5"/>
          <s v="05-Thg5"/>
          <s v="06-Thg5"/>
          <s v="07-Thg5"/>
          <s v="08-Thg5"/>
          <s v="09-Thg5"/>
          <s v="10-Thg5"/>
          <s v="11-Thg5"/>
          <s v="12-Thg5"/>
          <s v="13-Thg5"/>
          <s v="14-Thg5"/>
          <s v="15-Thg5"/>
          <s v="16-Thg5"/>
          <s v="17-Thg5"/>
          <s v="18-Thg5"/>
          <s v="19-Thg5"/>
          <s v="20-Thg5"/>
          <s v="21-Thg5"/>
          <s v="22-Thg5"/>
          <s v="23-Thg5"/>
          <s v="24-Thg5"/>
          <s v="25-Thg5"/>
          <s v="26-Thg5"/>
          <s v="27-Thg5"/>
          <s v="28-Thg5"/>
          <s v="29-Thg5"/>
          <s v="30-Thg5"/>
          <s v="31-Thg5"/>
          <s v="01-Thg6"/>
          <s v="02-Thg6"/>
          <s v="03-Thg6"/>
          <s v="04-Thg6"/>
          <s v="05-Thg6"/>
          <s v="06-Thg6"/>
          <s v="07-Thg6"/>
          <s v="08-Thg6"/>
          <s v="09-Thg6"/>
          <s v="10-Thg6"/>
          <s v="11-Thg6"/>
          <s v="12-Thg6"/>
          <s v="13-Thg6"/>
          <s v="14-Thg6"/>
          <s v="15-Thg6"/>
          <s v="16-Thg6"/>
          <s v="17-Thg6"/>
          <s v="18-Thg6"/>
          <s v="19-Thg6"/>
          <s v="20-Thg6"/>
          <s v="21-Thg6"/>
          <s v="22-Thg6"/>
          <s v="23-Thg6"/>
          <s v="24-Thg6"/>
          <s v="25-Thg6"/>
          <s v="26-Thg6"/>
          <s v="27-Thg6"/>
          <s v="28-Thg6"/>
          <s v="29-Thg6"/>
          <s v="30-Thg6"/>
          <s v="01-Thg7"/>
          <s v="02-Thg7"/>
          <s v="03-Thg7"/>
          <s v="04-Thg7"/>
          <s v="05-Thg7"/>
          <s v="06-Thg7"/>
          <s v="07-Thg7"/>
          <s v="08-Thg7"/>
          <s v="09-Thg7"/>
          <s v="10-Thg7"/>
          <s v="11-Thg7"/>
          <s v="12-Thg7"/>
          <s v="13-Thg7"/>
          <s v="14-Thg7"/>
          <s v="15-Thg7"/>
          <s v="16-Thg7"/>
          <s v="17-Thg7"/>
          <s v="18-Thg7"/>
          <s v="19-Thg7"/>
          <s v="20-Thg7"/>
          <s v="21-Thg7"/>
          <s v="22-Thg7"/>
          <s v="23-Thg7"/>
          <s v="24-Thg7"/>
          <s v="25-Thg7"/>
          <s v="26-Thg7"/>
          <s v="27-Thg7"/>
          <s v="28-Thg7"/>
          <s v="29-Thg7"/>
          <s v="30-Thg7"/>
          <s v="31-Thg7"/>
          <s v="01-Thg8"/>
          <s v="02-Thg8"/>
          <s v="03-Thg8"/>
          <s v="04-Thg8"/>
          <s v="05-Thg8"/>
          <s v="06-Thg8"/>
          <s v="07-Thg8"/>
          <s v="08-Thg8"/>
          <s v="09-Thg8"/>
          <s v="10-Thg8"/>
          <s v="11-Thg8"/>
          <s v="12-Thg8"/>
          <s v="13-Thg8"/>
          <s v="14-Thg8"/>
          <s v="15-Thg8"/>
          <s v="16-Thg8"/>
          <s v="17-Thg8"/>
          <s v="18-Thg8"/>
          <s v="19-Thg8"/>
          <s v="20-Thg8"/>
          <s v="21-Thg8"/>
          <s v="22-Thg8"/>
          <s v="23-Thg8"/>
          <s v="24-Thg8"/>
          <s v="25-Thg8"/>
          <s v="26-Thg8"/>
          <s v="27-Thg8"/>
          <s v="28-Thg8"/>
          <s v="29-Thg8"/>
          <s v="30-Thg8"/>
          <s v="31-Thg8"/>
          <s v="01-Thg9"/>
          <s v="02-Thg9"/>
          <s v="03-Thg9"/>
          <s v="04-Thg9"/>
          <s v="05-Thg9"/>
          <s v="06-Thg9"/>
          <s v="07-Thg9"/>
          <s v="08-Thg9"/>
          <s v="09-Thg9"/>
          <s v="10-Thg9"/>
          <s v="11-Thg9"/>
          <s v="12-Thg9"/>
          <s v="13-Thg9"/>
          <s v="14-Thg9"/>
          <s v="15-Thg9"/>
          <s v="16-Thg9"/>
          <s v="17-Thg9"/>
          <s v="18-Thg9"/>
          <s v="19-Thg9"/>
          <s v="20-Thg9"/>
          <s v="21-Thg9"/>
          <s v="22-Thg9"/>
          <s v="23-Thg9"/>
          <s v="24-Thg9"/>
          <s v="25-Thg9"/>
          <s v="26-Thg9"/>
          <s v="27-Thg9"/>
          <s v="28-Thg9"/>
          <s v="29-Thg9"/>
          <s v="30-Thg9"/>
          <s v="01-Thg10"/>
          <s v="02-Thg10"/>
          <s v="03-Thg10"/>
          <s v="04-Thg10"/>
          <s v="05-Thg10"/>
          <s v="06-Thg10"/>
          <s v="07-Thg10"/>
          <s v="08-Thg10"/>
          <s v="09-Thg10"/>
          <s v="10-Thg10"/>
          <s v="11-Thg10"/>
          <s v="12-Thg10"/>
          <s v="13-Thg10"/>
          <s v="14-Thg10"/>
          <s v="15-Thg10"/>
          <s v="16-Thg10"/>
          <s v="17-Thg10"/>
          <s v="18-Thg10"/>
          <s v="19-Thg10"/>
          <s v="20-Thg10"/>
          <s v="21-Thg10"/>
          <s v="22-Thg10"/>
          <s v="23-Thg10"/>
          <s v="24-Thg10"/>
          <s v="25-Thg10"/>
          <s v="26-Thg10"/>
          <s v="27-Thg10"/>
          <s v="28-Thg10"/>
          <s v="29-Thg10"/>
          <s v="30-Thg10"/>
          <s v="31-Thg10"/>
          <s v="01-Thg11"/>
          <s v="02-Thg11"/>
          <s v="03-Thg11"/>
          <s v="04-Thg11"/>
          <s v="05-Thg11"/>
          <s v="06-Thg11"/>
          <s v="07-Thg11"/>
          <s v="08-Thg11"/>
          <s v="09-Thg11"/>
          <s v="10-Thg11"/>
          <s v="11-Thg11"/>
          <s v="12-Thg11"/>
          <s v="13-Thg11"/>
          <s v="14-Thg11"/>
          <s v="15-Thg11"/>
          <s v="16-Thg11"/>
          <s v="17-Thg11"/>
          <s v="18-Thg11"/>
          <s v="19-Thg11"/>
          <s v="20-Thg11"/>
          <s v="21-Thg11"/>
          <s v="22-Thg11"/>
          <s v="23-Thg11"/>
          <s v="24-Thg11"/>
          <s v="25-Thg11"/>
          <s v="26-Thg11"/>
          <s v="27-Thg11"/>
          <s v="28-Thg11"/>
          <s v="29-Thg11"/>
          <s v="30-Thg11"/>
          <s v="01-Thg12"/>
          <s v="02-Thg12"/>
          <s v="03-Thg12"/>
          <s v="04-Thg12"/>
          <s v="05-Thg12"/>
          <s v="06-Thg12"/>
          <s v="07-Thg12"/>
          <s v="08-Thg12"/>
          <s v="09-Thg12"/>
          <s v="10-Thg12"/>
          <s v="11-Thg12"/>
          <s v="12-Thg12"/>
          <s v="13-Thg12"/>
          <s v="14-Thg12"/>
          <s v="15-Thg12"/>
          <s v="16-Thg12"/>
          <s v="17-Thg12"/>
          <s v="18-Thg12"/>
          <s v="19-Thg12"/>
          <s v="20-Thg12"/>
          <s v="21-Thg12"/>
          <s v="22-Thg12"/>
          <s v="23-Thg12"/>
          <s v="24-Thg12"/>
          <s v="25-Thg12"/>
          <s v="26-Thg12"/>
          <s v="27-Thg12"/>
          <s v="28-Thg12"/>
          <s v="29-Thg12"/>
          <s v="30-Thg12"/>
          <s v="31-Thg12"/>
          <s v="&gt;28/12/2019"/>
        </groupItems>
      </fieldGroup>
    </cacheField>
    <cacheField name="Đơn vị / Chi nhánh" numFmtId="0">
      <sharedItems count="5">
        <s v="Thái Nguyên"/>
        <s v="Trụ sở chính"/>
        <s v="TP HCM"/>
        <s v="Đà Nẵng"/>
        <s v="Hải Phòng"/>
      </sharedItems>
    </cacheField>
    <cacheField name="Phòng ban/Bộ phận" numFmtId="0">
      <sharedItems/>
    </cacheField>
    <cacheField name="Vị trí" numFmtId="0">
      <sharedItems/>
    </cacheField>
    <cacheField name="Họ và tên" numFmtId="0">
      <sharedItems/>
    </cacheField>
    <cacheField name="Ngày tháng năm sinh" numFmtId="14">
      <sharedItems containsSemiMixedTypes="0" containsNonDate="0" containsDate="1" containsString="0" minDate="1986-05-21T00:00:00" maxDate="1995-11-06T00:00:00"/>
    </cacheField>
    <cacheField name="Tuổi" numFmtId="0">
      <sharedItems containsSemiMixedTypes="0" containsString="0" containsNumber="1" containsInteger="1" minValue="24" maxValue="34"/>
    </cacheField>
    <cacheField name="Giới tính" numFmtId="0">
      <sharedItems/>
    </cacheField>
    <cacheField name="Tốt nghiệp trường" numFmtId="0">
      <sharedItems/>
    </cacheField>
    <cacheField name="Trình độ cao nhất" numFmtId="0">
      <sharedItems/>
    </cacheField>
    <cacheField name="Quê quán" numFmtId="0">
      <sharedItems/>
    </cacheField>
    <cacheField name="Nguồn" numFmtId="0">
      <sharedItems count="2">
        <s v="Bên trong"/>
        <s v="Bên ngoài"/>
      </sharedItems>
    </cacheField>
    <cacheField name="Hình thức" numFmtId="0">
      <sharedItems count="6">
        <s v="Giới thiệu"/>
        <s v="Online"/>
        <s v="Offline"/>
        <s v="Nội bộ"/>
        <s v="Headhunt"/>
        <s v="Khác"/>
      </sharedItems>
    </cacheField>
    <cacheField name="Kênh" numFmtId="0">
      <sharedItems containsBlank="1" count="4">
        <m/>
        <s v="Mạng xã hội"/>
        <s v="Website"/>
        <s v="Thông báo, poster"/>
      </sharedItems>
    </cacheField>
    <cacheField name="Tại" numFmtId="0">
      <sharedItems containsBlank="1" count="10">
        <m/>
        <s v="Facebook"/>
        <s v="vietnamworks.com"/>
        <s v="Zalo"/>
        <s v="Carrerbuilder.vn"/>
        <s v="Website công ty"/>
        <s v="timviecnhanh.com"/>
        <s v="Linkedln"/>
        <s v="vieclam24h.vn"/>
        <s v="Mywork.com"/>
      </sharedItems>
    </cacheField>
    <cacheField name="Số lượng  hồ sơ" numFmtId="0">
      <sharedItems containsSemiMixedTypes="0" containsString="0" containsNumber="1" containsInteger="1" minValue="1" maxValue="1"/>
    </cacheField>
    <cacheField name="Vượt qua vòng 1" numFmtId="0">
      <sharedItems containsString="0" containsBlank="1" containsNumber="1" containsInteger="1" minValue="1" maxValue="1"/>
    </cacheField>
    <cacheField name="Vượt qua vòng 2" numFmtId="0">
      <sharedItems containsString="0" containsBlank="1" containsNumber="1" containsInteger="1" minValue="1" maxValue="1"/>
    </cacheField>
    <cacheField name="Nhận việc" numFmtId="0">
      <sharedItems containsString="0" containsBlank="1" containsNumber="1" containsInteger="1" minValue="1" maxValue="1" count="2">
        <m/>
        <n v="1"/>
      </sharedItems>
    </cacheField>
    <cacheField name="Thời gian hoàn thành" numFmtId="14">
      <sharedItems containsNonDate="0" containsDate="1" containsString="0" containsBlank="1" minDate="2019-01-07T00:00:00" maxDate="2019-12-27T00:00:00" count="75">
        <m/>
        <d v="2019-01-08T00:00:00"/>
        <d v="2019-01-20T00:00:00"/>
        <d v="2019-01-10T00:00:00"/>
        <d v="2019-01-13T00:00:00"/>
        <d v="2019-01-12T00:00:00"/>
        <d v="2019-01-16T00:00:00"/>
        <d v="2019-01-11T00:00:00"/>
        <d v="2019-01-09T00:00:00"/>
        <d v="2019-01-07T00:00:00"/>
        <d v="2019-02-11T00:00:00"/>
        <d v="2019-02-17T00:00:00"/>
        <d v="2019-02-14T00:00:00"/>
        <d v="2019-02-10T00:00:00"/>
        <d v="2019-02-12T00:00:00"/>
        <d v="2019-02-22T00:00:00"/>
        <d v="2019-02-24T00:00:00"/>
        <d v="2019-02-20T00:00:00"/>
        <d v="2019-02-23T00:00:00"/>
        <d v="2019-02-07T00:00:00"/>
        <d v="2019-03-21T00:00:00"/>
        <d v="2019-03-19T00:00:00"/>
        <d v="2019-03-17T00:00:00"/>
        <d v="2019-03-18T00:00:00"/>
        <d v="2019-03-20T00:00:00"/>
        <d v="2019-03-22T00:00:00"/>
        <d v="2019-03-16T00:00:00"/>
        <d v="2019-03-27T00:00:00"/>
        <d v="2019-04-08T00:00:00"/>
        <d v="2019-04-20T00:00:00"/>
        <d v="2019-04-12T00:00:00"/>
        <d v="2019-04-09T00:00:00"/>
        <d v="2019-04-26T00:00:00"/>
        <d v="2019-04-15T00:00:00"/>
        <d v="2019-04-07T00:00:00"/>
        <d v="2019-05-08T00:00:00"/>
        <d v="2019-05-20T00:00:00"/>
        <d v="2019-05-12T00:00:00"/>
        <d v="2019-05-09T00:00:00"/>
        <d v="2019-05-16T00:00:00"/>
        <d v="2019-05-25T00:00:00"/>
        <d v="2019-06-20T00:00:00"/>
        <d v="2019-06-10T00:00:00"/>
        <d v="2019-06-12T00:00:00"/>
        <d v="2019-06-16T00:00:00"/>
        <d v="2019-06-09T00:00:00"/>
        <d v="2019-06-11T00:00:00"/>
        <d v="2019-08-15T00:00:00"/>
        <d v="2019-08-10T00:00:00"/>
        <d v="2019-08-20T00:00:00"/>
        <d v="2019-08-27T00:00:00"/>
        <d v="2019-09-08T00:00:00"/>
        <d v="2019-09-27T00:00:00"/>
        <d v="2019-09-10T00:00:00"/>
        <d v="2019-09-20T00:00:00"/>
        <d v="2019-09-21T00:00:00"/>
        <d v="2019-09-25T00:00:00"/>
        <d v="2019-10-08T00:00:00"/>
        <d v="2019-10-20T00:00:00"/>
        <d v="2019-10-12T00:00:00"/>
        <d v="2019-10-09T00:00:00"/>
        <d v="2019-10-10T00:00:00"/>
        <d v="2019-10-11T00:00:00"/>
        <d v="2019-11-08T00:00:00"/>
        <d v="2019-11-16T00:00:00"/>
        <d v="2019-11-12T00:00:00"/>
        <d v="2019-11-19T00:00:00"/>
        <d v="2019-11-10T00:00:00"/>
        <d v="2019-11-20T00:00:00"/>
        <d v="2019-12-18T00:00:00"/>
        <d v="2019-12-20T00:00:00"/>
        <d v="2019-12-12T00:00:00"/>
        <d v="2019-12-15T00:00:00"/>
        <d v="2019-12-10T00:00:00"/>
        <d v="2019-12-26T00:00:00"/>
      </sharedItems>
      <fieldGroup par="22" base="20">
        <rangePr groupBy="days" startDate="2019-01-07T00:00:00" endDate="2019-12-27T00:00:00"/>
        <groupItems count="368">
          <s v="(blank)"/>
          <s v="01-Thg1"/>
          <s v="02-Thg1"/>
          <s v="03-Thg1"/>
          <s v="04-Thg1"/>
          <s v="05-Thg1"/>
          <s v="06-Thg1"/>
          <s v="07-Thg1"/>
          <s v="08-Thg1"/>
          <s v="09-Thg1"/>
          <s v="10-Thg1"/>
          <s v="11-Thg1"/>
          <s v="12-Thg1"/>
          <s v="13-Thg1"/>
          <s v="14-Thg1"/>
          <s v="15-Thg1"/>
          <s v="16-Thg1"/>
          <s v="17-Thg1"/>
          <s v="18-Thg1"/>
          <s v="19-Thg1"/>
          <s v="20-Thg1"/>
          <s v="21-Thg1"/>
          <s v="22-Thg1"/>
          <s v="23-Thg1"/>
          <s v="24-Thg1"/>
          <s v="25-Thg1"/>
          <s v="26-Thg1"/>
          <s v="27-Thg1"/>
          <s v="28-Thg1"/>
          <s v="29-Thg1"/>
          <s v="30-Thg1"/>
          <s v="31-Thg1"/>
          <s v="01-Thg2"/>
          <s v="02-Thg2"/>
          <s v="03-Thg2"/>
          <s v="04-Thg2"/>
          <s v="05-Thg2"/>
          <s v="06-Thg2"/>
          <s v="07-Thg2"/>
          <s v="08-Thg2"/>
          <s v="09-Thg2"/>
          <s v="10-Thg2"/>
          <s v="11-Thg2"/>
          <s v="12-Thg2"/>
          <s v="13-Thg2"/>
          <s v="14-Thg2"/>
          <s v="15-Thg2"/>
          <s v="16-Thg2"/>
          <s v="17-Thg2"/>
          <s v="18-Thg2"/>
          <s v="19-Thg2"/>
          <s v="20-Thg2"/>
          <s v="21-Thg2"/>
          <s v="22-Thg2"/>
          <s v="23-Thg2"/>
          <s v="24-Thg2"/>
          <s v="25-Thg2"/>
          <s v="26-Thg2"/>
          <s v="27-Thg2"/>
          <s v="28-Thg2"/>
          <s v="29-Thg2"/>
          <s v="01-Thg3"/>
          <s v="02-Thg3"/>
          <s v="03-Thg3"/>
          <s v="04-Thg3"/>
          <s v="05-Thg3"/>
          <s v="06-Thg3"/>
          <s v="07-Thg3"/>
          <s v="08-Thg3"/>
          <s v="09-Thg3"/>
          <s v="10-Thg3"/>
          <s v="11-Thg3"/>
          <s v="12-Thg3"/>
          <s v="13-Thg3"/>
          <s v="14-Thg3"/>
          <s v="15-Thg3"/>
          <s v="16-Thg3"/>
          <s v="17-Thg3"/>
          <s v="18-Thg3"/>
          <s v="19-Thg3"/>
          <s v="20-Thg3"/>
          <s v="21-Thg3"/>
          <s v="22-Thg3"/>
          <s v="23-Thg3"/>
          <s v="24-Thg3"/>
          <s v="25-Thg3"/>
          <s v="26-Thg3"/>
          <s v="27-Thg3"/>
          <s v="28-Thg3"/>
          <s v="29-Thg3"/>
          <s v="30-Thg3"/>
          <s v="31-Thg3"/>
          <s v="01-Thg4"/>
          <s v="02-Thg4"/>
          <s v="03-Thg4"/>
          <s v="04-Thg4"/>
          <s v="05-Thg4"/>
          <s v="06-Thg4"/>
          <s v="07-Thg4"/>
          <s v="08-Thg4"/>
          <s v="09-Thg4"/>
          <s v="10-Thg4"/>
          <s v="11-Thg4"/>
          <s v="12-Thg4"/>
          <s v="13-Thg4"/>
          <s v="14-Thg4"/>
          <s v="15-Thg4"/>
          <s v="16-Thg4"/>
          <s v="17-Thg4"/>
          <s v="18-Thg4"/>
          <s v="19-Thg4"/>
          <s v="20-Thg4"/>
          <s v="21-Thg4"/>
          <s v="22-Thg4"/>
          <s v="23-Thg4"/>
          <s v="24-Thg4"/>
          <s v="25-Thg4"/>
          <s v="26-Thg4"/>
          <s v="27-Thg4"/>
          <s v="28-Thg4"/>
          <s v="29-Thg4"/>
          <s v="30-Thg4"/>
          <s v="01-Thg5"/>
          <s v="02-Thg5"/>
          <s v="03-Thg5"/>
          <s v="04-Thg5"/>
          <s v="05-Thg5"/>
          <s v="06-Thg5"/>
          <s v="07-Thg5"/>
          <s v="08-Thg5"/>
          <s v="09-Thg5"/>
          <s v="10-Thg5"/>
          <s v="11-Thg5"/>
          <s v="12-Thg5"/>
          <s v="13-Thg5"/>
          <s v="14-Thg5"/>
          <s v="15-Thg5"/>
          <s v="16-Thg5"/>
          <s v="17-Thg5"/>
          <s v="18-Thg5"/>
          <s v="19-Thg5"/>
          <s v="20-Thg5"/>
          <s v="21-Thg5"/>
          <s v="22-Thg5"/>
          <s v="23-Thg5"/>
          <s v="24-Thg5"/>
          <s v="25-Thg5"/>
          <s v="26-Thg5"/>
          <s v="27-Thg5"/>
          <s v="28-Thg5"/>
          <s v="29-Thg5"/>
          <s v="30-Thg5"/>
          <s v="31-Thg5"/>
          <s v="01-Thg6"/>
          <s v="02-Thg6"/>
          <s v="03-Thg6"/>
          <s v="04-Thg6"/>
          <s v="05-Thg6"/>
          <s v="06-Thg6"/>
          <s v="07-Thg6"/>
          <s v="08-Thg6"/>
          <s v="09-Thg6"/>
          <s v="10-Thg6"/>
          <s v="11-Thg6"/>
          <s v="12-Thg6"/>
          <s v="13-Thg6"/>
          <s v="14-Thg6"/>
          <s v="15-Thg6"/>
          <s v="16-Thg6"/>
          <s v="17-Thg6"/>
          <s v="18-Thg6"/>
          <s v="19-Thg6"/>
          <s v="20-Thg6"/>
          <s v="21-Thg6"/>
          <s v="22-Thg6"/>
          <s v="23-Thg6"/>
          <s v="24-Thg6"/>
          <s v="25-Thg6"/>
          <s v="26-Thg6"/>
          <s v="27-Thg6"/>
          <s v="28-Thg6"/>
          <s v="29-Thg6"/>
          <s v="30-Thg6"/>
          <s v="01-Thg7"/>
          <s v="02-Thg7"/>
          <s v="03-Thg7"/>
          <s v="04-Thg7"/>
          <s v="05-Thg7"/>
          <s v="06-Thg7"/>
          <s v="07-Thg7"/>
          <s v="08-Thg7"/>
          <s v="09-Thg7"/>
          <s v="10-Thg7"/>
          <s v="11-Thg7"/>
          <s v="12-Thg7"/>
          <s v="13-Thg7"/>
          <s v="14-Thg7"/>
          <s v="15-Thg7"/>
          <s v="16-Thg7"/>
          <s v="17-Thg7"/>
          <s v="18-Thg7"/>
          <s v="19-Thg7"/>
          <s v="20-Thg7"/>
          <s v="21-Thg7"/>
          <s v="22-Thg7"/>
          <s v="23-Thg7"/>
          <s v="24-Thg7"/>
          <s v="25-Thg7"/>
          <s v="26-Thg7"/>
          <s v="27-Thg7"/>
          <s v="28-Thg7"/>
          <s v="29-Thg7"/>
          <s v="30-Thg7"/>
          <s v="31-Thg7"/>
          <s v="01-Thg8"/>
          <s v="02-Thg8"/>
          <s v="03-Thg8"/>
          <s v="04-Thg8"/>
          <s v="05-Thg8"/>
          <s v="06-Thg8"/>
          <s v="07-Thg8"/>
          <s v="08-Thg8"/>
          <s v="09-Thg8"/>
          <s v="10-Thg8"/>
          <s v="11-Thg8"/>
          <s v="12-Thg8"/>
          <s v="13-Thg8"/>
          <s v="14-Thg8"/>
          <s v="15-Thg8"/>
          <s v="16-Thg8"/>
          <s v="17-Thg8"/>
          <s v="18-Thg8"/>
          <s v="19-Thg8"/>
          <s v="20-Thg8"/>
          <s v="21-Thg8"/>
          <s v="22-Thg8"/>
          <s v="23-Thg8"/>
          <s v="24-Thg8"/>
          <s v="25-Thg8"/>
          <s v="26-Thg8"/>
          <s v="27-Thg8"/>
          <s v="28-Thg8"/>
          <s v="29-Thg8"/>
          <s v="30-Thg8"/>
          <s v="31-Thg8"/>
          <s v="01-Thg9"/>
          <s v="02-Thg9"/>
          <s v="03-Thg9"/>
          <s v="04-Thg9"/>
          <s v="05-Thg9"/>
          <s v="06-Thg9"/>
          <s v="07-Thg9"/>
          <s v="08-Thg9"/>
          <s v="09-Thg9"/>
          <s v="10-Thg9"/>
          <s v="11-Thg9"/>
          <s v="12-Thg9"/>
          <s v="13-Thg9"/>
          <s v="14-Thg9"/>
          <s v="15-Thg9"/>
          <s v="16-Thg9"/>
          <s v="17-Thg9"/>
          <s v="18-Thg9"/>
          <s v="19-Thg9"/>
          <s v="20-Thg9"/>
          <s v="21-Thg9"/>
          <s v="22-Thg9"/>
          <s v="23-Thg9"/>
          <s v="24-Thg9"/>
          <s v="25-Thg9"/>
          <s v="26-Thg9"/>
          <s v="27-Thg9"/>
          <s v="28-Thg9"/>
          <s v="29-Thg9"/>
          <s v="30-Thg9"/>
          <s v="01-Thg10"/>
          <s v="02-Thg10"/>
          <s v="03-Thg10"/>
          <s v="04-Thg10"/>
          <s v="05-Thg10"/>
          <s v="06-Thg10"/>
          <s v="07-Thg10"/>
          <s v="08-Thg10"/>
          <s v="09-Thg10"/>
          <s v="10-Thg10"/>
          <s v="11-Thg10"/>
          <s v="12-Thg10"/>
          <s v="13-Thg10"/>
          <s v="14-Thg10"/>
          <s v="15-Thg10"/>
          <s v="16-Thg10"/>
          <s v="17-Thg10"/>
          <s v="18-Thg10"/>
          <s v="19-Thg10"/>
          <s v="20-Thg10"/>
          <s v="21-Thg10"/>
          <s v="22-Thg10"/>
          <s v="23-Thg10"/>
          <s v="24-Thg10"/>
          <s v="25-Thg10"/>
          <s v="26-Thg10"/>
          <s v="27-Thg10"/>
          <s v="28-Thg10"/>
          <s v="29-Thg10"/>
          <s v="30-Thg10"/>
          <s v="31-Thg10"/>
          <s v="01-Thg11"/>
          <s v="02-Thg11"/>
          <s v="03-Thg11"/>
          <s v="04-Thg11"/>
          <s v="05-Thg11"/>
          <s v="06-Thg11"/>
          <s v="07-Thg11"/>
          <s v="08-Thg11"/>
          <s v="09-Thg11"/>
          <s v="10-Thg11"/>
          <s v="11-Thg11"/>
          <s v="12-Thg11"/>
          <s v="13-Thg11"/>
          <s v="14-Thg11"/>
          <s v="15-Thg11"/>
          <s v="16-Thg11"/>
          <s v="17-Thg11"/>
          <s v="18-Thg11"/>
          <s v="19-Thg11"/>
          <s v="20-Thg11"/>
          <s v="21-Thg11"/>
          <s v="22-Thg11"/>
          <s v="23-Thg11"/>
          <s v="24-Thg11"/>
          <s v="25-Thg11"/>
          <s v="26-Thg11"/>
          <s v="27-Thg11"/>
          <s v="28-Thg11"/>
          <s v="29-Thg11"/>
          <s v="30-Thg11"/>
          <s v="01-Thg12"/>
          <s v="02-Thg12"/>
          <s v="03-Thg12"/>
          <s v="04-Thg12"/>
          <s v="05-Thg12"/>
          <s v="06-Thg12"/>
          <s v="07-Thg12"/>
          <s v="08-Thg12"/>
          <s v="09-Thg12"/>
          <s v="10-Thg12"/>
          <s v="11-Thg12"/>
          <s v="12-Thg12"/>
          <s v="13-Thg12"/>
          <s v="14-Thg12"/>
          <s v="15-Thg12"/>
          <s v="16-Thg12"/>
          <s v="17-Thg12"/>
          <s v="18-Thg12"/>
          <s v="19-Thg12"/>
          <s v="20-Thg12"/>
          <s v="21-Thg12"/>
          <s v="22-Thg12"/>
          <s v="23-Thg12"/>
          <s v="24-Thg12"/>
          <s v="25-Thg12"/>
          <s v="26-Thg12"/>
          <s v="27-Thg12"/>
          <s v="28-Thg12"/>
          <s v="29-Thg12"/>
          <s v="30-Thg12"/>
          <s v="31-Thg12"/>
          <s v="&gt;27/12/2019"/>
        </groupItems>
      </fieldGroup>
    </cacheField>
    <cacheField name="Chi phí" numFmtId="0">
      <sharedItems containsString="0" containsBlank="1" containsNumber="1" containsInteger="1" minValue="12200" maxValue="10000000"/>
    </cacheField>
    <cacheField name="Months" numFmtId="0" databaseField="0">
      <fieldGroup base="20">
        <rangePr groupBy="months" startDate="2019-01-07T00:00:00" endDate="2019-12-27T00:00:00"/>
        <groupItems count="14">
          <s v="&lt;07/01/2019"/>
          <s v="Thg1"/>
          <s v="Thg2"/>
          <s v="Thg3"/>
          <s v="Thg4"/>
          <s v="Thg5"/>
          <s v="Thg6"/>
          <s v="Thg7"/>
          <s v="Thg8"/>
          <s v="Thg9"/>
          <s v="Thg10"/>
          <s v="Thg11"/>
          <s v="Thg12"/>
          <s v="&gt;27/12/2019"/>
        </groupItems>
      </fieldGroup>
    </cacheField>
    <cacheField name="Months2" numFmtId="0" databaseField="0">
      <fieldGroup base="1">
        <rangePr groupBy="months" startDate="2019-01-01T00:00:00" endDate="2019-12-28T00:00:00"/>
        <groupItems count="14">
          <s v="&lt;01/01/2019"/>
          <s v="Thg1"/>
          <s v="Thg2"/>
          <s v="Thg3"/>
          <s v="Thg4"/>
          <s v="Thg5"/>
          <s v="Thg6"/>
          <s v="Thg7"/>
          <s v="Thg8"/>
          <s v="Thg9"/>
          <s v="Thg10"/>
          <s v="Thg11"/>
          <s v="Thg12"/>
          <s v="&gt;28/12/2019"/>
        </groupItems>
      </fieldGroup>
    </cacheField>
  </cacheFields>
  <extLst>
    <ext xmlns:x14="http://schemas.microsoft.com/office/spreadsheetml/2009/9/main" uri="{725AE2AE-9491-48be-B2B4-4EB974FC3084}">
      <x14:pivotCacheDefinition pivotCacheId="34425686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20">
  <r>
    <n v="1"/>
    <x v="0"/>
    <x v="0"/>
    <s v="Phòng Đào tạo"/>
    <s v="Giảng viên"/>
    <s v="Lê Thị Hương Giang"/>
    <d v="1991-06-20T00:00:00"/>
    <n v="29"/>
    <s v="Nữ"/>
    <s v="FTU"/>
    <s v="Cao học"/>
    <s v="Nghệ An"/>
    <x v="0"/>
    <x v="0"/>
    <x v="0"/>
    <x v="0"/>
    <n v="1"/>
    <m/>
    <m/>
    <x v="0"/>
    <x v="0"/>
    <n v="120000"/>
  </r>
  <r>
    <n v="2"/>
    <x v="0"/>
    <x v="1"/>
    <s v="Phòng Marekting"/>
    <s v="NV Marketing"/>
    <s v="Phạm Thị Cẩm Trà"/>
    <d v="1990-05-23T00:00:00"/>
    <n v="30"/>
    <s v="Nữ"/>
    <s v="Kinh doanh công nghệ"/>
    <s v="Đại học"/>
    <s v="Nghệ An"/>
    <x v="1"/>
    <x v="1"/>
    <x v="1"/>
    <x v="1"/>
    <n v="1"/>
    <m/>
    <m/>
    <x v="0"/>
    <x v="0"/>
    <m/>
  </r>
  <r>
    <n v="3"/>
    <x v="1"/>
    <x v="1"/>
    <s v="Phòng kế toán"/>
    <s v="Kế toán thuế"/>
    <s v="Nguyễn Thu Hiền"/>
    <d v="1991-03-30T00:00:00"/>
    <n v="29"/>
    <s v="Nữ"/>
    <s v="FTU"/>
    <s v="Đại học"/>
    <s v="Hà Nội"/>
    <x v="1"/>
    <x v="1"/>
    <x v="2"/>
    <x v="2"/>
    <n v="1"/>
    <n v="1"/>
    <n v="1"/>
    <x v="1"/>
    <x v="1"/>
    <n v="500000"/>
  </r>
  <r>
    <n v="4"/>
    <x v="1"/>
    <x v="2"/>
    <s v="Phòng Đào tạo"/>
    <s v="Giảng viên"/>
    <s v="Đặng Thị Thu Hương"/>
    <d v="1990-05-03T00:00:00"/>
    <n v="30"/>
    <s v="Nữ"/>
    <s v="Thương mại"/>
    <s v="Đại học"/>
    <s v="Hà Nội"/>
    <x v="1"/>
    <x v="1"/>
    <x v="2"/>
    <x v="2"/>
    <n v="1"/>
    <n v="1"/>
    <n v="1"/>
    <x v="1"/>
    <x v="2"/>
    <n v="500000"/>
  </r>
  <r>
    <n v="5"/>
    <x v="1"/>
    <x v="1"/>
    <s v="Phòng kế toán"/>
    <s v="Kế toán thuế"/>
    <s v="Nguyễn Thu Hiền"/>
    <d v="1991-03-30T00:00:00"/>
    <n v="29"/>
    <s v="Nữ"/>
    <s v="FTU"/>
    <s v="Đại học"/>
    <s v="Hà Nội"/>
    <x v="1"/>
    <x v="1"/>
    <x v="2"/>
    <x v="2"/>
    <n v="1"/>
    <n v="1"/>
    <n v="1"/>
    <x v="1"/>
    <x v="1"/>
    <n v="500000"/>
  </r>
  <r>
    <n v="6"/>
    <x v="1"/>
    <x v="2"/>
    <s v="Phòng Đào tạo"/>
    <s v="Giảng viên"/>
    <s v="Đặng Thị Thu Hương"/>
    <d v="1990-05-03T00:00:00"/>
    <n v="30"/>
    <s v="Nữ"/>
    <s v="Thương mại"/>
    <s v="Đại học"/>
    <s v="Hà Nội"/>
    <x v="1"/>
    <x v="1"/>
    <x v="2"/>
    <x v="2"/>
    <n v="1"/>
    <n v="1"/>
    <n v="1"/>
    <x v="1"/>
    <x v="2"/>
    <n v="500000"/>
  </r>
  <r>
    <n v="7"/>
    <x v="2"/>
    <x v="2"/>
    <s v="Admin"/>
    <s v="Tạp vụ"/>
    <s v="Nguyễn Mai Liên"/>
    <d v="1990-06-17T00:00:00"/>
    <n v="30"/>
    <s v="Nữ"/>
    <s v="Thương mại"/>
    <s v="Đại học"/>
    <s v="Hà Nội"/>
    <x v="0"/>
    <x v="0"/>
    <x v="0"/>
    <x v="0"/>
    <n v="1"/>
    <n v="1"/>
    <m/>
    <x v="0"/>
    <x v="0"/>
    <m/>
  </r>
  <r>
    <n v="8"/>
    <x v="3"/>
    <x v="3"/>
    <s v="Phòng Đào tạo"/>
    <s v="Giảng viên"/>
    <s v="Nguyễn Ngọc Quỳnh"/>
    <d v="1990-09-28T00:00:00"/>
    <n v="29"/>
    <s v="Nữ"/>
    <s v="Thương mại"/>
    <s v="Cao học"/>
    <s v="Hà Nội"/>
    <x v="1"/>
    <x v="1"/>
    <x v="1"/>
    <x v="1"/>
    <n v="1"/>
    <m/>
    <m/>
    <x v="0"/>
    <x v="0"/>
    <n v="45000"/>
  </r>
  <r>
    <n v="9"/>
    <x v="4"/>
    <x v="3"/>
    <s v="Admin"/>
    <s v="Bảo vệ"/>
    <s v="Nguyễn Thị Kiều"/>
    <d v="1990-02-15T00:00:00"/>
    <n v="30"/>
    <s v="Nữ"/>
    <s v="ĐH Công nghiệp HCM"/>
    <s v="Đại học"/>
    <s v="Vĩnh Phúc"/>
    <x v="1"/>
    <x v="2"/>
    <x v="3"/>
    <x v="0"/>
    <n v="1"/>
    <m/>
    <m/>
    <x v="0"/>
    <x v="0"/>
    <n v="61000"/>
  </r>
  <r>
    <n v="10"/>
    <x v="5"/>
    <x v="2"/>
    <s v="Phòng Đào tạo"/>
    <s v="Giảng viên"/>
    <s v="Lê Mai Linh"/>
    <d v="1993-08-14T00:00:00"/>
    <n v="27"/>
    <s v="Nữ"/>
    <s v="FTU"/>
    <s v="Đại học"/>
    <s v="Hà Nội"/>
    <x v="1"/>
    <x v="1"/>
    <x v="1"/>
    <x v="1"/>
    <n v="1"/>
    <n v="1"/>
    <m/>
    <x v="0"/>
    <x v="0"/>
    <m/>
  </r>
  <r>
    <n v="11"/>
    <x v="5"/>
    <x v="4"/>
    <s v="Phòng kinh doanh"/>
    <s v="NV kinh doanh"/>
    <s v="Nguyễn Thu Hằng"/>
    <d v="1989-03-22T00:00:00"/>
    <n v="31"/>
    <s v="Nữ"/>
    <s v="Thăng Long"/>
    <s v="Cao học"/>
    <s v="Hà Nội"/>
    <x v="1"/>
    <x v="2"/>
    <x v="3"/>
    <x v="0"/>
    <n v="1"/>
    <n v="1"/>
    <n v="1"/>
    <x v="1"/>
    <x v="3"/>
    <n v="100000"/>
  </r>
  <r>
    <n v="12"/>
    <x v="6"/>
    <x v="1"/>
    <s v="Phòng hành chính nhân sự"/>
    <s v="Bảo vệ"/>
    <s v="Lê Hà Linh"/>
    <d v="1991-08-26T00:00:00"/>
    <n v="29"/>
    <s v="Nữ"/>
    <s v="ĐH Mở"/>
    <s v="Đại học"/>
    <s v="Hà Nội"/>
    <x v="1"/>
    <x v="1"/>
    <x v="1"/>
    <x v="1"/>
    <n v="1"/>
    <n v="1"/>
    <n v="1"/>
    <x v="1"/>
    <x v="4"/>
    <n v="100000"/>
  </r>
  <r>
    <n v="13"/>
    <x v="7"/>
    <x v="1"/>
    <s v="Phòng Marekting"/>
    <s v="NV Marketing"/>
    <s v="Đào Thị Lan"/>
    <d v="1989-02-19T00:00:00"/>
    <n v="31"/>
    <s v="Nữ"/>
    <s v="HV ngân hàng"/>
    <s v="Đại học"/>
    <s v="Hải Dương"/>
    <x v="1"/>
    <x v="1"/>
    <x v="1"/>
    <x v="3"/>
    <n v="1"/>
    <n v="1"/>
    <n v="1"/>
    <x v="1"/>
    <x v="5"/>
    <m/>
  </r>
  <r>
    <n v="14"/>
    <x v="8"/>
    <x v="3"/>
    <s v="Phòng kinh doanh"/>
    <s v="NV kinh doanh"/>
    <s v="Vũ Thị Thư"/>
    <d v="1991-12-01T00:00:00"/>
    <n v="28"/>
    <s v="Nữ"/>
    <s v="HV tài chính"/>
    <s v="Đại học"/>
    <s v="Hà Nội"/>
    <x v="1"/>
    <x v="1"/>
    <x v="1"/>
    <x v="1"/>
    <n v="1"/>
    <n v="1"/>
    <n v="1"/>
    <x v="1"/>
    <x v="6"/>
    <m/>
  </r>
  <r>
    <n v="15"/>
    <x v="9"/>
    <x v="1"/>
    <s v="Phòng kế toán"/>
    <s v="Kế toán thuế"/>
    <s v="Vũ Thị Bích"/>
    <d v="1990-08-03T00:00:00"/>
    <n v="30"/>
    <s v="Nữ"/>
    <s v="HV ngân hàng"/>
    <s v="Đại học"/>
    <s v="Hà Nội"/>
    <x v="0"/>
    <x v="3"/>
    <x v="0"/>
    <x v="0"/>
    <n v="1"/>
    <m/>
    <m/>
    <x v="0"/>
    <x v="0"/>
    <n v="120000"/>
  </r>
  <r>
    <n v="16"/>
    <x v="10"/>
    <x v="1"/>
    <s v="Phòng hành chính nhân sự"/>
    <s v="Bảo vệ"/>
    <s v="Lương Thị Hương Liên"/>
    <d v="1991-12-22T00:00:00"/>
    <n v="28"/>
    <s v="Nữ"/>
    <s v="ĐH Văn Hóa"/>
    <s v="Đại học"/>
    <s v="Hà Nội"/>
    <x v="1"/>
    <x v="1"/>
    <x v="1"/>
    <x v="4"/>
    <n v="1"/>
    <m/>
    <m/>
    <x v="0"/>
    <x v="0"/>
    <n v="121000"/>
  </r>
  <r>
    <n v="17"/>
    <x v="11"/>
    <x v="2"/>
    <s v="Phòng Đào tạo"/>
    <s v="Trưởng bộ phận Đào tạo"/>
    <s v="Trần Gia Mạnh"/>
    <d v="1994-02-19T00:00:00"/>
    <n v="26"/>
    <s v="Nam"/>
    <s v="KTQD"/>
    <s v="Đại học"/>
    <s v="Nam Định"/>
    <x v="1"/>
    <x v="4"/>
    <x v="0"/>
    <x v="0"/>
    <n v="1"/>
    <n v="1"/>
    <m/>
    <x v="0"/>
    <x v="0"/>
    <m/>
  </r>
  <r>
    <n v="18"/>
    <x v="11"/>
    <x v="3"/>
    <s v="Admin"/>
    <s v="Bảo vệ"/>
    <s v="Đinh Thị Kim Huệ"/>
    <d v="1991-03-05T00:00:00"/>
    <n v="29"/>
    <s v="Nam"/>
    <s v="FTU"/>
    <s v="Cao đẳng"/>
    <s v="Bắc Giang"/>
    <x v="1"/>
    <x v="1"/>
    <x v="2"/>
    <x v="5"/>
    <n v="1"/>
    <n v="1"/>
    <m/>
    <x v="0"/>
    <x v="0"/>
    <n v="322000"/>
  </r>
  <r>
    <n v="19"/>
    <x v="11"/>
    <x v="4"/>
    <s v="Phòng kinh doanh"/>
    <s v="NV kinh doanh"/>
    <s v="Lê Thị Hương Giang"/>
    <d v="1989-03-22T00:00:00"/>
    <n v="31"/>
    <s v="Nữ"/>
    <s v="Ngoại ngữ QG"/>
    <s v="Đại học"/>
    <s v="Hà Nội"/>
    <x v="0"/>
    <x v="3"/>
    <x v="0"/>
    <x v="0"/>
    <n v="1"/>
    <m/>
    <m/>
    <x v="0"/>
    <x v="0"/>
    <n v="150000"/>
  </r>
  <r>
    <n v="20"/>
    <x v="11"/>
    <x v="4"/>
    <s v="Phòng kinh doanh"/>
    <s v="NV kinh doanh"/>
    <s v="Nguyễn Thị Thanh Hằng"/>
    <d v="1992-03-04T00:00:00"/>
    <n v="28"/>
    <s v="Nữ"/>
    <s v="FTU"/>
    <s v="Đại học"/>
    <s v="Bắc Giang"/>
    <x v="1"/>
    <x v="1"/>
    <x v="2"/>
    <x v="6"/>
    <n v="1"/>
    <n v="1"/>
    <m/>
    <x v="0"/>
    <x v="0"/>
    <n v="120000"/>
  </r>
  <r>
    <n v="21"/>
    <x v="12"/>
    <x v="2"/>
    <s v="Phòng Đào tạo"/>
    <s v="Trưởng bộ phận Đào tạo"/>
    <s v="Trương Thanh Hằng"/>
    <d v="1995-11-05T00:00:00"/>
    <n v="24"/>
    <s v="Nữ"/>
    <s v="Đại Nam"/>
    <s v="Đại học"/>
    <s v="Hà Nội"/>
    <x v="1"/>
    <x v="2"/>
    <x v="3"/>
    <x v="0"/>
    <n v="1"/>
    <n v="1"/>
    <n v="1"/>
    <x v="0"/>
    <x v="0"/>
    <n v="22000"/>
  </r>
  <r>
    <n v="22"/>
    <x v="12"/>
    <x v="0"/>
    <s v="Phòng Đào tạo"/>
    <s v="Giảng viên"/>
    <s v="Phạm Thị Thanh Mai"/>
    <d v="1993-09-19T00:00:00"/>
    <n v="26"/>
    <s v="Nữ"/>
    <s v="KTQD"/>
    <s v="Đại học"/>
    <s v="Hà Nội"/>
    <x v="1"/>
    <x v="2"/>
    <x v="3"/>
    <x v="0"/>
    <n v="1"/>
    <n v="1"/>
    <n v="1"/>
    <x v="1"/>
    <x v="5"/>
    <n v="500000"/>
  </r>
  <r>
    <n v="23"/>
    <x v="12"/>
    <x v="2"/>
    <s v="Phòng Đào tạo"/>
    <s v="Trưởng bộ phận Đào tạo"/>
    <s v="Nguyễn Mai Liên"/>
    <d v="1989-03-22T00:00:00"/>
    <n v="31"/>
    <s v="Nữ"/>
    <s v="Thương mại"/>
    <s v="Cao học"/>
    <s v="Hà Nội"/>
    <x v="1"/>
    <x v="4"/>
    <x v="0"/>
    <x v="0"/>
    <n v="1"/>
    <n v="1"/>
    <n v="1"/>
    <x v="1"/>
    <x v="3"/>
    <n v="10000000"/>
  </r>
  <r>
    <n v="24"/>
    <x v="12"/>
    <x v="0"/>
    <s v="Phòng Đào tạo"/>
    <s v="Giảng viên"/>
    <s v="Phạm Thị Thanh Mai"/>
    <d v="1993-09-19T00:00:00"/>
    <n v="26"/>
    <s v="Nữ"/>
    <s v="KTQD"/>
    <s v="Đại học"/>
    <s v="Hà Nội"/>
    <x v="1"/>
    <x v="2"/>
    <x v="3"/>
    <x v="0"/>
    <n v="1"/>
    <n v="1"/>
    <n v="1"/>
    <x v="1"/>
    <x v="5"/>
    <n v="500000"/>
  </r>
  <r>
    <n v="25"/>
    <x v="12"/>
    <x v="2"/>
    <s v="Phòng Đào tạo"/>
    <s v="Trưởng bộ phận Đào tạo"/>
    <s v="Nguyễn Mai Liên"/>
    <d v="1989-03-22T00:00:00"/>
    <n v="31"/>
    <s v="Nữ"/>
    <s v="Thương mại"/>
    <s v="Cao học"/>
    <s v="Hà Nội"/>
    <x v="1"/>
    <x v="4"/>
    <x v="0"/>
    <x v="0"/>
    <n v="1"/>
    <n v="1"/>
    <n v="1"/>
    <x v="1"/>
    <x v="3"/>
    <n v="10000000"/>
  </r>
  <r>
    <n v="26"/>
    <x v="13"/>
    <x v="1"/>
    <s v="Phòng Marekting"/>
    <s v="NV Marketing"/>
    <s v="Bùi Thị Thanh Hoài"/>
    <d v="1991-12-05T00:00:00"/>
    <n v="28"/>
    <s v="Nữ"/>
    <s v="FTU"/>
    <s v="Đại học"/>
    <s v="Bắc Giang"/>
    <x v="1"/>
    <x v="2"/>
    <x v="3"/>
    <x v="0"/>
    <n v="1"/>
    <n v="1"/>
    <n v="1"/>
    <x v="0"/>
    <x v="0"/>
    <n v="122000"/>
  </r>
  <r>
    <n v="27"/>
    <x v="13"/>
    <x v="0"/>
    <s v="Phòng Đào tạo"/>
    <s v="Giảng viên"/>
    <s v="Bùi Thị Quế"/>
    <d v="1991-06-20T00:00:00"/>
    <n v="29"/>
    <s v="Nữ"/>
    <s v="HV ngân hàng"/>
    <s v="Cao đẳng"/>
    <s v="Nam Định"/>
    <x v="1"/>
    <x v="1"/>
    <x v="2"/>
    <x v="4"/>
    <n v="1"/>
    <m/>
    <m/>
    <x v="0"/>
    <x v="0"/>
    <n v="121000"/>
  </r>
  <r>
    <n v="28"/>
    <x v="14"/>
    <x v="3"/>
    <s v="Phòng Đào tạo"/>
    <s v="Giảng viên"/>
    <s v="Trịnh Văn Mạnh"/>
    <d v="1992-08-24T00:00:00"/>
    <n v="28"/>
    <s v="Nam"/>
    <s v="ĐH Kinh tế QG"/>
    <s v="Đại học"/>
    <s v="Thanh Hóa"/>
    <x v="1"/>
    <x v="4"/>
    <x v="0"/>
    <x v="0"/>
    <n v="1"/>
    <n v="1"/>
    <m/>
    <x v="0"/>
    <x v="0"/>
    <n v="120000"/>
  </r>
  <r>
    <n v="29"/>
    <x v="14"/>
    <x v="1"/>
    <s v="Phòng kế toán"/>
    <s v="Kế toán thuế"/>
    <s v="Vũ Ngọc Linh"/>
    <d v="1994-07-27T00:00:00"/>
    <n v="26"/>
    <s v="Nữ"/>
    <s v="FTU"/>
    <s v="Cao đẳng"/>
    <s v="Nam Định"/>
    <x v="1"/>
    <x v="5"/>
    <x v="0"/>
    <x v="0"/>
    <n v="1"/>
    <n v="1"/>
    <m/>
    <x v="0"/>
    <x v="0"/>
    <n v="122000"/>
  </r>
  <r>
    <n v="30"/>
    <x v="14"/>
    <x v="3"/>
    <s v="Phòng Đào tạo"/>
    <s v="Giảng viên"/>
    <s v="Nguyễn Thị Kiều"/>
    <d v="1991-06-20T00:00:00"/>
    <n v="29"/>
    <s v="Nữ"/>
    <s v="FTU"/>
    <s v="Đại học"/>
    <s v="Hà Nội"/>
    <x v="0"/>
    <x v="0"/>
    <x v="0"/>
    <x v="0"/>
    <n v="1"/>
    <m/>
    <m/>
    <x v="0"/>
    <x v="0"/>
    <n v="445000"/>
  </r>
  <r>
    <n v="31"/>
    <x v="14"/>
    <x v="3"/>
    <s v="Admin"/>
    <s v="Bảo vệ"/>
    <s v="Nguyễn Thị Trang"/>
    <d v="1990-09-28T00:00:00"/>
    <n v="29"/>
    <s v="Nữ"/>
    <s v="FTU"/>
    <s v="Đại học"/>
    <s v="Nam Định"/>
    <x v="0"/>
    <x v="0"/>
    <x v="0"/>
    <x v="0"/>
    <n v="1"/>
    <n v="1"/>
    <n v="1"/>
    <x v="1"/>
    <x v="2"/>
    <n v="150000"/>
  </r>
  <r>
    <n v="32"/>
    <x v="14"/>
    <x v="1"/>
    <s v="Phòng kế toán"/>
    <s v="Kế toán thuế"/>
    <s v="Lê Thùy Linh"/>
    <d v="1990-05-03T00:00:00"/>
    <n v="30"/>
    <s v="Nữ"/>
    <s v="HV tài chính"/>
    <s v="Cao đẳng"/>
    <s v="Hà Nội"/>
    <x v="0"/>
    <x v="0"/>
    <x v="0"/>
    <x v="0"/>
    <n v="1"/>
    <n v="1"/>
    <n v="1"/>
    <x v="1"/>
    <x v="5"/>
    <n v="500000"/>
  </r>
  <r>
    <n v="33"/>
    <x v="15"/>
    <x v="3"/>
    <s v="Phòng kinh doanh"/>
    <s v="NV kinh doanh"/>
    <s v="Dương Thị Tuyết"/>
    <d v="1992-09-21T00:00:00"/>
    <n v="27"/>
    <s v="Nữ"/>
    <s v="HV tài chính"/>
    <s v="Cao đẳng"/>
    <s v="Hà Nội"/>
    <x v="0"/>
    <x v="0"/>
    <x v="0"/>
    <x v="0"/>
    <n v="1"/>
    <m/>
    <m/>
    <x v="0"/>
    <x v="0"/>
    <m/>
  </r>
  <r>
    <n v="34"/>
    <x v="15"/>
    <x v="1"/>
    <s v="Phòng hành chính nhân sự"/>
    <s v="Bảo vệ"/>
    <s v="Đoàn Hoàng Linh"/>
    <d v="1991-07-10T00:00:00"/>
    <n v="29"/>
    <s v="Nam"/>
    <s v="Mỏ địa chất"/>
    <s v="Đại học"/>
    <s v="Hà Nội"/>
    <x v="0"/>
    <x v="0"/>
    <x v="0"/>
    <x v="0"/>
    <n v="1"/>
    <n v="1"/>
    <m/>
    <x v="0"/>
    <x v="0"/>
    <m/>
  </r>
  <r>
    <n v="35"/>
    <x v="15"/>
    <x v="1"/>
    <s v="Phòng hành chính nhân sự"/>
    <s v="Bảo vệ"/>
    <s v="Nguyễn Thị Anh Thư"/>
    <d v="1991-03-05T00:00:00"/>
    <n v="29"/>
    <s v="Nữ"/>
    <s v="HV ngân hàng"/>
    <s v="Cao đẳng"/>
    <s v="Hà Nội"/>
    <x v="0"/>
    <x v="0"/>
    <x v="0"/>
    <x v="0"/>
    <n v="1"/>
    <m/>
    <m/>
    <x v="0"/>
    <x v="0"/>
    <m/>
  </r>
  <r>
    <n v="36"/>
    <x v="15"/>
    <x v="2"/>
    <s v="Admin"/>
    <s v="Tạp vụ"/>
    <s v="Lê Mai Linh"/>
    <d v="1991-03-05T00:00:00"/>
    <n v="29"/>
    <s v="Nữ"/>
    <s v="ĐH Văn Hóa"/>
    <s v="Cao đẳng"/>
    <s v="Hà Nội"/>
    <x v="0"/>
    <x v="3"/>
    <x v="0"/>
    <x v="0"/>
    <n v="1"/>
    <n v="1"/>
    <m/>
    <x v="0"/>
    <x v="0"/>
    <m/>
  </r>
  <r>
    <n v="37"/>
    <x v="15"/>
    <x v="3"/>
    <s v="Phòng kinh doanh"/>
    <s v="NV kinh doanh"/>
    <s v="Dương Thị Tuyết"/>
    <d v="1992-09-21T00:00:00"/>
    <n v="27"/>
    <s v="Nữ"/>
    <s v="HV tài chính"/>
    <s v="Cao đẳng"/>
    <s v="Hà Nội"/>
    <x v="0"/>
    <x v="0"/>
    <x v="0"/>
    <x v="0"/>
    <n v="1"/>
    <m/>
    <m/>
    <x v="0"/>
    <x v="0"/>
    <m/>
  </r>
  <r>
    <n v="38"/>
    <x v="15"/>
    <x v="1"/>
    <s v="Phòng hành chính nhân sự"/>
    <s v="Bảo vệ"/>
    <s v="Đoàn Hoàng Linh"/>
    <d v="1991-07-10T00:00:00"/>
    <n v="29"/>
    <s v="Nam"/>
    <s v="Mỏ địa chất"/>
    <s v="Đại học"/>
    <s v="Hà Nội"/>
    <x v="0"/>
    <x v="0"/>
    <x v="0"/>
    <x v="0"/>
    <n v="1"/>
    <n v="1"/>
    <m/>
    <x v="0"/>
    <x v="0"/>
    <m/>
  </r>
  <r>
    <n v="39"/>
    <x v="15"/>
    <x v="1"/>
    <s v="Phòng hành chính nhân sự"/>
    <s v="Bảo vệ"/>
    <s v="Nguyễn Thị Anh Thư"/>
    <d v="1991-03-05T00:00:00"/>
    <n v="29"/>
    <s v="Nữ"/>
    <s v="HV ngân hàng"/>
    <s v="Cao đẳng"/>
    <s v="Hà Nội"/>
    <x v="0"/>
    <x v="0"/>
    <x v="0"/>
    <x v="0"/>
    <n v="1"/>
    <m/>
    <m/>
    <x v="0"/>
    <x v="0"/>
    <m/>
  </r>
  <r>
    <n v="40"/>
    <x v="15"/>
    <x v="2"/>
    <s v="Admin"/>
    <s v="Tạp vụ"/>
    <s v="Lê Mai Linh"/>
    <d v="1991-03-05T00:00:00"/>
    <n v="29"/>
    <s v="Nữ"/>
    <s v="ĐH Văn Hóa"/>
    <s v="Cao đẳng"/>
    <s v="Hà Nội"/>
    <x v="0"/>
    <x v="3"/>
    <x v="0"/>
    <x v="0"/>
    <n v="1"/>
    <n v="1"/>
    <m/>
    <x v="0"/>
    <x v="0"/>
    <m/>
  </r>
  <r>
    <n v="41"/>
    <x v="15"/>
    <x v="3"/>
    <s v="Phòng kinh doanh"/>
    <s v="NV kinh doanh"/>
    <s v="Nguyễn Thu Hằng"/>
    <d v="1990-05-03T00:00:00"/>
    <n v="30"/>
    <s v="Nữ"/>
    <s v="ĐH Quốc gia"/>
    <s v="Đại học"/>
    <s v="Hà Nội"/>
    <x v="0"/>
    <x v="0"/>
    <x v="0"/>
    <x v="0"/>
    <n v="1"/>
    <n v="1"/>
    <m/>
    <x v="0"/>
    <x v="0"/>
    <n v="261000"/>
  </r>
  <r>
    <n v="42"/>
    <x v="15"/>
    <x v="4"/>
    <s v="Phòng kinh doanh"/>
    <s v="NV kinh doanh"/>
    <s v="Nguyễn Song Toàn"/>
    <d v="1990-02-15T00:00:00"/>
    <n v="30"/>
    <s v="Nam"/>
    <s v="Thương mại"/>
    <s v="Cao đẳng"/>
    <s v="Hà Nội"/>
    <x v="1"/>
    <x v="1"/>
    <x v="1"/>
    <x v="7"/>
    <n v="1"/>
    <n v="1"/>
    <m/>
    <x v="0"/>
    <x v="0"/>
    <n v="120000"/>
  </r>
  <r>
    <n v="43"/>
    <x v="15"/>
    <x v="2"/>
    <s v="Phòng Đào tạo"/>
    <s v="Giảng viên"/>
    <s v="Nguyễn Quỳnh Trang"/>
    <d v="1991-03-05T00:00:00"/>
    <n v="29"/>
    <s v="Nữ"/>
    <s v="HV ngân hàng"/>
    <s v="Cao đẳng"/>
    <s v="Hưng Yên"/>
    <x v="1"/>
    <x v="1"/>
    <x v="2"/>
    <x v="4"/>
    <n v="1"/>
    <n v="1"/>
    <n v="1"/>
    <x v="1"/>
    <x v="7"/>
    <n v="150000"/>
  </r>
  <r>
    <n v="44"/>
    <x v="16"/>
    <x v="0"/>
    <s v="Phòng Đào tạo"/>
    <s v="Giảng viên"/>
    <s v="Phan Thị Liễu"/>
    <d v="1989-03-22T00:00:00"/>
    <n v="31"/>
    <s v="Nữ"/>
    <s v="FTU"/>
    <s v="Đại học"/>
    <s v="Hà Nội"/>
    <x v="1"/>
    <x v="4"/>
    <x v="0"/>
    <x v="0"/>
    <n v="1"/>
    <m/>
    <m/>
    <x v="0"/>
    <x v="0"/>
    <n v="121000"/>
  </r>
  <r>
    <n v="45"/>
    <x v="16"/>
    <x v="2"/>
    <s v="Admin"/>
    <s v="Tạp vụ"/>
    <s v="Hoàng Thị Thanh Huyền"/>
    <d v="1994-11-14T00:00:00"/>
    <n v="25"/>
    <s v="Nữ"/>
    <s v="KTQD"/>
    <s v="Cao đẳng"/>
    <s v="Hà Nội"/>
    <x v="1"/>
    <x v="1"/>
    <x v="2"/>
    <x v="2"/>
    <n v="1"/>
    <m/>
    <m/>
    <x v="0"/>
    <x v="0"/>
    <n v="120000"/>
  </r>
  <r>
    <n v="46"/>
    <x v="17"/>
    <x v="3"/>
    <s v="Admin"/>
    <s v="Bảo vệ"/>
    <s v="Nguyễn Thị Xuân Hạnh"/>
    <d v="1993-02-21T00:00:00"/>
    <n v="27"/>
    <s v="Nữ"/>
    <s v="FTU"/>
    <s v="Cao học"/>
    <s v="Hà Nội"/>
    <x v="1"/>
    <x v="1"/>
    <x v="2"/>
    <x v="5"/>
    <n v="1"/>
    <n v="1"/>
    <n v="1"/>
    <x v="1"/>
    <x v="8"/>
    <n v="150000"/>
  </r>
  <r>
    <n v="47"/>
    <x v="17"/>
    <x v="1"/>
    <s v="Phòng Marekting"/>
    <s v="NV Marketing"/>
    <s v="Trần Gia Mạnh"/>
    <d v="1986-05-21T00:00:00"/>
    <n v="34"/>
    <s v="Nữ"/>
    <s v="FTU"/>
    <s v="Cao đẳng"/>
    <s v="Hà Nội"/>
    <x v="0"/>
    <x v="3"/>
    <x v="0"/>
    <x v="0"/>
    <n v="1"/>
    <m/>
    <n v="1"/>
    <x v="1"/>
    <x v="9"/>
    <n v="645000"/>
  </r>
  <r>
    <n v="48"/>
    <x v="17"/>
    <x v="3"/>
    <s v="Admin"/>
    <s v="Bảo vệ"/>
    <s v="Nguyễn Thị Xuân Hạnh"/>
    <d v="1993-02-21T00:00:00"/>
    <n v="27"/>
    <s v="Nữ"/>
    <s v="FTU"/>
    <s v="Cao học"/>
    <s v="Hà Nội"/>
    <x v="1"/>
    <x v="1"/>
    <x v="2"/>
    <x v="5"/>
    <n v="1"/>
    <n v="1"/>
    <n v="1"/>
    <x v="1"/>
    <x v="8"/>
    <n v="150000"/>
  </r>
  <r>
    <n v="49"/>
    <x v="17"/>
    <x v="1"/>
    <s v="Phòng Marekting"/>
    <s v="NV Marketing"/>
    <s v="Trần Gia Mạnh"/>
    <d v="1986-05-21T00:00:00"/>
    <n v="34"/>
    <s v="Nữ"/>
    <s v="FTU"/>
    <s v="Cao đẳng"/>
    <s v="Hà Nội"/>
    <x v="0"/>
    <x v="3"/>
    <x v="0"/>
    <x v="0"/>
    <n v="1"/>
    <m/>
    <n v="1"/>
    <x v="1"/>
    <x v="9"/>
    <n v="645000"/>
  </r>
  <r>
    <n v="50"/>
    <x v="18"/>
    <x v="1"/>
    <s v="Phòng kế toán"/>
    <s v="Kế toán thuế"/>
    <s v="Trương Thanh Hằng"/>
    <d v="1991-06-20T00:00:00"/>
    <n v="29"/>
    <s v="Nữ"/>
    <s v="ĐH Quốc gia"/>
    <s v="Cao học"/>
    <s v="Hưng Yên"/>
    <x v="0"/>
    <x v="3"/>
    <x v="0"/>
    <x v="0"/>
    <n v="1"/>
    <m/>
    <m/>
    <x v="0"/>
    <x v="0"/>
    <m/>
  </r>
  <r>
    <n v="51"/>
    <x v="19"/>
    <x v="2"/>
    <s v="Phòng Đào tạo"/>
    <s v="Giảng viên"/>
    <s v="Quản Thị Thùy Dương"/>
    <d v="1993-11-22T00:00:00"/>
    <n v="26"/>
    <s v="Nữ"/>
    <s v="FTU"/>
    <s v="Đại học"/>
    <s v="Hà Nội"/>
    <x v="1"/>
    <x v="5"/>
    <x v="0"/>
    <x v="0"/>
    <n v="1"/>
    <m/>
    <m/>
    <x v="0"/>
    <x v="0"/>
    <n v="150000"/>
  </r>
  <r>
    <n v="52"/>
    <x v="20"/>
    <x v="1"/>
    <s v="Phòng hành chính nhân sự"/>
    <s v="Bảo vệ"/>
    <s v="Trịnh Văn Mạnh"/>
    <d v="1990-05-23T00:00:00"/>
    <n v="30"/>
    <s v="Nữ"/>
    <s v="Ngoại ngữ QG"/>
    <s v="Đại học"/>
    <s v="Hà Nội"/>
    <x v="0"/>
    <x v="0"/>
    <x v="0"/>
    <x v="0"/>
    <n v="1"/>
    <n v="1"/>
    <m/>
    <x v="0"/>
    <x v="0"/>
    <m/>
  </r>
  <r>
    <n v="53"/>
    <x v="20"/>
    <x v="2"/>
    <s v="Phòng Đào tạo"/>
    <s v="Trưởng bộ phận Đào tạo"/>
    <s v="Phạm Thị Hà"/>
    <d v="1993-05-29T00:00:00"/>
    <n v="27"/>
    <s v="Nữ"/>
    <s v="HV tài chính"/>
    <s v="Cao học"/>
    <s v="Hà Nội"/>
    <x v="1"/>
    <x v="2"/>
    <x v="3"/>
    <x v="0"/>
    <n v="1"/>
    <m/>
    <m/>
    <x v="0"/>
    <x v="0"/>
    <n v="120000"/>
  </r>
  <r>
    <n v="54"/>
    <x v="21"/>
    <x v="3"/>
    <s v="Phòng Đào tạo"/>
    <s v="Giảng viên"/>
    <s v="Vũ Thị Bích"/>
    <d v="1990-05-23T00:00:00"/>
    <n v="30"/>
    <s v="Nữ"/>
    <s v="ĐH Công nghiệp HCM"/>
    <s v="Cao học"/>
    <s v="Bắc Giang"/>
    <x v="1"/>
    <x v="2"/>
    <x v="3"/>
    <x v="0"/>
    <n v="1"/>
    <n v="1"/>
    <n v="1"/>
    <x v="1"/>
    <x v="3"/>
    <n v="121000"/>
  </r>
  <r>
    <n v="55"/>
    <x v="22"/>
    <x v="2"/>
    <s v="Admin"/>
    <s v="Tạp vụ"/>
    <s v="Đỗ Bích Liên"/>
    <d v="1990-06-17T00:00:00"/>
    <n v="30"/>
    <s v="Nữ"/>
    <s v="Thăng Long"/>
    <s v="Cao đẳng"/>
    <s v="Hà Nội"/>
    <x v="0"/>
    <x v="0"/>
    <x v="0"/>
    <x v="0"/>
    <n v="1"/>
    <n v="1"/>
    <m/>
    <x v="0"/>
    <x v="0"/>
    <m/>
  </r>
  <r>
    <n v="56"/>
    <x v="23"/>
    <x v="2"/>
    <s v="Phòng Đào tạo"/>
    <s v="Giảng viên"/>
    <s v="Nguyễn Thị Xuân Hạnh"/>
    <d v="1990-09-28T00:00:00"/>
    <n v="29"/>
    <s v="Nam"/>
    <s v="FTU"/>
    <s v="Đại học"/>
    <s v="Bắc Giang"/>
    <x v="1"/>
    <x v="5"/>
    <x v="0"/>
    <x v="0"/>
    <n v="1"/>
    <m/>
    <m/>
    <x v="0"/>
    <x v="0"/>
    <n v="150000"/>
  </r>
  <r>
    <n v="57"/>
    <x v="23"/>
    <x v="3"/>
    <s v="Phòng kinh doanh"/>
    <s v="NV kinh doanh"/>
    <s v="Phạm Minh Trang"/>
    <d v="1990-06-17T00:00:00"/>
    <n v="30"/>
    <s v="Nữ"/>
    <s v="FTU"/>
    <s v="Đại học"/>
    <s v="Bắc Giang"/>
    <x v="1"/>
    <x v="1"/>
    <x v="1"/>
    <x v="4"/>
    <n v="1"/>
    <m/>
    <m/>
    <x v="0"/>
    <x v="0"/>
    <n v="122000"/>
  </r>
  <r>
    <n v="58"/>
    <x v="24"/>
    <x v="1"/>
    <s v="Phòng Marekting"/>
    <s v="NV Marketing"/>
    <s v="Phạm Thị Cẩm Trà"/>
    <d v="1990-05-23T00:00:00"/>
    <n v="30"/>
    <s v="Nữ"/>
    <s v="Kinh doanh công nghệ"/>
    <s v="Đại học"/>
    <s v="Nghệ An"/>
    <x v="1"/>
    <x v="1"/>
    <x v="1"/>
    <x v="1"/>
    <n v="1"/>
    <m/>
    <m/>
    <x v="0"/>
    <x v="0"/>
    <n v="400000"/>
  </r>
  <r>
    <n v="59"/>
    <x v="24"/>
    <x v="0"/>
    <s v="Phòng Đào tạo"/>
    <s v="Giảng viên"/>
    <s v="Lê Thị Hương Giang"/>
    <d v="1991-06-20T00:00:00"/>
    <n v="29"/>
    <s v="Nữ"/>
    <s v="FTU"/>
    <s v="Cao học"/>
    <s v="Nghệ An"/>
    <x v="1"/>
    <x v="1"/>
    <x v="1"/>
    <x v="3"/>
    <n v="1"/>
    <m/>
    <m/>
    <x v="0"/>
    <x v="0"/>
    <m/>
  </r>
  <r>
    <n v="60"/>
    <x v="25"/>
    <x v="1"/>
    <s v="Phòng kế toán"/>
    <s v="Kế toán thuế"/>
    <s v="Nguyễn Thu Hiền"/>
    <d v="1991-03-30T00:00:00"/>
    <n v="29"/>
    <s v="Nữ"/>
    <s v="FTU"/>
    <s v="Đại học"/>
    <s v="Hà Nội"/>
    <x v="1"/>
    <x v="1"/>
    <x v="1"/>
    <x v="1"/>
    <n v="1"/>
    <n v="1"/>
    <n v="1"/>
    <x v="1"/>
    <x v="10"/>
    <m/>
  </r>
  <r>
    <n v="61"/>
    <x v="25"/>
    <x v="2"/>
    <s v="Phòng Đào tạo"/>
    <s v="Giảng viên"/>
    <s v="Đặng Thị Thu Hương"/>
    <d v="1990-05-03T00:00:00"/>
    <n v="30"/>
    <s v="Nữ"/>
    <s v="Thương mại"/>
    <s v="Đại học"/>
    <s v="Hà Nội"/>
    <x v="1"/>
    <x v="2"/>
    <x v="3"/>
    <x v="0"/>
    <n v="1"/>
    <n v="1"/>
    <n v="1"/>
    <x v="1"/>
    <x v="11"/>
    <n v="121000"/>
  </r>
  <r>
    <n v="62"/>
    <x v="25"/>
    <x v="1"/>
    <s v="Phòng kế toán"/>
    <s v="Kế toán thuế"/>
    <s v="Nguyễn Thu Hiền"/>
    <d v="1991-03-30T00:00:00"/>
    <n v="29"/>
    <s v="Nữ"/>
    <s v="FTU"/>
    <s v="Đại học"/>
    <s v="Hà Nội"/>
    <x v="1"/>
    <x v="1"/>
    <x v="1"/>
    <x v="1"/>
    <n v="1"/>
    <n v="1"/>
    <n v="1"/>
    <x v="1"/>
    <x v="10"/>
    <m/>
  </r>
  <r>
    <n v="63"/>
    <x v="25"/>
    <x v="2"/>
    <s v="Phòng Đào tạo"/>
    <s v="Giảng viên"/>
    <s v="Đặng Thị Thu Hương"/>
    <d v="1990-05-03T00:00:00"/>
    <n v="30"/>
    <s v="Nữ"/>
    <s v="Thương mại"/>
    <s v="Đại học"/>
    <s v="Hà Nội"/>
    <x v="1"/>
    <x v="2"/>
    <x v="3"/>
    <x v="0"/>
    <n v="1"/>
    <n v="1"/>
    <n v="1"/>
    <x v="1"/>
    <x v="11"/>
    <n v="121000"/>
  </r>
  <r>
    <n v="64"/>
    <x v="26"/>
    <x v="2"/>
    <s v="Admin"/>
    <s v="Tạp vụ"/>
    <s v="Nguyễn Mai Liên"/>
    <d v="1990-06-17T00:00:00"/>
    <n v="30"/>
    <s v="Nữ"/>
    <s v="Thương mại"/>
    <s v="Đại học"/>
    <s v="Hà Nội"/>
    <x v="1"/>
    <x v="2"/>
    <x v="3"/>
    <x v="0"/>
    <n v="1"/>
    <n v="1"/>
    <m/>
    <x v="0"/>
    <x v="0"/>
    <n v="50000"/>
  </r>
  <r>
    <n v="65"/>
    <x v="27"/>
    <x v="3"/>
    <s v="Phòng Đào tạo"/>
    <s v="Giảng viên"/>
    <s v="Nguyễn Ngọc Quỳnh"/>
    <d v="1990-09-28T00:00:00"/>
    <n v="29"/>
    <s v="Nữ"/>
    <s v="Thương mại"/>
    <s v="Cao học"/>
    <s v="Hà Nội"/>
    <x v="1"/>
    <x v="4"/>
    <x v="0"/>
    <x v="0"/>
    <n v="1"/>
    <m/>
    <m/>
    <x v="0"/>
    <x v="0"/>
    <m/>
  </r>
  <r>
    <n v="66"/>
    <x v="27"/>
    <x v="2"/>
    <s v="Admin"/>
    <s v="Tạp vụ"/>
    <s v="Lê Thùy Linh"/>
    <d v="1990-09-16T00:00:00"/>
    <n v="29"/>
    <s v="Nữ"/>
    <s v="FTU"/>
    <s v="Đại học"/>
    <s v="Nam Định"/>
    <x v="1"/>
    <x v="5"/>
    <x v="0"/>
    <x v="0"/>
    <n v="1"/>
    <m/>
    <m/>
    <x v="0"/>
    <x v="0"/>
    <n v="45000"/>
  </r>
  <r>
    <n v="67"/>
    <x v="28"/>
    <x v="3"/>
    <s v="Admin"/>
    <s v="Bảo vệ"/>
    <s v="Nguyễn Thị Kiều"/>
    <d v="1990-02-15T00:00:00"/>
    <n v="30"/>
    <s v="Nữ"/>
    <s v="ĐH Công nghiệp HCM"/>
    <s v="Đại học"/>
    <s v="Vĩnh Phúc"/>
    <x v="1"/>
    <x v="2"/>
    <x v="3"/>
    <x v="0"/>
    <n v="1"/>
    <m/>
    <m/>
    <x v="0"/>
    <x v="0"/>
    <n v="50000"/>
  </r>
  <r>
    <n v="68"/>
    <x v="29"/>
    <x v="2"/>
    <s v="Admin"/>
    <s v="Tạp vụ"/>
    <s v="Lê Mai Linh"/>
    <d v="1993-08-14T00:00:00"/>
    <n v="27"/>
    <s v="Nữ"/>
    <s v="FTU"/>
    <s v="Đại học"/>
    <s v="Hà Nội"/>
    <x v="1"/>
    <x v="2"/>
    <x v="3"/>
    <x v="0"/>
    <n v="1"/>
    <n v="1"/>
    <m/>
    <x v="0"/>
    <x v="0"/>
    <n v="50000"/>
  </r>
  <r>
    <n v="69"/>
    <x v="29"/>
    <x v="4"/>
    <s v="Phòng kinh doanh"/>
    <s v="NV kinh doanh"/>
    <s v="Nguyễn Thu Hằng"/>
    <d v="1989-03-22T00:00:00"/>
    <n v="31"/>
    <s v="Nữ"/>
    <s v="Thăng Long"/>
    <s v="Cao học"/>
    <s v="Hà Nội"/>
    <x v="0"/>
    <x v="0"/>
    <x v="0"/>
    <x v="0"/>
    <n v="1"/>
    <n v="1"/>
    <n v="1"/>
    <x v="1"/>
    <x v="12"/>
    <n v="22000"/>
  </r>
  <r>
    <n v="70"/>
    <x v="30"/>
    <x v="1"/>
    <s v="Phòng hành chính nhân sự"/>
    <s v="Bảo vệ"/>
    <s v="Lê Hà Linh"/>
    <d v="1991-08-26T00:00:00"/>
    <n v="29"/>
    <s v="Nữ"/>
    <s v="ĐH Mở"/>
    <s v="Đại học"/>
    <s v="Hà Nội"/>
    <x v="1"/>
    <x v="2"/>
    <x v="3"/>
    <x v="0"/>
    <n v="1"/>
    <n v="1"/>
    <n v="1"/>
    <x v="0"/>
    <x v="0"/>
    <n v="50000"/>
  </r>
  <r>
    <n v="71"/>
    <x v="31"/>
    <x v="3"/>
    <s v="Phòng kinh doanh"/>
    <s v="NV kinh doanh"/>
    <s v="Phạm Minh Trang"/>
    <d v="1990-06-17T00:00:00"/>
    <n v="30"/>
    <s v="Nữ"/>
    <s v="FTU"/>
    <s v="Đại học"/>
    <s v="Bắc Giang"/>
    <x v="1"/>
    <x v="1"/>
    <x v="2"/>
    <x v="4"/>
    <n v="1"/>
    <m/>
    <m/>
    <x v="0"/>
    <x v="0"/>
    <n v="500000"/>
  </r>
  <r>
    <n v="72"/>
    <x v="31"/>
    <x v="1"/>
    <s v="Phòng Marekting"/>
    <s v="NV Marketing"/>
    <s v="Đào Thị Lan"/>
    <d v="1989-02-19T00:00:00"/>
    <n v="31"/>
    <s v="Nữ"/>
    <s v="HV ngân hàng"/>
    <s v="Đại học"/>
    <s v="Hải Dương"/>
    <x v="1"/>
    <x v="1"/>
    <x v="2"/>
    <x v="2"/>
    <n v="1"/>
    <n v="1"/>
    <n v="1"/>
    <x v="1"/>
    <x v="13"/>
    <n v="22000"/>
  </r>
  <r>
    <n v="73"/>
    <x v="32"/>
    <x v="3"/>
    <s v="Phòng kinh doanh"/>
    <s v="NV kinh doanh"/>
    <s v="Vũ Thị Thư"/>
    <d v="1991-12-01T00:00:00"/>
    <n v="28"/>
    <s v="Nữ"/>
    <s v="HV tài chính"/>
    <s v="Đại học"/>
    <s v="Hà Nội"/>
    <x v="1"/>
    <x v="2"/>
    <x v="3"/>
    <x v="0"/>
    <n v="1"/>
    <n v="1"/>
    <n v="1"/>
    <x v="1"/>
    <x v="14"/>
    <n v="150000"/>
  </r>
  <r>
    <n v="74"/>
    <x v="33"/>
    <x v="1"/>
    <s v="Phòng kế toán"/>
    <s v="Kế toán thuế"/>
    <s v="Vũ Thị Bích"/>
    <d v="1990-08-03T00:00:00"/>
    <n v="30"/>
    <s v="Nữ"/>
    <s v="HV ngân hàng"/>
    <s v="Đại học"/>
    <s v="Hà Nội"/>
    <x v="0"/>
    <x v="3"/>
    <x v="0"/>
    <x v="0"/>
    <n v="1"/>
    <m/>
    <m/>
    <x v="0"/>
    <x v="0"/>
    <n v="120000"/>
  </r>
  <r>
    <n v="75"/>
    <x v="34"/>
    <x v="1"/>
    <s v="Phòng hành chính nhân sự"/>
    <s v="Bảo vệ"/>
    <s v="Lương Thị Hương Liên"/>
    <d v="1991-12-22T00:00:00"/>
    <n v="28"/>
    <s v="Nữ"/>
    <s v="ĐH Văn Hóa"/>
    <s v="Đại học"/>
    <s v="Hà Nội"/>
    <x v="1"/>
    <x v="1"/>
    <x v="2"/>
    <x v="4"/>
    <n v="1"/>
    <n v="1"/>
    <n v="1"/>
    <x v="1"/>
    <x v="12"/>
    <n v="121000"/>
  </r>
  <r>
    <n v="76"/>
    <x v="35"/>
    <x v="3"/>
    <s v="Admin"/>
    <s v="Bảo vệ"/>
    <s v="Nguyễn Thị Xuân Hạnh"/>
    <d v="1993-02-21T00:00:00"/>
    <n v="27"/>
    <s v="Nữ"/>
    <s v="FTU"/>
    <s v="Cao học"/>
    <s v="Hà Nội"/>
    <x v="1"/>
    <x v="1"/>
    <x v="2"/>
    <x v="5"/>
    <n v="1"/>
    <n v="1"/>
    <n v="1"/>
    <x v="1"/>
    <x v="15"/>
    <n v="150000"/>
  </r>
  <r>
    <n v="77"/>
    <x v="36"/>
    <x v="2"/>
    <s v="Phòng Đào tạo"/>
    <s v="Giảng viên"/>
    <s v="Quản Thị Thùy Dương"/>
    <d v="1993-11-22T00:00:00"/>
    <n v="26"/>
    <s v="Nữ"/>
    <s v="FTU"/>
    <s v="Đại học"/>
    <s v="Hà Nội"/>
    <x v="1"/>
    <x v="5"/>
    <x v="0"/>
    <x v="0"/>
    <n v="1"/>
    <m/>
    <m/>
    <x v="0"/>
    <x v="0"/>
    <n v="150000"/>
  </r>
  <r>
    <n v="78"/>
    <x v="36"/>
    <x v="2"/>
    <s v="Admin"/>
    <s v="Tạp vụ"/>
    <s v="Đỗ Bích Liên"/>
    <d v="1990-06-17T00:00:00"/>
    <n v="30"/>
    <s v="Nữ"/>
    <s v="Thăng Long"/>
    <s v="Cao đẳng"/>
    <s v="Hà Nội"/>
    <x v="0"/>
    <x v="3"/>
    <x v="0"/>
    <x v="0"/>
    <n v="1"/>
    <n v="1"/>
    <n v="1"/>
    <x v="0"/>
    <x v="0"/>
    <n v="122000"/>
  </r>
  <r>
    <n v="79"/>
    <x v="36"/>
    <x v="2"/>
    <s v="Admin"/>
    <s v="Tạp vụ"/>
    <s v="Nguyễn Tố An"/>
    <d v="1990-06-17T00:00:00"/>
    <n v="30"/>
    <s v="Nữ"/>
    <s v="Thăng Long"/>
    <s v="Cao đẳng"/>
    <s v="Hà Nội"/>
    <x v="0"/>
    <x v="3"/>
    <x v="0"/>
    <x v="0"/>
    <n v="1"/>
    <n v="1"/>
    <m/>
    <x v="0"/>
    <x v="0"/>
    <n v="122000"/>
  </r>
  <r>
    <n v="80"/>
    <x v="36"/>
    <x v="2"/>
    <s v="Phòng Đào tạo"/>
    <s v="Giảng viên"/>
    <s v="Quản Thị Thùy Dương"/>
    <d v="1993-11-22T00:00:00"/>
    <n v="26"/>
    <s v="Nữ"/>
    <s v="FTU"/>
    <s v="Đại học"/>
    <s v="Hà Nội"/>
    <x v="1"/>
    <x v="5"/>
    <x v="0"/>
    <x v="0"/>
    <n v="1"/>
    <m/>
    <m/>
    <x v="0"/>
    <x v="0"/>
    <n v="150000"/>
  </r>
  <r>
    <n v="81"/>
    <x v="36"/>
    <x v="2"/>
    <s v="Admin"/>
    <s v="Tạp vụ"/>
    <s v="Đỗ Bích Liên"/>
    <d v="1990-06-17T00:00:00"/>
    <n v="30"/>
    <s v="Nữ"/>
    <s v="Thăng Long"/>
    <s v="Cao đẳng"/>
    <s v="Hà Nội"/>
    <x v="0"/>
    <x v="3"/>
    <x v="0"/>
    <x v="0"/>
    <n v="1"/>
    <n v="1"/>
    <m/>
    <x v="0"/>
    <x v="0"/>
    <n v="122000"/>
  </r>
  <r>
    <n v="82"/>
    <x v="36"/>
    <x v="2"/>
    <s v="Admin"/>
    <s v="Tạp vụ"/>
    <s v="Nguyễn Tố An"/>
    <d v="1990-06-17T00:00:00"/>
    <n v="30"/>
    <s v="Nữ"/>
    <s v="Thăng Long"/>
    <s v="Cao đẳng"/>
    <s v="Hà Nội"/>
    <x v="0"/>
    <x v="3"/>
    <x v="0"/>
    <x v="0"/>
    <n v="1"/>
    <n v="1"/>
    <m/>
    <x v="0"/>
    <x v="0"/>
    <n v="122000"/>
  </r>
  <r>
    <n v="83"/>
    <x v="37"/>
    <x v="2"/>
    <s v="Admin"/>
    <s v="Tạp vụ"/>
    <s v="Phạm Thị Hà"/>
    <d v="1993-05-29T00:00:00"/>
    <n v="27"/>
    <s v="Nữ"/>
    <s v="HV tài chính"/>
    <s v="Cao học"/>
    <s v="Hà Nội"/>
    <x v="1"/>
    <x v="2"/>
    <x v="3"/>
    <x v="0"/>
    <n v="1"/>
    <m/>
    <m/>
    <x v="0"/>
    <x v="0"/>
    <n v="50000"/>
  </r>
  <r>
    <n v="84"/>
    <x v="37"/>
    <x v="1"/>
    <s v="Phòng hành chính nhân sự"/>
    <s v="Bảo vệ"/>
    <s v="Trịnh Văn Mạnh"/>
    <d v="1990-05-23T00:00:00"/>
    <n v="30"/>
    <s v="Nữ"/>
    <s v="Ngoại ngữ QG"/>
    <s v="Đại học"/>
    <s v="Hà Nội"/>
    <x v="1"/>
    <x v="2"/>
    <x v="3"/>
    <x v="0"/>
    <n v="1"/>
    <n v="1"/>
    <m/>
    <x v="0"/>
    <x v="0"/>
    <n v="100000"/>
  </r>
  <r>
    <n v="85"/>
    <x v="37"/>
    <x v="1"/>
    <s v="Phòng hành chính nhân sự"/>
    <s v="Bảo vệ"/>
    <s v="Cao Thị Huyền Trang"/>
    <d v="1990-05-23T00:00:00"/>
    <n v="30"/>
    <s v="Nữ"/>
    <s v="Ngoại ngữ QG"/>
    <s v="Đại học"/>
    <s v="Hà Nội"/>
    <x v="1"/>
    <x v="2"/>
    <x v="3"/>
    <x v="0"/>
    <n v="1"/>
    <n v="1"/>
    <n v="1"/>
    <x v="0"/>
    <x v="0"/>
    <n v="100000"/>
  </r>
  <r>
    <n v="86"/>
    <x v="37"/>
    <x v="2"/>
    <s v="Admin"/>
    <s v="Tạp vụ"/>
    <s v="Phạm Thị Hà"/>
    <d v="1993-05-29T00:00:00"/>
    <n v="27"/>
    <s v="Nữ"/>
    <s v="HV tài chính"/>
    <s v="Cao học"/>
    <s v="Hà Nội"/>
    <x v="1"/>
    <x v="2"/>
    <x v="3"/>
    <x v="0"/>
    <n v="1"/>
    <m/>
    <m/>
    <x v="0"/>
    <x v="0"/>
    <n v="50000"/>
  </r>
  <r>
    <n v="87"/>
    <x v="37"/>
    <x v="1"/>
    <s v="Phòng hành chính nhân sự"/>
    <s v="Bảo vệ"/>
    <s v="Trịnh Văn Mạnh"/>
    <d v="1990-05-23T00:00:00"/>
    <n v="30"/>
    <s v="Nữ"/>
    <s v="Ngoại ngữ QG"/>
    <s v="Đại học"/>
    <s v="Hà Nội"/>
    <x v="1"/>
    <x v="2"/>
    <x v="3"/>
    <x v="0"/>
    <n v="1"/>
    <n v="1"/>
    <m/>
    <x v="0"/>
    <x v="0"/>
    <n v="100000"/>
  </r>
  <r>
    <n v="88"/>
    <x v="37"/>
    <x v="1"/>
    <s v="Phòng hành chính nhân sự"/>
    <s v="Bảo vệ"/>
    <s v="Cao Thị Huyền Trang"/>
    <d v="1990-05-23T00:00:00"/>
    <n v="30"/>
    <s v="Nữ"/>
    <s v="Ngoại ngữ QG"/>
    <s v="Đại học"/>
    <s v="Hà Nội"/>
    <x v="1"/>
    <x v="2"/>
    <x v="3"/>
    <x v="0"/>
    <n v="1"/>
    <n v="1"/>
    <m/>
    <x v="0"/>
    <x v="0"/>
    <n v="100000"/>
  </r>
  <r>
    <n v="89"/>
    <x v="38"/>
    <x v="4"/>
    <s v="Phòng kinh doanh"/>
    <s v="NV kinh doanh"/>
    <s v="Lê Thị Hương Giang"/>
    <d v="1989-03-22T00:00:00"/>
    <n v="31"/>
    <s v="Nữ"/>
    <s v="Ngoại ngữ QG"/>
    <s v="Đại học"/>
    <s v="Hà Nội"/>
    <x v="0"/>
    <x v="3"/>
    <x v="0"/>
    <x v="0"/>
    <n v="1"/>
    <m/>
    <m/>
    <x v="0"/>
    <x v="0"/>
    <n v="150000"/>
  </r>
  <r>
    <n v="90"/>
    <x v="38"/>
    <x v="2"/>
    <s v="Phòng Đào tạo"/>
    <s v="Trưởng bộ phận Đào tạo"/>
    <s v="Trần Gia Mạnh"/>
    <d v="1994-02-19T00:00:00"/>
    <n v="26"/>
    <s v="Nam"/>
    <s v="KTQD"/>
    <s v="Đại học"/>
    <s v="Nam Định"/>
    <x v="1"/>
    <x v="1"/>
    <x v="1"/>
    <x v="1"/>
    <n v="1"/>
    <n v="1"/>
    <m/>
    <x v="0"/>
    <x v="0"/>
    <m/>
  </r>
  <r>
    <n v="91"/>
    <x v="38"/>
    <x v="3"/>
    <s v="Admin"/>
    <s v="Bảo vệ"/>
    <s v="Đinh Thị Kim Huệ"/>
    <d v="1991-03-05T00:00:00"/>
    <n v="29"/>
    <s v="Nam"/>
    <s v="FTU"/>
    <s v="Cao đẳng"/>
    <s v="Bắc Giang"/>
    <x v="1"/>
    <x v="1"/>
    <x v="2"/>
    <x v="5"/>
    <n v="1"/>
    <n v="1"/>
    <m/>
    <x v="0"/>
    <x v="0"/>
    <n v="100000"/>
  </r>
  <r>
    <n v="92"/>
    <x v="38"/>
    <x v="2"/>
    <s v="Phòng Đào tạo"/>
    <s v="Trưởng bộ phận Đào tạo"/>
    <s v="Trần Gia Mạnh"/>
    <d v="1994-02-19T00:00:00"/>
    <n v="26"/>
    <s v="Nam"/>
    <s v="KTQD"/>
    <s v="Đại học"/>
    <s v="Nam Định"/>
    <x v="1"/>
    <x v="1"/>
    <x v="1"/>
    <x v="1"/>
    <n v="1"/>
    <n v="1"/>
    <m/>
    <x v="0"/>
    <x v="0"/>
    <m/>
  </r>
  <r>
    <n v="93"/>
    <x v="38"/>
    <x v="3"/>
    <s v="Admin"/>
    <s v="Bảo vệ"/>
    <s v="Đinh Thị Kim Huệ"/>
    <d v="1991-03-05T00:00:00"/>
    <n v="29"/>
    <s v="Nam"/>
    <s v="FTU"/>
    <s v="Cao đẳng"/>
    <s v="Bắc Giang"/>
    <x v="1"/>
    <x v="1"/>
    <x v="2"/>
    <x v="5"/>
    <n v="1"/>
    <n v="1"/>
    <m/>
    <x v="0"/>
    <x v="0"/>
    <n v="100000"/>
  </r>
  <r>
    <n v="94"/>
    <x v="38"/>
    <x v="4"/>
    <s v="Phòng kinh doanh"/>
    <s v="NV kinh doanh"/>
    <s v="Nguyễn Thị Thanh Hằng"/>
    <d v="1992-03-04T00:00:00"/>
    <n v="28"/>
    <s v="Nữ"/>
    <s v="FTU"/>
    <s v="Đại học"/>
    <s v="Bắc Giang"/>
    <x v="1"/>
    <x v="1"/>
    <x v="2"/>
    <x v="6"/>
    <n v="1"/>
    <n v="1"/>
    <m/>
    <x v="0"/>
    <x v="0"/>
    <n v="300000"/>
  </r>
  <r>
    <n v="95"/>
    <x v="39"/>
    <x v="2"/>
    <s v="Phòng Đào tạo"/>
    <s v="Giảng viên"/>
    <s v="Nguyễn Thị Xuân Hạnh"/>
    <d v="1990-09-28T00:00:00"/>
    <n v="29"/>
    <s v="Nam"/>
    <s v="FTU"/>
    <s v="Đại học"/>
    <s v="Bắc Giang"/>
    <x v="1"/>
    <x v="5"/>
    <x v="0"/>
    <x v="0"/>
    <n v="1"/>
    <m/>
    <m/>
    <x v="0"/>
    <x v="0"/>
    <n v="150000"/>
  </r>
  <r>
    <n v="96"/>
    <x v="39"/>
    <x v="2"/>
    <s v="Phòng Đào tạo"/>
    <s v="Giảng viên"/>
    <s v="Trần Đức Thành"/>
    <d v="1990-09-28T00:00:00"/>
    <n v="29"/>
    <s v="Nam"/>
    <s v="FTU"/>
    <s v="Đại học"/>
    <s v="Bắc Giang"/>
    <x v="1"/>
    <x v="5"/>
    <x v="0"/>
    <x v="0"/>
    <n v="1"/>
    <m/>
    <m/>
    <x v="0"/>
    <x v="0"/>
    <n v="150000"/>
  </r>
  <r>
    <n v="97"/>
    <x v="39"/>
    <x v="2"/>
    <s v="Phòng Đào tạo"/>
    <s v="Giảng viên"/>
    <s v="Nguyễn Thị Xuân Hạnh"/>
    <d v="1990-09-28T00:00:00"/>
    <n v="29"/>
    <s v="Nam"/>
    <s v="FTU"/>
    <s v="Đại học"/>
    <s v="Bắc Giang"/>
    <x v="1"/>
    <x v="5"/>
    <x v="0"/>
    <x v="0"/>
    <n v="1"/>
    <m/>
    <m/>
    <x v="0"/>
    <x v="0"/>
    <n v="150000"/>
  </r>
  <r>
    <n v="98"/>
    <x v="39"/>
    <x v="2"/>
    <s v="Phòng Đào tạo"/>
    <s v="Giảng viên"/>
    <s v="Trần Đức Thành"/>
    <d v="1990-09-28T00:00:00"/>
    <n v="29"/>
    <s v="Nam"/>
    <s v="FTU"/>
    <s v="Đại học"/>
    <s v="Bắc Giang"/>
    <x v="1"/>
    <x v="5"/>
    <x v="0"/>
    <x v="0"/>
    <n v="1"/>
    <m/>
    <m/>
    <x v="0"/>
    <x v="0"/>
    <n v="150000"/>
  </r>
  <r>
    <n v="99"/>
    <x v="39"/>
    <x v="2"/>
    <s v="Admin"/>
    <s v="Tạp vụ"/>
    <s v="Trương Thanh Hằng"/>
    <d v="1995-11-05T00:00:00"/>
    <n v="24"/>
    <s v="Nữ"/>
    <s v="Đại Nam"/>
    <s v="Đại học"/>
    <s v="Hà Nội"/>
    <x v="1"/>
    <x v="2"/>
    <x v="3"/>
    <x v="0"/>
    <n v="1"/>
    <n v="1"/>
    <m/>
    <x v="0"/>
    <x v="0"/>
    <n v="50000"/>
  </r>
  <r>
    <n v="100"/>
    <x v="39"/>
    <x v="0"/>
    <s v="Admin"/>
    <s v="Bảo vệ"/>
    <s v="Phạm Thị Thanh Mai"/>
    <d v="1993-09-19T00:00:00"/>
    <n v="26"/>
    <s v="Nữ"/>
    <s v="KTQD"/>
    <s v="Đại học"/>
    <s v="Hà Nội"/>
    <x v="1"/>
    <x v="2"/>
    <x v="3"/>
    <x v="0"/>
    <n v="1"/>
    <m/>
    <m/>
    <x v="0"/>
    <x v="0"/>
    <n v="50000"/>
  </r>
  <r>
    <n v="101"/>
    <x v="39"/>
    <x v="2"/>
    <s v="Admin"/>
    <s v="Tạp vụ"/>
    <s v="Trương Thanh Hằng"/>
    <d v="1995-11-05T00:00:00"/>
    <n v="24"/>
    <s v="Nữ"/>
    <s v="Đại Nam"/>
    <s v="Đại học"/>
    <s v="Hà Nội"/>
    <x v="1"/>
    <x v="2"/>
    <x v="3"/>
    <x v="0"/>
    <n v="1"/>
    <n v="1"/>
    <m/>
    <x v="0"/>
    <x v="0"/>
    <n v="50000"/>
  </r>
  <r>
    <n v="102"/>
    <x v="39"/>
    <x v="0"/>
    <s v="Admin"/>
    <s v="Bảo vệ"/>
    <s v="Phạm Thị Thanh Mai"/>
    <d v="1993-09-19T00:00:00"/>
    <n v="26"/>
    <s v="Nữ"/>
    <s v="KTQD"/>
    <s v="Đại học"/>
    <s v="Hà Nội"/>
    <x v="1"/>
    <x v="2"/>
    <x v="3"/>
    <x v="0"/>
    <n v="1"/>
    <m/>
    <m/>
    <x v="0"/>
    <x v="0"/>
    <n v="50000"/>
  </r>
  <r>
    <n v="103"/>
    <x v="39"/>
    <x v="2"/>
    <s v="Phòng Đào tạo"/>
    <s v="Trưởng bộ phận Đào tạo"/>
    <s v="Nguyễn Mai Liên"/>
    <d v="1989-03-22T00:00:00"/>
    <n v="31"/>
    <s v="Nữ"/>
    <s v="Thương mại"/>
    <s v="Cao học"/>
    <s v="Hà Nội"/>
    <x v="1"/>
    <x v="1"/>
    <x v="1"/>
    <x v="1"/>
    <n v="1"/>
    <n v="1"/>
    <n v="1"/>
    <x v="1"/>
    <x v="13"/>
    <m/>
  </r>
  <r>
    <n v="104"/>
    <x v="39"/>
    <x v="2"/>
    <s v="Phòng Đào tạo"/>
    <s v="Trưởng bộ phận Đào tạo"/>
    <s v="Nguyễn Thị Thanh"/>
    <d v="1989-03-22T00:00:00"/>
    <n v="31"/>
    <s v="Nữ"/>
    <s v="Thương mại"/>
    <s v="Cao học"/>
    <s v="Hà Nội"/>
    <x v="1"/>
    <x v="1"/>
    <x v="1"/>
    <x v="1"/>
    <n v="1"/>
    <n v="1"/>
    <n v="1"/>
    <x v="1"/>
    <x v="16"/>
    <m/>
  </r>
  <r>
    <n v="105"/>
    <x v="39"/>
    <x v="2"/>
    <s v="Phòng Đào tạo"/>
    <s v="Trưởng bộ phận Đào tạo"/>
    <s v="Nguyễn Mai Liên"/>
    <d v="1989-03-22T00:00:00"/>
    <n v="31"/>
    <s v="Nữ"/>
    <s v="Thương mại"/>
    <s v="Cao học"/>
    <s v="Hà Nội"/>
    <x v="1"/>
    <x v="1"/>
    <x v="1"/>
    <x v="1"/>
    <n v="1"/>
    <n v="1"/>
    <n v="1"/>
    <x v="1"/>
    <x v="13"/>
    <m/>
  </r>
  <r>
    <n v="106"/>
    <x v="39"/>
    <x v="2"/>
    <s v="Phòng Đào tạo"/>
    <s v="Trưởng bộ phận Đào tạo"/>
    <s v="Nguyễn Thị Thanh"/>
    <d v="1989-03-22T00:00:00"/>
    <n v="31"/>
    <s v="Nữ"/>
    <s v="Thương mại"/>
    <s v="Cao học"/>
    <s v="Hà Nội"/>
    <x v="1"/>
    <x v="1"/>
    <x v="1"/>
    <x v="1"/>
    <n v="1"/>
    <n v="1"/>
    <n v="1"/>
    <x v="1"/>
    <x v="16"/>
    <m/>
  </r>
  <r>
    <n v="107"/>
    <x v="40"/>
    <x v="1"/>
    <s v="Admin"/>
    <s v="Bảo vệ"/>
    <s v="Bùi Thị Thanh Hoài"/>
    <d v="1991-12-05T00:00:00"/>
    <n v="28"/>
    <s v="Nữ"/>
    <s v="FTU"/>
    <s v="Đại học"/>
    <s v="Bắc Giang"/>
    <x v="1"/>
    <x v="2"/>
    <x v="3"/>
    <x v="0"/>
    <n v="1"/>
    <n v="1"/>
    <m/>
    <x v="0"/>
    <x v="0"/>
    <n v="50000"/>
  </r>
  <r>
    <n v="108"/>
    <x v="40"/>
    <x v="0"/>
    <s v="Phòng Đào tạo"/>
    <s v="Giảng viên"/>
    <s v="Bùi Thị Quế"/>
    <d v="1991-06-20T00:00:00"/>
    <n v="29"/>
    <s v="Nữ"/>
    <s v="HV ngân hàng"/>
    <s v="Cao đẳng"/>
    <s v="Nam Định"/>
    <x v="1"/>
    <x v="1"/>
    <x v="2"/>
    <x v="4"/>
    <n v="1"/>
    <m/>
    <m/>
    <x v="0"/>
    <x v="0"/>
    <n v="300000"/>
  </r>
  <r>
    <n v="109"/>
    <x v="41"/>
    <x v="3"/>
    <s v="Phòng Đào tạo"/>
    <s v="Giảng viên"/>
    <s v="Trịnh Văn Mạnh"/>
    <d v="1992-08-24T00:00:00"/>
    <n v="28"/>
    <s v="Nam"/>
    <s v="ĐH Kinh tế QG"/>
    <s v="Đại học"/>
    <s v="Thanh Hóa"/>
    <x v="1"/>
    <x v="4"/>
    <x v="0"/>
    <x v="0"/>
    <n v="1"/>
    <n v="1"/>
    <m/>
    <x v="0"/>
    <x v="0"/>
    <m/>
  </r>
  <r>
    <n v="110"/>
    <x v="41"/>
    <x v="1"/>
    <s v="Phòng kế toán"/>
    <s v="Kế toán thuế"/>
    <s v="Vũ Ngọc Linh"/>
    <d v="1994-07-27T00:00:00"/>
    <n v="26"/>
    <s v="Nữ"/>
    <s v="FTU"/>
    <s v="Cao đẳng"/>
    <s v="Nam Định"/>
    <x v="1"/>
    <x v="5"/>
    <x v="0"/>
    <x v="0"/>
    <n v="1"/>
    <n v="1"/>
    <m/>
    <x v="0"/>
    <x v="0"/>
    <n v="122000"/>
  </r>
  <r>
    <n v="111"/>
    <x v="41"/>
    <x v="3"/>
    <s v="Phòng Đào tạo"/>
    <s v="Giảng viên"/>
    <s v="Nguyễn Thị Kiều"/>
    <d v="1991-06-20T00:00:00"/>
    <n v="29"/>
    <s v="Nữ"/>
    <s v="FTU"/>
    <s v="Đại học"/>
    <s v="Hà Nội"/>
    <x v="0"/>
    <x v="0"/>
    <x v="0"/>
    <x v="0"/>
    <n v="1"/>
    <m/>
    <m/>
    <x v="0"/>
    <x v="0"/>
    <n v="445000"/>
  </r>
  <r>
    <n v="112"/>
    <x v="41"/>
    <x v="3"/>
    <s v="Admin"/>
    <s v="Bảo vệ"/>
    <s v="Nguyễn Thị Trang"/>
    <d v="1990-09-28T00:00:00"/>
    <n v="29"/>
    <s v="Nữ"/>
    <s v="FTU"/>
    <s v="Đại học"/>
    <s v="Nam Định"/>
    <x v="0"/>
    <x v="0"/>
    <x v="0"/>
    <x v="0"/>
    <n v="1"/>
    <n v="1"/>
    <n v="1"/>
    <x v="1"/>
    <x v="17"/>
    <n v="150000"/>
  </r>
  <r>
    <n v="113"/>
    <x v="41"/>
    <x v="1"/>
    <s v="Phòng kế toán"/>
    <s v="Kế toán thuế"/>
    <s v="Lê Thùy Linh"/>
    <d v="1990-05-03T00:00:00"/>
    <n v="30"/>
    <s v="Nữ"/>
    <s v="HV tài chính"/>
    <s v="Cao đẳng"/>
    <s v="Hà Nội"/>
    <x v="0"/>
    <x v="0"/>
    <x v="0"/>
    <x v="0"/>
    <n v="1"/>
    <n v="1"/>
    <n v="1"/>
    <x v="1"/>
    <x v="18"/>
    <n v="61000"/>
  </r>
  <r>
    <n v="114"/>
    <x v="42"/>
    <x v="3"/>
    <s v="Phòng kinh doanh"/>
    <s v="NV kinh doanh"/>
    <s v="Dương Thị Tuyết"/>
    <d v="1992-09-21T00:00:00"/>
    <n v="27"/>
    <s v="Nữ"/>
    <s v="HV tài chính"/>
    <s v="Cao đẳng"/>
    <s v="Hà Nội"/>
    <x v="0"/>
    <x v="3"/>
    <x v="0"/>
    <x v="0"/>
    <n v="1"/>
    <n v="1"/>
    <m/>
    <x v="0"/>
    <x v="0"/>
    <n v="121000"/>
  </r>
  <r>
    <n v="115"/>
    <x v="42"/>
    <x v="1"/>
    <s v="Phòng hành chính nhân sự"/>
    <s v="Bảo vệ"/>
    <s v="Đoàn Hoàng Linh"/>
    <d v="1991-07-10T00:00:00"/>
    <n v="29"/>
    <s v="Nam"/>
    <s v="Mỏ địa chất"/>
    <s v="Đại học"/>
    <s v="Hà Nội"/>
    <x v="0"/>
    <x v="0"/>
    <x v="0"/>
    <x v="0"/>
    <n v="1"/>
    <m/>
    <m/>
    <x v="0"/>
    <x v="0"/>
    <n v="150000"/>
  </r>
  <r>
    <n v="116"/>
    <x v="42"/>
    <x v="3"/>
    <s v="Phòng kinh doanh"/>
    <s v="NV kinh doanh"/>
    <s v="Nguyễn Thu Hằng"/>
    <d v="1990-05-03T00:00:00"/>
    <n v="30"/>
    <s v="Nữ"/>
    <s v="ĐH Quốc gia"/>
    <s v="Đại học"/>
    <s v="Hà Nội"/>
    <x v="0"/>
    <x v="0"/>
    <x v="0"/>
    <x v="0"/>
    <n v="1"/>
    <n v="1"/>
    <m/>
    <x v="0"/>
    <x v="0"/>
    <n v="261000"/>
  </r>
  <r>
    <n v="117"/>
    <x v="42"/>
    <x v="1"/>
    <s v="Phòng hành chính nhân sự"/>
    <s v="Bảo vệ"/>
    <s v="Nguyễn Thị Anh Thư"/>
    <d v="1991-03-05T00:00:00"/>
    <n v="29"/>
    <s v="Nữ"/>
    <s v="HV ngân hàng"/>
    <s v="Cao đẳng"/>
    <s v="Hà Nội"/>
    <x v="0"/>
    <x v="0"/>
    <x v="0"/>
    <x v="0"/>
    <n v="1"/>
    <m/>
    <m/>
    <x v="0"/>
    <x v="0"/>
    <n v="22000"/>
  </r>
  <r>
    <n v="118"/>
    <x v="42"/>
    <x v="2"/>
    <s v="Admin"/>
    <s v="Tạp vụ"/>
    <s v="Lê Mai Linh"/>
    <d v="1991-03-05T00:00:00"/>
    <n v="29"/>
    <s v="Nữ"/>
    <s v="ĐH Văn Hóa"/>
    <s v="Cao đẳng"/>
    <s v="Hà Nội"/>
    <x v="0"/>
    <x v="3"/>
    <x v="0"/>
    <x v="0"/>
    <n v="1"/>
    <n v="1"/>
    <m/>
    <x v="0"/>
    <x v="0"/>
    <n v="150000"/>
  </r>
  <r>
    <n v="119"/>
    <x v="42"/>
    <x v="3"/>
    <s v="Phòng kinh doanh"/>
    <s v="NV kinh doanh"/>
    <s v="Dương Thị Tuyết"/>
    <d v="1992-09-21T00:00:00"/>
    <n v="27"/>
    <s v="Nữ"/>
    <s v="HV tài chính"/>
    <s v="Cao đẳng"/>
    <s v="Hà Nội"/>
    <x v="0"/>
    <x v="3"/>
    <x v="0"/>
    <x v="0"/>
    <n v="1"/>
    <n v="1"/>
    <m/>
    <x v="0"/>
    <x v="0"/>
    <n v="121000"/>
  </r>
  <r>
    <n v="120"/>
    <x v="42"/>
    <x v="1"/>
    <s v="Phòng hành chính nhân sự"/>
    <s v="Bảo vệ"/>
    <s v="Đoàn Hoàng Linh"/>
    <d v="1991-07-10T00:00:00"/>
    <n v="29"/>
    <s v="Nam"/>
    <s v="Mỏ địa chất"/>
    <s v="Đại học"/>
    <s v="Hà Nội"/>
    <x v="0"/>
    <x v="0"/>
    <x v="0"/>
    <x v="0"/>
    <n v="1"/>
    <m/>
    <m/>
    <x v="0"/>
    <x v="0"/>
    <n v="150000"/>
  </r>
  <r>
    <n v="121"/>
    <x v="42"/>
    <x v="3"/>
    <s v="Phòng kinh doanh"/>
    <s v="NV kinh doanh"/>
    <s v="Nguyễn Thu Hằng"/>
    <d v="1990-05-03T00:00:00"/>
    <n v="30"/>
    <s v="Nữ"/>
    <s v="ĐH Quốc gia"/>
    <s v="Đại học"/>
    <s v="Hà Nội"/>
    <x v="0"/>
    <x v="0"/>
    <x v="0"/>
    <x v="0"/>
    <n v="1"/>
    <n v="1"/>
    <m/>
    <x v="0"/>
    <x v="0"/>
    <n v="261000"/>
  </r>
  <r>
    <n v="122"/>
    <x v="42"/>
    <x v="1"/>
    <s v="Phòng hành chính nhân sự"/>
    <s v="Bảo vệ"/>
    <s v="Nguyễn Thị Anh Thư"/>
    <d v="1991-03-05T00:00:00"/>
    <n v="29"/>
    <s v="Nữ"/>
    <s v="HV ngân hàng"/>
    <s v="Cao đẳng"/>
    <s v="Hà Nội"/>
    <x v="0"/>
    <x v="0"/>
    <x v="0"/>
    <x v="0"/>
    <n v="1"/>
    <m/>
    <m/>
    <x v="0"/>
    <x v="0"/>
    <n v="22000"/>
  </r>
  <r>
    <n v="123"/>
    <x v="42"/>
    <x v="2"/>
    <s v="Admin"/>
    <s v="Tạp vụ"/>
    <s v="Lê Mai Linh"/>
    <d v="1991-03-05T00:00:00"/>
    <n v="29"/>
    <s v="Nữ"/>
    <s v="ĐH Văn Hóa"/>
    <s v="Cao đẳng"/>
    <s v="Hà Nội"/>
    <x v="0"/>
    <x v="3"/>
    <x v="0"/>
    <x v="0"/>
    <n v="1"/>
    <n v="1"/>
    <m/>
    <x v="0"/>
    <x v="0"/>
    <n v="150000"/>
  </r>
  <r>
    <n v="124"/>
    <x v="42"/>
    <x v="4"/>
    <s v="Phòng kinh doanh"/>
    <s v="NV kinh doanh"/>
    <s v="Nguyễn Song Toàn"/>
    <d v="1990-02-15T00:00:00"/>
    <n v="30"/>
    <s v="Nam"/>
    <s v="Thương mại"/>
    <s v="Cao đẳng"/>
    <s v="Hà Nội"/>
    <x v="1"/>
    <x v="1"/>
    <x v="1"/>
    <x v="7"/>
    <n v="1"/>
    <n v="1"/>
    <m/>
    <x v="0"/>
    <x v="0"/>
    <m/>
  </r>
  <r>
    <n v="125"/>
    <x v="42"/>
    <x v="2"/>
    <s v="Phòng Đào tạo"/>
    <s v="Giảng viên"/>
    <s v="Nguyễn Quỳnh Trang"/>
    <d v="1991-03-05T00:00:00"/>
    <n v="29"/>
    <s v="Nữ"/>
    <s v="HV ngân hàng"/>
    <s v="Cao đẳng"/>
    <s v="Hưng Yên"/>
    <x v="1"/>
    <x v="1"/>
    <x v="2"/>
    <x v="4"/>
    <n v="1"/>
    <n v="1"/>
    <n v="1"/>
    <x v="1"/>
    <x v="16"/>
    <n v="150000"/>
  </r>
  <r>
    <n v="126"/>
    <x v="43"/>
    <x v="0"/>
    <s v="Phòng Đào tạo"/>
    <s v="Giảng viên"/>
    <s v="Phan Thị Liễu"/>
    <d v="1989-03-22T00:00:00"/>
    <n v="31"/>
    <s v="Nữ"/>
    <s v="FTU"/>
    <s v="Đại học"/>
    <s v="Hà Nội"/>
    <x v="1"/>
    <x v="4"/>
    <x v="0"/>
    <x v="0"/>
    <n v="1"/>
    <m/>
    <m/>
    <x v="0"/>
    <x v="0"/>
    <m/>
  </r>
  <r>
    <n v="127"/>
    <x v="43"/>
    <x v="2"/>
    <s v="Admin"/>
    <s v="Tạp vụ"/>
    <s v="Hoàng Thị Thanh Huyền"/>
    <d v="1994-11-14T00:00:00"/>
    <n v="25"/>
    <s v="Nữ"/>
    <s v="KTQD"/>
    <s v="Cao đẳng"/>
    <s v="Hà Nội"/>
    <x v="1"/>
    <x v="1"/>
    <x v="2"/>
    <x v="2"/>
    <n v="1"/>
    <m/>
    <m/>
    <x v="0"/>
    <x v="0"/>
    <n v="500000"/>
  </r>
  <r>
    <n v="128"/>
    <x v="44"/>
    <x v="1"/>
    <s v="Phòng Marekting"/>
    <s v="NV Marketing"/>
    <s v="Trần Thị Hiền"/>
    <d v="1986-05-21T00:00:00"/>
    <n v="34"/>
    <s v="Nữ"/>
    <s v="FTU"/>
    <s v="Cao đẳng"/>
    <s v="Hà Nội"/>
    <x v="0"/>
    <x v="3"/>
    <x v="0"/>
    <x v="0"/>
    <n v="1"/>
    <m/>
    <n v="1"/>
    <x v="0"/>
    <x v="0"/>
    <n v="645000"/>
  </r>
  <r>
    <n v="129"/>
    <x v="44"/>
    <x v="1"/>
    <s v="Phòng Marekting"/>
    <s v="NV Marketing"/>
    <s v="Trần Gia Mạnh"/>
    <d v="1986-05-21T00:00:00"/>
    <n v="34"/>
    <s v="Nữ"/>
    <s v="FTU"/>
    <s v="Cao đẳng"/>
    <s v="Hà Nội"/>
    <x v="0"/>
    <x v="3"/>
    <x v="0"/>
    <x v="0"/>
    <n v="1"/>
    <m/>
    <n v="1"/>
    <x v="1"/>
    <x v="19"/>
    <n v="645000"/>
  </r>
  <r>
    <n v="130"/>
    <x v="45"/>
    <x v="1"/>
    <s v="Phòng kế toán"/>
    <s v="Kế toán thuế"/>
    <s v="Trương Thanh Hằng"/>
    <d v="1991-06-20T00:00:00"/>
    <n v="29"/>
    <s v="Nữ"/>
    <s v="ĐH Quốc gia"/>
    <s v="Cao học"/>
    <s v="Hưng Yên"/>
    <x v="0"/>
    <x v="3"/>
    <x v="0"/>
    <x v="0"/>
    <n v="1"/>
    <m/>
    <m/>
    <x v="0"/>
    <x v="0"/>
    <n v="522000"/>
  </r>
  <r>
    <n v="131"/>
    <x v="45"/>
    <x v="1"/>
    <s v="Phòng kế toán"/>
    <s v="Kế toán thuế"/>
    <s v="Trương Thanh Hằng"/>
    <d v="1991-06-20T00:00:00"/>
    <n v="29"/>
    <s v="Nữ"/>
    <s v="ĐH Quốc gia"/>
    <s v="Cao học"/>
    <s v="Hưng Yên"/>
    <x v="0"/>
    <x v="3"/>
    <x v="0"/>
    <x v="0"/>
    <n v="1"/>
    <m/>
    <m/>
    <x v="0"/>
    <x v="0"/>
    <n v="522000"/>
  </r>
  <r>
    <n v="132"/>
    <x v="45"/>
    <x v="1"/>
    <s v="Phòng kế toán"/>
    <s v="Kế toán thuế"/>
    <s v="Nguyễn Thanh Hương"/>
    <d v="1991-06-20T00:00:00"/>
    <n v="29"/>
    <s v="Nữ"/>
    <s v="ĐH Quốc gia"/>
    <s v="Cao học"/>
    <s v="Hưng Yên"/>
    <x v="0"/>
    <x v="3"/>
    <x v="0"/>
    <x v="0"/>
    <n v="1"/>
    <m/>
    <m/>
    <x v="0"/>
    <x v="0"/>
    <n v="522000"/>
  </r>
  <r>
    <n v="133"/>
    <x v="38"/>
    <x v="3"/>
    <s v="Phòng Đào tạo"/>
    <s v="Giảng viên"/>
    <s v="Vũ Thị Bích"/>
    <d v="1990-05-23T00:00:00"/>
    <n v="30"/>
    <s v="Nữ"/>
    <s v="ĐH Công nghiệp HCM"/>
    <s v="Cao học"/>
    <s v="Bắc Giang"/>
    <x v="1"/>
    <x v="2"/>
    <x v="3"/>
    <x v="0"/>
    <n v="1"/>
    <n v="1"/>
    <n v="1"/>
    <x v="1"/>
    <x v="13"/>
    <n v="121000"/>
  </r>
  <r>
    <n v="134"/>
    <x v="46"/>
    <x v="1"/>
    <s v="Phòng Marekting"/>
    <s v="Nhân viên Call Center"/>
    <s v="Phạm Thị Cẩm Trà"/>
    <d v="1990-05-23T00:00:00"/>
    <n v="30"/>
    <s v="Nữ"/>
    <s v="Kinh doanh công nghệ"/>
    <s v="Đại học"/>
    <s v="Nghệ An"/>
    <x v="1"/>
    <x v="1"/>
    <x v="1"/>
    <x v="1"/>
    <n v="1"/>
    <m/>
    <m/>
    <x v="0"/>
    <x v="0"/>
    <n v="120000"/>
  </r>
  <r>
    <n v="135"/>
    <x v="46"/>
    <x v="0"/>
    <s v="Phòng kinh doanh"/>
    <s v="NV kinh doanh"/>
    <s v="Lê Thị Hương Giang"/>
    <d v="1991-06-20T00:00:00"/>
    <n v="29"/>
    <s v="Nữ"/>
    <s v="FTU"/>
    <s v="Cao học"/>
    <s v="Nghệ An"/>
    <x v="1"/>
    <x v="1"/>
    <x v="1"/>
    <x v="3"/>
    <n v="1"/>
    <m/>
    <m/>
    <x v="0"/>
    <x v="0"/>
    <n v="120000"/>
  </r>
  <r>
    <n v="136"/>
    <x v="47"/>
    <x v="1"/>
    <s v="Phòng kế toán"/>
    <s v="Kế toán thuế"/>
    <s v="Nguyễn Thu Hiền"/>
    <d v="1991-03-30T00:00:00"/>
    <n v="29"/>
    <s v="Nữ"/>
    <s v="FTU"/>
    <s v="Đại học"/>
    <s v="Hà Nội"/>
    <x v="1"/>
    <x v="1"/>
    <x v="1"/>
    <x v="1"/>
    <n v="1"/>
    <n v="1"/>
    <n v="1"/>
    <x v="1"/>
    <x v="20"/>
    <m/>
  </r>
  <r>
    <n v="137"/>
    <x v="47"/>
    <x v="2"/>
    <s v="Phòng Đào tạo"/>
    <s v="Giảng viên"/>
    <s v="Đặng Thị Thu Hương"/>
    <d v="1990-05-03T00:00:00"/>
    <n v="30"/>
    <s v="Nữ"/>
    <s v="Thương mại"/>
    <s v="Đại học"/>
    <s v="Hà Nội"/>
    <x v="1"/>
    <x v="2"/>
    <x v="3"/>
    <x v="0"/>
    <n v="1"/>
    <n v="1"/>
    <n v="1"/>
    <x v="1"/>
    <x v="21"/>
    <n v="150000"/>
  </r>
  <r>
    <n v="138"/>
    <x v="47"/>
    <x v="1"/>
    <s v="Phòng kế toán"/>
    <s v="Kế toán thuế"/>
    <s v="Nguyễn Thu Hiền"/>
    <d v="1991-03-30T00:00:00"/>
    <n v="29"/>
    <s v="Nữ"/>
    <s v="FTU"/>
    <s v="Đại học"/>
    <s v="Hà Nội"/>
    <x v="1"/>
    <x v="1"/>
    <x v="1"/>
    <x v="1"/>
    <n v="1"/>
    <n v="1"/>
    <n v="1"/>
    <x v="1"/>
    <x v="20"/>
    <m/>
  </r>
  <r>
    <n v="139"/>
    <x v="47"/>
    <x v="2"/>
    <s v="Phòng Đào tạo"/>
    <s v="Giảng viên"/>
    <s v="Đặng Thị Thu Hương"/>
    <d v="1990-05-03T00:00:00"/>
    <n v="30"/>
    <s v="Nữ"/>
    <s v="Thương mại"/>
    <s v="Đại học"/>
    <s v="Hà Nội"/>
    <x v="1"/>
    <x v="2"/>
    <x v="3"/>
    <x v="0"/>
    <n v="1"/>
    <n v="1"/>
    <n v="1"/>
    <x v="1"/>
    <x v="21"/>
    <n v="150000"/>
  </r>
  <r>
    <n v="140"/>
    <x v="48"/>
    <x v="2"/>
    <s v="Phòng kinh doanh"/>
    <s v="Nhân viên kinh doanh"/>
    <s v="Nguyễn Mai Liên"/>
    <d v="1990-06-17T00:00:00"/>
    <n v="30"/>
    <s v="Nữ"/>
    <s v="Thương mại"/>
    <s v="Đại học"/>
    <s v="Hà Nội"/>
    <x v="1"/>
    <x v="2"/>
    <x v="3"/>
    <x v="0"/>
    <n v="1"/>
    <n v="1"/>
    <m/>
    <x v="0"/>
    <x v="0"/>
    <n v="12200"/>
  </r>
  <r>
    <n v="141"/>
    <x v="49"/>
    <x v="2"/>
    <s v="Phòng kinh doanh"/>
    <s v="Nhân viên kinh doanh"/>
    <s v="Lê Thùy Linh"/>
    <d v="1990-09-16T00:00:00"/>
    <n v="29"/>
    <s v="Nữ"/>
    <s v="FTU"/>
    <s v="Đại học"/>
    <s v="Nam Định"/>
    <x v="1"/>
    <x v="5"/>
    <x v="0"/>
    <x v="0"/>
    <n v="1"/>
    <m/>
    <m/>
    <x v="0"/>
    <x v="0"/>
    <n v="45000"/>
  </r>
  <r>
    <n v="142"/>
    <x v="49"/>
    <x v="3"/>
    <s v="Phòng kinh doanh"/>
    <s v="NV kinh doanh"/>
    <s v="Nguyễn Ngọc Quỳnh"/>
    <d v="1990-09-28T00:00:00"/>
    <n v="29"/>
    <s v="Nữ"/>
    <s v="Thương mại"/>
    <s v="Cao học"/>
    <s v="Hà Nội"/>
    <x v="1"/>
    <x v="4"/>
    <x v="0"/>
    <x v="0"/>
    <n v="1"/>
    <m/>
    <m/>
    <x v="0"/>
    <x v="0"/>
    <n v="45000"/>
  </r>
  <r>
    <n v="143"/>
    <x v="50"/>
    <x v="4"/>
    <s v="Phòng kinh doanh"/>
    <s v="NV kinh doanh"/>
    <s v="Nguyễn Thị Kiều"/>
    <d v="1990-02-15T00:00:00"/>
    <n v="30"/>
    <s v="Nữ"/>
    <s v="ĐH Công nghiệp HCM"/>
    <s v="Đại học"/>
    <s v="Vĩnh Phúc"/>
    <x v="1"/>
    <x v="2"/>
    <x v="3"/>
    <x v="0"/>
    <n v="1"/>
    <m/>
    <m/>
    <x v="0"/>
    <x v="0"/>
    <n v="61000"/>
  </r>
  <r>
    <n v="144"/>
    <x v="51"/>
    <x v="2"/>
    <s v="Phòng Đào tạo"/>
    <s v="Giảng viên"/>
    <s v="Lê Mai Linh"/>
    <d v="1993-08-14T00:00:00"/>
    <n v="27"/>
    <s v="Nữ"/>
    <s v="FTU"/>
    <s v="Đại học"/>
    <s v="Hà Nội"/>
    <x v="1"/>
    <x v="2"/>
    <x v="3"/>
    <x v="0"/>
    <n v="1"/>
    <n v="1"/>
    <m/>
    <x v="0"/>
    <x v="0"/>
    <n v="150000"/>
  </r>
  <r>
    <n v="145"/>
    <x v="51"/>
    <x v="4"/>
    <s v="Phòng Đào tạo"/>
    <s v="Giảng viên"/>
    <s v="Nguyễn Thu Hằng"/>
    <d v="1989-03-22T00:00:00"/>
    <n v="31"/>
    <s v="Nữ"/>
    <s v="Thăng Long"/>
    <s v="Cao học"/>
    <s v="Hà Nội"/>
    <x v="0"/>
    <x v="0"/>
    <x v="0"/>
    <x v="0"/>
    <n v="1"/>
    <n v="1"/>
    <n v="1"/>
    <x v="1"/>
    <x v="22"/>
    <n v="6000000"/>
  </r>
  <r>
    <n v="146"/>
    <x v="52"/>
    <x v="1"/>
    <s v="Phòng hành chính nhân sự"/>
    <s v="Nhân viên tuyển dụng"/>
    <s v="Lê Hà Linh"/>
    <d v="1991-08-26T00:00:00"/>
    <n v="29"/>
    <s v="Nữ"/>
    <s v="ĐH Mở"/>
    <s v="Đại học"/>
    <s v="Hà Nội"/>
    <x v="1"/>
    <x v="1"/>
    <x v="2"/>
    <x v="2"/>
    <n v="1"/>
    <n v="1"/>
    <n v="1"/>
    <x v="1"/>
    <x v="23"/>
    <n v="300000"/>
  </r>
  <r>
    <n v="147"/>
    <x v="53"/>
    <x v="3"/>
    <s v="Admin"/>
    <s v="Tạp vụ"/>
    <s v="Phạm Minh Trang"/>
    <d v="1990-06-17T00:00:00"/>
    <n v="30"/>
    <s v="Nữ"/>
    <s v="FTU"/>
    <s v="Đại học"/>
    <s v="Bắc Giang"/>
    <x v="1"/>
    <x v="1"/>
    <x v="1"/>
    <x v="4"/>
    <n v="1"/>
    <m/>
    <m/>
    <x v="0"/>
    <x v="0"/>
    <n v="122000"/>
  </r>
  <r>
    <n v="148"/>
    <x v="53"/>
    <x v="1"/>
    <s v="Phòng Marekting"/>
    <s v="Nhân viên Call Center"/>
    <s v="Đào Thị Lan"/>
    <d v="1989-02-19T00:00:00"/>
    <n v="31"/>
    <s v="Nữ"/>
    <s v="HV ngân hàng"/>
    <s v="Đại học"/>
    <s v="Hải Dương"/>
    <x v="1"/>
    <x v="1"/>
    <x v="2"/>
    <x v="2"/>
    <n v="1"/>
    <n v="1"/>
    <n v="1"/>
    <x v="1"/>
    <x v="24"/>
    <n v="300000"/>
  </r>
  <r>
    <n v="149"/>
    <x v="54"/>
    <x v="3"/>
    <s v="Admin"/>
    <s v="Tạp vụ"/>
    <s v="Vũ Thị Thư"/>
    <d v="1991-12-01T00:00:00"/>
    <n v="28"/>
    <s v="Nữ"/>
    <s v="HV tài chính"/>
    <s v="Đại học"/>
    <s v="Hà Nội"/>
    <x v="1"/>
    <x v="2"/>
    <x v="3"/>
    <x v="0"/>
    <n v="1"/>
    <n v="1"/>
    <n v="1"/>
    <x v="1"/>
    <x v="21"/>
    <m/>
  </r>
  <r>
    <n v="150"/>
    <x v="55"/>
    <x v="1"/>
    <s v="Phòng kế toán"/>
    <s v="Kế toán thuế"/>
    <s v="Vũ Thị Bích"/>
    <d v="1990-08-03T00:00:00"/>
    <n v="30"/>
    <s v="Nữ"/>
    <s v="HV ngân hàng"/>
    <s v="Đại học"/>
    <s v="Hà Nội"/>
    <x v="0"/>
    <x v="3"/>
    <x v="0"/>
    <x v="0"/>
    <n v="1"/>
    <m/>
    <m/>
    <x v="0"/>
    <x v="0"/>
    <n v="120000"/>
  </r>
  <r>
    <n v="151"/>
    <x v="56"/>
    <x v="1"/>
    <s v="Phòng hành chính nhân sự"/>
    <s v="Nhân viên tuyển dụng"/>
    <s v="Lương Thị Hương Liên"/>
    <d v="1991-12-22T00:00:00"/>
    <n v="28"/>
    <s v="Nữ"/>
    <s v="ĐH Văn Hóa"/>
    <s v="Đại học"/>
    <s v="Hà Nội"/>
    <x v="1"/>
    <x v="1"/>
    <x v="2"/>
    <x v="4"/>
    <n v="1"/>
    <n v="1"/>
    <n v="1"/>
    <x v="1"/>
    <x v="23"/>
    <n v="300000"/>
  </r>
  <r>
    <n v="152"/>
    <x v="57"/>
    <x v="4"/>
    <s v="Phòng kinh doanh"/>
    <s v="NV kinh doanh"/>
    <s v="Nguyễn Thị Xuân Hạnh"/>
    <d v="1993-02-21T00:00:00"/>
    <n v="27"/>
    <s v="Nữ"/>
    <s v="FTU"/>
    <s v="Cao học"/>
    <s v="Hà Nội"/>
    <x v="1"/>
    <x v="1"/>
    <x v="2"/>
    <x v="5"/>
    <n v="1"/>
    <n v="1"/>
    <n v="1"/>
    <x v="1"/>
    <x v="25"/>
    <n v="150000"/>
  </r>
  <r>
    <n v="153"/>
    <x v="58"/>
    <x v="2"/>
    <s v="Phòng Đào tạo"/>
    <s v="Giảng viên"/>
    <s v="Quản Thị Thùy Dương"/>
    <d v="1993-11-22T00:00:00"/>
    <n v="26"/>
    <s v="Nữ"/>
    <s v="FTU"/>
    <s v="Đại học"/>
    <s v="Hà Nội"/>
    <x v="1"/>
    <x v="5"/>
    <x v="0"/>
    <x v="0"/>
    <n v="1"/>
    <m/>
    <m/>
    <x v="0"/>
    <x v="0"/>
    <n v="150000"/>
  </r>
  <r>
    <n v="154"/>
    <x v="58"/>
    <x v="2"/>
    <s v="Phòng kinh doanh"/>
    <s v="Nhân viên kinh doanh"/>
    <s v="Đỗ Bích Liên"/>
    <d v="1990-06-17T00:00:00"/>
    <n v="30"/>
    <s v="Nữ"/>
    <s v="Thăng Long"/>
    <s v="Cao đẳng"/>
    <s v="Hà Nội"/>
    <x v="0"/>
    <x v="0"/>
    <x v="0"/>
    <x v="0"/>
    <n v="1"/>
    <n v="1"/>
    <n v="1"/>
    <x v="1"/>
    <x v="26"/>
    <m/>
  </r>
  <r>
    <n v="155"/>
    <x v="59"/>
    <x v="3"/>
    <s v="Phòng Đào tạo"/>
    <s v="Giảng viên"/>
    <s v="Phạm Thị Hà"/>
    <d v="1993-05-29T00:00:00"/>
    <n v="27"/>
    <s v="Nữ"/>
    <s v="HV tài chính"/>
    <s v="Cao học"/>
    <s v="Hà Nội"/>
    <x v="1"/>
    <x v="2"/>
    <x v="3"/>
    <x v="0"/>
    <n v="1"/>
    <m/>
    <m/>
    <x v="0"/>
    <x v="0"/>
    <n v="120000"/>
  </r>
  <r>
    <n v="156"/>
    <x v="59"/>
    <x v="1"/>
    <s v="Phòng hành chính nhân sự"/>
    <s v="Nhân viên tuyển dụng"/>
    <s v="Trịnh Văn Mạnh"/>
    <d v="1990-05-23T00:00:00"/>
    <n v="30"/>
    <s v="Nữ"/>
    <s v="Ngoại ngữ QG"/>
    <s v="Đại học"/>
    <s v="Hà Nội"/>
    <x v="1"/>
    <x v="1"/>
    <x v="2"/>
    <x v="6"/>
    <n v="1"/>
    <n v="1"/>
    <m/>
    <x v="0"/>
    <x v="0"/>
    <n v="120000"/>
  </r>
  <r>
    <n v="157"/>
    <x v="60"/>
    <x v="4"/>
    <s v="Phòng kinh doanh"/>
    <s v="NV kinh doanh"/>
    <s v="Đinh Thị Kim Huệ"/>
    <d v="1991-03-05T00:00:00"/>
    <n v="29"/>
    <s v="Nam"/>
    <s v="FTU"/>
    <s v="Cao đẳng"/>
    <s v="Bắc Giang"/>
    <x v="1"/>
    <x v="1"/>
    <x v="2"/>
    <x v="5"/>
    <n v="1"/>
    <n v="1"/>
    <m/>
    <x v="0"/>
    <x v="0"/>
    <n v="322000"/>
  </r>
  <r>
    <n v="158"/>
    <x v="60"/>
    <x v="4"/>
    <s v="Phòng Đào tạo"/>
    <s v="Giảng viên"/>
    <s v="Lê Thị Hương Giang"/>
    <d v="1989-03-22T00:00:00"/>
    <n v="31"/>
    <s v="Nữ"/>
    <s v="Ngoại ngữ QG"/>
    <s v="Đại học"/>
    <s v="Hà Nội"/>
    <x v="0"/>
    <x v="3"/>
    <x v="0"/>
    <x v="0"/>
    <n v="1"/>
    <m/>
    <m/>
    <x v="0"/>
    <x v="0"/>
    <n v="150000"/>
  </r>
  <r>
    <n v="159"/>
    <x v="60"/>
    <x v="3"/>
    <s v="Phòng Đào tạo"/>
    <s v="Giảng viên"/>
    <s v="Trần Gia Mạnh"/>
    <d v="1994-02-19T00:00:00"/>
    <n v="26"/>
    <s v="Nam"/>
    <s v="KTQD"/>
    <s v="Đại học"/>
    <s v="Nam Định"/>
    <x v="1"/>
    <x v="1"/>
    <x v="1"/>
    <x v="1"/>
    <n v="1"/>
    <n v="1"/>
    <m/>
    <x v="0"/>
    <x v="0"/>
    <n v="22000"/>
  </r>
  <r>
    <n v="160"/>
    <x v="60"/>
    <x v="3"/>
    <s v="Phòng Đào tạo"/>
    <s v="Giảng viên"/>
    <s v="Trần Gia Mạnh"/>
    <d v="1994-02-19T00:00:00"/>
    <n v="26"/>
    <s v="Nam"/>
    <s v="KTQD"/>
    <s v="Đại học"/>
    <s v="Nam Định"/>
    <x v="1"/>
    <x v="1"/>
    <x v="1"/>
    <x v="1"/>
    <n v="1"/>
    <n v="1"/>
    <m/>
    <x v="0"/>
    <x v="0"/>
    <n v="22000"/>
  </r>
  <r>
    <n v="161"/>
    <x v="60"/>
    <x v="4"/>
    <s v="Phòng Đào tạo"/>
    <s v="Giảng viên"/>
    <s v="Nguyễn Thị Thanh Hằng"/>
    <d v="1992-03-04T00:00:00"/>
    <n v="28"/>
    <s v="Nữ"/>
    <s v="FTU"/>
    <s v="Đại học"/>
    <s v="Bắc Giang"/>
    <x v="1"/>
    <x v="1"/>
    <x v="2"/>
    <x v="6"/>
    <n v="1"/>
    <n v="1"/>
    <m/>
    <x v="0"/>
    <x v="0"/>
    <n v="120000"/>
  </r>
  <r>
    <n v="162"/>
    <x v="61"/>
    <x v="2"/>
    <s v="Phòng Đào tạo"/>
    <s v="Giảng viên"/>
    <s v="Nguyễn Thị Xuân Hạnh"/>
    <d v="1990-09-28T00:00:00"/>
    <n v="29"/>
    <s v="Nam"/>
    <s v="FTU"/>
    <s v="Đại học"/>
    <s v="Bắc Giang"/>
    <x v="1"/>
    <x v="5"/>
    <x v="0"/>
    <x v="0"/>
    <n v="1"/>
    <m/>
    <m/>
    <x v="0"/>
    <x v="0"/>
    <n v="150000"/>
  </r>
  <r>
    <n v="163"/>
    <x v="61"/>
    <x v="3"/>
    <s v="Phòng Đào tạo"/>
    <s v="Giảng viên"/>
    <s v="Trương Thanh Hằng"/>
    <d v="1995-11-05T00:00:00"/>
    <n v="24"/>
    <s v="Nữ"/>
    <s v="Đại Nam"/>
    <s v="Đại học"/>
    <s v="Hà Nội"/>
    <x v="1"/>
    <x v="2"/>
    <x v="3"/>
    <x v="0"/>
    <n v="1"/>
    <n v="1"/>
    <m/>
    <x v="0"/>
    <x v="0"/>
    <n v="22000"/>
  </r>
  <r>
    <n v="164"/>
    <x v="61"/>
    <x v="0"/>
    <s v="Phòng kinh doanh"/>
    <s v="NV kinh doanh"/>
    <s v="Phạm Thị Thanh Mai"/>
    <d v="1993-09-19T00:00:00"/>
    <n v="26"/>
    <s v="Nữ"/>
    <s v="KTQD"/>
    <s v="Đại học"/>
    <s v="Hà Nội"/>
    <x v="1"/>
    <x v="2"/>
    <x v="3"/>
    <x v="0"/>
    <n v="1"/>
    <m/>
    <m/>
    <x v="0"/>
    <x v="0"/>
    <n v="121000"/>
  </r>
  <r>
    <n v="165"/>
    <x v="61"/>
    <x v="0"/>
    <s v="Phòng kinh doanh"/>
    <s v="NV kinh doanh"/>
    <s v="Phạm Thị Thanh Mai"/>
    <d v="1993-09-19T00:00:00"/>
    <n v="26"/>
    <s v="Nữ"/>
    <s v="KTQD"/>
    <s v="Đại học"/>
    <s v="Hà Nội"/>
    <x v="1"/>
    <x v="2"/>
    <x v="3"/>
    <x v="0"/>
    <n v="1"/>
    <m/>
    <m/>
    <x v="0"/>
    <x v="0"/>
    <n v="121000"/>
  </r>
  <r>
    <n v="166"/>
    <x v="61"/>
    <x v="3"/>
    <s v="Phòng Đào tạo"/>
    <s v="Giảng viên"/>
    <s v="Nguyễn Mai Liên"/>
    <d v="1989-03-22T00:00:00"/>
    <n v="31"/>
    <s v="Nữ"/>
    <s v="Thương mại"/>
    <s v="Cao học"/>
    <s v="Hà Nội"/>
    <x v="1"/>
    <x v="1"/>
    <x v="1"/>
    <x v="1"/>
    <n v="1"/>
    <m/>
    <m/>
    <x v="0"/>
    <x v="0"/>
    <m/>
  </r>
  <r>
    <n v="167"/>
    <x v="62"/>
    <x v="1"/>
    <s v="Phòng Marekting"/>
    <s v="Nhân viên Call Center"/>
    <s v="Bùi Thị Thanh Hoài"/>
    <d v="1991-12-05T00:00:00"/>
    <n v="28"/>
    <s v="Nữ"/>
    <s v="FTU"/>
    <s v="Đại học"/>
    <s v="Bắc Giang"/>
    <x v="1"/>
    <x v="2"/>
    <x v="3"/>
    <x v="0"/>
    <n v="1"/>
    <n v="1"/>
    <m/>
    <x v="0"/>
    <x v="0"/>
    <n v="122000"/>
  </r>
  <r>
    <n v="168"/>
    <x v="62"/>
    <x v="0"/>
    <s v="Phòng kinh doanh"/>
    <s v="NV kinh doanh"/>
    <s v="Bùi Thị Quế"/>
    <d v="1991-06-20T00:00:00"/>
    <n v="29"/>
    <s v="Nữ"/>
    <s v="HV ngân hàng"/>
    <s v="Cao đẳng"/>
    <s v="Nam Định"/>
    <x v="1"/>
    <x v="1"/>
    <x v="2"/>
    <x v="4"/>
    <n v="1"/>
    <m/>
    <m/>
    <x v="0"/>
    <x v="0"/>
    <n v="121000"/>
  </r>
  <r>
    <n v="169"/>
    <x v="63"/>
    <x v="3"/>
    <s v="Phòng kinh doanh"/>
    <s v="NV kinh doanh"/>
    <s v="Trịnh Văn Mạnh"/>
    <d v="1992-08-24T00:00:00"/>
    <n v="28"/>
    <s v="Nam"/>
    <s v="ĐH Kinh tế QG"/>
    <s v="Đại học"/>
    <s v="Thanh Hóa"/>
    <x v="1"/>
    <x v="4"/>
    <x v="0"/>
    <x v="0"/>
    <n v="1"/>
    <n v="1"/>
    <m/>
    <x v="0"/>
    <x v="0"/>
    <n v="120000"/>
  </r>
  <r>
    <n v="170"/>
    <x v="63"/>
    <x v="1"/>
    <s v="Phòng kế toán"/>
    <s v="Kế toán thuế"/>
    <s v="Vũ Ngọc Linh"/>
    <d v="1994-07-27T00:00:00"/>
    <n v="26"/>
    <s v="Nữ"/>
    <s v="FTU"/>
    <s v="Cao đẳng"/>
    <s v="Nam Định"/>
    <x v="1"/>
    <x v="5"/>
    <x v="0"/>
    <x v="0"/>
    <n v="1"/>
    <n v="1"/>
    <m/>
    <x v="0"/>
    <x v="0"/>
    <n v="122000"/>
  </r>
  <r>
    <n v="171"/>
    <x v="63"/>
    <x v="3"/>
    <s v="Phòng kinh doanh"/>
    <s v="NV kinh doanh"/>
    <s v="Trịnh Văn Mạnh"/>
    <d v="1992-08-24T00:00:00"/>
    <n v="28"/>
    <s v="Nam"/>
    <s v="ĐH Kinh tế QG"/>
    <s v="Đại học"/>
    <s v="Thanh Hóa"/>
    <x v="1"/>
    <x v="4"/>
    <x v="0"/>
    <x v="0"/>
    <n v="1"/>
    <n v="1"/>
    <m/>
    <x v="0"/>
    <x v="0"/>
    <n v="120000"/>
  </r>
  <r>
    <n v="172"/>
    <x v="63"/>
    <x v="1"/>
    <s v="Phòng kế toán"/>
    <s v="Kế toán thuế"/>
    <s v="Vũ Ngọc Linh"/>
    <d v="1994-07-27T00:00:00"/>
    <n v="26"/>
    <s v="Nữ"/>
    <s v="FTU"/>
    <s v="Cao đẳng"/>
    <s v="Nam Định"/>
    <x v="1"/>
    <x v="5"/>
    <x v="0"/>
    <x v="0"/>
    <n v="1"/>
    <n v="1"/>
    <m/>
    <x v="0"/>
    <x v="0"/>
    <n v="122000"/>
  </r>
  <r>
    <n v="173"/>
    <x v="63"/>
    <x v="3"/>
    <s v="Phòng kinh doanh"/>
    <s v="NV kinh doanh"/>
    <s v="Nguyễn Thị Kiều"/>
    <d v="1991-06-20T00:00:00"/>
    <n v="29"/>
    <s v="Nữ"/>
    <s v="FTU"/>
    <s v="Đại học"/>
    <s v="Hà Nội"/>
    <x v="0"/>
    <x v="0"/>
    <x v="0"/>
    <x v="0"/>
    <n v="1"/>
    <m/>
    <m/>
    <x v="0"/>
    <x v="0"/>
    <n v="445000"/>
  </r>
  <r>
    <n v="174"/>
    <x v="63"/>
    <x v="4"/>
    <s v="Phòng kinh doanh"/>
    <s v="NV kinh doanh"/>
    <s v="Nguyễn Thị Trang"/>
    <d v="1990-09-28T00:00:00"/>
    <n v="29"/>
    <s v="Nữ"/>
    <s v="FTU"/>
    <s v="Đại học"/>
    <s v="Nam Định"/>
    <x v="0"/>
    <x v="0"/>
    <x v="0"/>
    <x v="0"/>
    <n v="1"/>
    <n v="1"/>
    <n v="1"/>
    <x v="1"/>
    <x v="21"/>
    <m/>
  </r>
  <r>
    <n v="175"/>
    <x v="64"/>
    <x v="3"/>
    <s v="Admin"/>
    <s v="Tạp vụ"/>
    <s v="Dương Thị Tuyết"/>
    <d v="1992-09-21T00:00:00"/>
    <n v="27"/>
    <s v="Nữ"/>
    <s v="HV tài chính"/>
    <s v="Cao đẳng"/>
    <s v="Hà Nội"/>
    <x v="0"/>
    <x v="3"/>
    <x v="0"/>
    <x v="0"/>
    <n v="1"/>
    <m/>
    <m/>
    <x v="0"/>
    <x v="0"/>
    <n v="121000"/>
  </r>
  <r>
    <n v="176"/>
    <x v="64"/>
    <x v="1"/>
    <s v="Phòng hành chính nhân sự"/>
    <s v="a"/>
    <s v="Đoàn Hoàng Linh"/>
    <d v="1991-07-10T00:00:00"/>
    <n v="29"/>
    <s v="Nam"/>
    <s v="Mỏ địa chất"/>
    <s v="Đại học"/>
    <s v="Hà Nội"/>
    <x v="0"/>
    <x v="0"/>
    <x v="0"/>
    <x v="0"/>
    <n v="1"/>
    <m/>
    <m/>
    <x v="0"/>
    <x v="0"/>
    <n v="150000"/>
  </r>
  <r>
    <n v="177"/>
    <x v="64"/>
    <x v="3"/>
    <s v="Admin"/>
    <s v="Tạp vụ"/>
    <s v="Nguyễn Thu Hằng"/>
    <d v="1990-05-03T00:00:00"/>
    <n v="30"/>
    <s v="Nữ"/>
    <s v="ĐH Quốc gia"/>
    <s v="Đại học"/>
    <s v="Hà Nội"/>
    <x v="0"/>
    <x v="0"/>
    <x v="0"/>
    <x v="0"/>
    <n v="1"/>
    <n v="1"/>
    <m/>
    <x v="0"/>
    <x v="0"/>
    <n v="261000"/>
  </r>
  <r>
    <n v="178"/>
    <x v="64"/>
    <x v="3"/>
    <s v="Admin"/>
    <s v="Tạp vụ"/>
    <s v="Dương Thị Tuyết"/>
    <d v="1992-09-21T00:00:00"/>
    <n v="27"/>
    <s v="Nữ"/>
    <s v="HV tài chính"/>
    <s v="Cao đẳng"/>
    <s v="Hà Nội"/>
    <x v="0"/>
    <x v="3"/>
    <x v="0"/>
    <x v="0"/>
    <n v="1"/>
    <m/>
    <m/>
    <x v="0"/>
    <x v="0"/>
    <n v="121000"/>
  </r>
  <r>
    <n v="179"/>
    <x v="64"/>
    <x v="1"/>
    <s v="Phòng hành chính nhân sự"/>
    <s v="a"/>
    <s v="Đoàn Hoàng Linh"/>
    <d v="1991-07-10T00:00:00"/>
    <n v="29"/>
    <s v="Nam"/>
    <s v="Mỏ địa chất"/>
    <s v="Đại học"/>
    <s v="Hà Nội"/>
    <x v="0"/>
    <x v="0"/>
    <x v="0"/>
    <x v="0"/>
    <n v="1"/>
    <m/>
    <m/>
    <x v="0"/>
    <x v="0"/>
    <n v="150000"/>
  </r>
  <r>
    <n v="180"/>
    <x v="64"/>
    <x v="3"/>
    <s v="Admin"/>
    <s v="Tạp vụ"/>
    <s v="Nguyễn Thu Hằng"/>
    <d v="1990-05-03T00:00:00"/>
    <n v="30"/>
    <s v="Nữ"/>
    <s v="ĐH Quốc gia"/>
    <s v="Đại học"/>
    <s v="Hà Nội"/>
    <x v="0"/>
    <x v="0"/>
    <x v="0"/>
    <x v="0"/>
    <n v="1"/>
    <n v="1"/>
    <m/>
    <x v="0"/>
    <x v="0"/>
    <n v="261000"/>
  </r>
  <r>
    <n v="181"/>
    <x v="64"/>
    <x v="4"/>
    <s v="Phòng Đào tạo"/>
    <s v="Giảng viên"/>
    <s v="Nguyễn Song Toàn"/>
    <d v="1990-02-15T00:00:00"/>
    <n v="30"/>
    <s v="Nam"/>
    <s v="Thương mại"/>
    <s v="Cao đẳng"/>
    <s v="Hà Nội"/>
    <x v="1"/>
    <x v="1"/>
    <x v="1"/>
    <x v="7"/>
    <n v="1"/>
    <n v="1"/>
    <m/>
    <x v="0"/>
    <x v="0"/>
    <n v="120000"/>
  </r>
  <r>
    <n v="182"/>
    <x v="65"/>
    <x v="0"/>
    <s v="Phòng kinh doanh"/>
    <s v="NV kinh doanh"/>
    <s v="Phan Thị Liễu"/>
    <d v="1989-03-22T00:00:00"/>
    <n v="31"/>
    <s v="Nữ"/>
    <s v="FTU"/>
    <s v="Đại học"/>
    <s v="Hà Nội"/>
    <x v="1"/>
    <x v="4"/>
    <x v="0"/>
    <x v="0"/>
    <n v="1"/>
    <m/>
    <m/>
    <x v="0"/>
    <x v="0"/>
    <n v="121000"/>
  </r>
  <r>
    <n v="183"/>
    <x v="65"/>
    <x v="0"/>
    <s v="Phòng kinh doanh"/>
    <s v="NV kinh doanh"/>
    <s v="Phan Thị Liễu"/>
    <d v="1989-03-22T00:00:00"/>
    <n v="31"/>
    <s v="Nữ"/>
    <s v="FTU"/>
    <s v="Đại học"/>
    <s v="Hà Nội"/>
    <x v="1"/>
    <x v="4"/>
    <x v="0"/>
    <x v="0"/>
    <n v="1"/>
    <m/>
    <m/>
    <x v="0"/>
    <x v="0"/>
    <n v="121000"/>
  </r>
  <r>
    <n v="184"/>
    <x v="65"/>
    <x v="2"/>
    <s v="Phòng kinh doanh"/>
    <s v="Nhân viên kinh doanh"/>
    <s v="Hoàng Thị Thanh Huyền"/>
    <d v="1994-11-14T00:00:00"/>
    <n v="25"/>
    <s v="Nữ"/>
    <s v="KTQD"/>
    <s v="Cao đẳng"/>
    <s v="Hà Nội"/>
    <x v="1"/>
    <x v="1"/>
    <x v="2"/>
    <x v="2"/>
    <n v="1"/>
    <m/>
    <m/>
    <x v="0"/>
    <x v="0"/>
    <n v="120000"/>
  </r>
  <r>
    <n v="185"/>
    <x v="66"/>
    <x v="1"/>
    <s v="Phòng Marekting"/>
    <s v="Nhân viên Call Center"/>
    <s v="Trần Gia Mạnh"/>
    <d v="1986-05-21T00:00:00"/>
    <n v="34"/>
    <s v="Nữ"/>
    <s v="FTU"/>
    <s v="Cao đẳng"/>
    <s v="Hà Nội"/>
    <x v="0"/>
    <x v="3"/>
    <x v="0"/>
    <x v="0"/>
    <n v="1"/>
    <m/>
    <m/>
    <x v="0"/>
    <x v="0"/>
    <n v="645000"/>
  </r>
  <r>
    <n v="186"/>
    <x v="67"/>
    <x v="1"/>
    <s v="Phòng kế toán"/>
    <s v="Kế toán thuế"/>
    <s v="Trương Thanh Hằng"/>
    <d v="1991-06-20T00:00:00"/>
    <n v="29"/>
    <s v="Nữ"/>
    <s v="ĐH Quốc gia"/>
    <s v="Cao học"/>
    <s v="Hưng Yên"/>
    <x v="0"/>
    <x v="3"/>
    <x v="0"/>
    <x v="0"/>
    <n v="1"/>
    <m/>
    <m/>
    <x v="0"/>
    <x v="0"/>
    <n v="522000"/>
  </r>
  <r>
    <n v="187"/>
    <x v="58"/>
    <x v="3"/>
    <s v="Phòng kinh doanh"/>
    <s v="NV kinh doanh"/>
    <s v="Vũ Thị Bích"/>
    <d v="1990-05-23T00:00:00"/>
    <n v="30"/>
    <s v="Nữ"/>
    <s v="ĐH Công nghiệp HCM"/>
    <s v="Cao học"/>
    <s v="Bắc Giang"/>
    <x v="1"/>
    <x v="1"/>
    <x v="1"/>
    <x v="1"/>
    <n v="1"/>
    <n v="1"/>
    <n v="1"/>
    <x v="1"/>
    <x v="27"/>
    <m/>
  </r>
  <r>
    <n v="188"/>
    <x v="68"/>
    <x v="2"/>
    <s v="Phòng kinh doanh"/>
    <s v="Nhân viên kinh doanh"/>
    <s v="Lê Thị Hương Giang"/>
    <d v="1991-06-20T00:00:00"/>
    <n v="29"/>
    <s v="Nữ"/>
    <s v="FTU"/>
    <s v="Cao học"/>
    <s v="Nghệ An"/>
    <x v="0"/>
    <x v="0"/>
    <x v="0"/>
    <x v="0"/>
    <n v="1"/>
    <m/>
    <m/>
    <x v="0"/>
    <x v="0"/>
    <m/>
  </r>
  <r>
    <n v="189"/>
    <x v="68"/>
    <x v="1"/>
    <s v="Phòng Marekting"/>
    <s v="Nhân viên Call Center"/>
    <s v="Phạm Thị Cẩm Trà"/>
    <d v="1990-05-23T00:00:00"/>
    <n v="30"/>
    <s v="Nữ"/>
    <s v="Kinh doanh công nghệ"/>
    <s v="Đại học"/>
    <s v="Nghệ An"/>
    <x v="1"/>
    <x v="1"/>
    <x v="1"/>
    <x v="1"/>
    <n v="1"/>
    <m/>
    <m/>
    <x v="0"/>
    <x v="0"/>
    <m/>
  </r>
  <r>
    <n v="190"/>
    <x v="69"/>
    <x v="1"/>
    <s v="Phòng dự án"/>
    <s v="NV dự án"/>
    <s v="Nguyễn Thu Hiền"/>
    <d v="1991-03-30T00:00:00"/>
    <n v="29"/>
    <s v="Nữ"/>
    <s v="FTU"/>
    <s v="Đại học"/>
    <s v="Hà Nội"/>
    <x v="1"/>
    <x v="1"/>
    <x v="1"/>
    <x v="1"/>
    <n v="1"/>
    <n v="1"/>
    <n v="1"/>
    <x v="1"/>
    <x v="28"/>
    <n v="21000"/>
  </r>
  <r>
    <n v="191"/>
    <x v="69"/>
    <x v="0"/>
    <s v="Phòng Đào tạo"/>
    <s v="Giảng viên"/>
    <s v="Đặng Thị Thu Hương"/>
    <d v="1990-05-03T00:00:00"/>
    <n v="30"/>
    <s v="Nữ"/>
    <s v="Thương mại"/>
    <s v="Đại học"/>
    <s v="Hà Nội"/>
    <x v="1"/>
    <x v="1"/>
    <x v="2"/>
    <x v="2"/>
    <n v="1"/>
    <n v="1"/>
    <n v="1"/>
    <x v="1"/>
    <x v="29"/>
    <n v="300000"/>
  </r>
  <r>
    <n v="192"/>
    <x v="69"/>
    <x v="1"/>
    <s v="Phòng dự án"/>
    <s v="NV dự án"/>
    <s v="Nguyễn Thu Hiền"/>
    <d v="1991-03-30T00:00:00"/>
    <n v="29"/>
    <s v="Nữ"/>
    <s v="FTU"/>
    <s v="Đại học"/>
    <s v="Hà Nội"/>
    <x v="1"/>
    <x v="1"/>
    <x v="1"/>
    <x v="1"/>
    <n v="1"/>
    <n v="1"/>
    <n v="1"/>
    <x v="1"/>
    <x v="28"/>
    <n v="21000"/>
  </r>
  <r>
    <n v="193"/>
    <x v="69"/>
    <x v="0"/>
    <s v="Phòng Đào tạo"/>
    <s v="Giảng viên"/>
    <s v="Đặng Thị Thu Hương"/>
    <d v="1990-05-03T00:00:00"/>
    <n v="30"/>
    <s v="Nữ"/>
    <s v="Thương mại"/>
    <s v="Đại học"/>
    <s v="Hà Nội"/>
    <x v="1"/>
    <x v="1"/>
    <x v="2"/>
    <x v="2"/>
    <n v="1"/>
    <n v="1"/>
    <n v="1"/>
    <x v="1"/>
    <x v="29"/>
    <n v="300000"/>
  </r>
  <r>
    <n v="194"/>
    <x v="70"/>
    <x v="3"/>
    <s v="Phòng Đào tạo"/>
    <s v="Giảng viên"/>
    <s v="Nguyễn Mai Liên"/>
    <d v="1990-06-17T00:00:00"/>
    <n v="30"/>
    <s v="Nữ"/>
    <s v="Thương mại"/>
    <s v="Đại học"/>
    <s v="Hà Nội"/>
    <x v="1"/>
    <x v="1"/>
    <x v="2"/>
    <x v="2"/>
    <n v="1"/>
    <n v="1"/>
    <m/>
    <x v="0"/>
    <x v="0"/>
    <n v="300000"/>
  </r>
  <r>
    <n v="195"/>
    <x v="71"/>
    <x v="4"/>
    <s v="Admin"/>
    <s v="Bảo vệ"/>
    <s v="Nguyễn Ngọc Quỳnh"/>
    <d v="1990-09-28T00:00:00"/>
    <n v="29"/>
    <s v="Nữ"/>
    <s v="Thương mại"/>
    <s v="Cao học"/>
    <s v="Hà Nội"/>
    <x v="1"/>
    <x v="4"/>
    <x v="0"/>
    <x v="0"/>
    <n v="1"/>
    <m/>
    <m/>
    <x v="0"/>
    <x v="0"/>
    <m/>
  </r>
  <r>
    <n v="196"/>
    <x v="71"/>
    <x v="4"/>
    <s v="Admin"/>
    <s v="Bảo vệ"/>
    <s v="Lê Thùy Linh"/>
    <d v="1990-09-16T00:00:00"/>
    <n v="29"/>
    <s v="Nữ"/>
    <s v="FTU"/>
    <s v="Đại học"/>
    <s v="Nam Định"/>
    <x v="1"/>
    <x v="5"/>
    <x v="0"/>
    <x v="0"/>
    <n v="1"/>
    <m/>
    <m/>
    <x v="0"/>
    <x v="0"/>
    <n v="45000"/>
  </r>
  <r>
    <n v="197"/>
    <x v="72"/>
    <x v="1"/>
    <s v="Phòng Marekting"/>
    <s v="Nhân viên Call Center"/>
    <s v="Nguyễn Thị Kiều"/>
    <d v="1990-02-15T00:00:00"/>
    <n v="30"/>
    <s v="Nữ"/>
    <s v="ĐH Công nghiệp HCM"/>
    <s v="Đại học"/>
    <s v="Vĩnh Phúc"/>
    <x v="1"/>
    <x v="1"/>
    <x v="2"/>
    <x v="2"/>
    <n v="1"/>
    <m/>
    <m/>
    <x v="0"/>
    <x v="0"/>
    <n v="300000"/>
  </r>
  <r>
    <n v="198"/>
    <x v="73"/>
    <x v="1"/>
    <s v="Phòng dự án"/>
    <s v="NV dự án"/>
    <s v="Nguyễn Thu Hằng"/>
    <d v="1989-03-22T00:00:00"/>
    <n v="31"/>
    <s v="Nữ"/>
    <s v="Thăng Long"/>
    <s v="Cao học"/>
    <s v="Hà Nội"/>
    <x v="1"/>
    <x v="1"/>
    <x v="2"/>
    <x v="2"/>
    <n v="1"/>
    <n v="1"/>
    <m/>
    <x v="0"/>
    <x v="0"/>
    <n v="300000"/>
  </r>
  <r>
    <n v="199"/>
    <x v="73"/>
    <x v="3"/>
    <s v="Phòng kinh doanh"/>
    <s v="NV kinh doanh"/>
    <s v="Lê Mai Linh"/>
    <d v="1993-08-14T00:00:00"/>
    <n v="27"/>
    <s v="Nữ"/>
    <s v="FTU"/>
    <s v="Đại học"/>
    <s v="Hà Nội"/>
    <x v="1"/>
    <x v="1"/>
    <x v="2"/>
    <x v="8"/>
    <n v="1"/>
    <n v="1"/>
    <m/>
    <x v="0"/>
    <x v="0"/>
    <n v="200000"/>
  </r>
  <r>
    <n v="200"/>
    <x v="74"/>
    <x v="2"/>
    <s v="Phòng kinh doanh"/>
    <s v="Nhân viên kinh doanh"/>
    <s v="Lê Trúc Mai"/>
    <d v="1991-08-26T00:00:00"/>
    <n v="29"/>
    <s v="Nữ"/>
    <s v="ĐH Mở"/>
    <s v="Đại học"/>
    <s v="Hà Nội"/>
    <x v="1"/>
    <x v="1"/>
    <x v="2"/>
    <x v="8"/>
    <n v="1"/>
    <n v="1"/>
    <n v="1"/>
    <x v="0"/>
    <x v="0"/>
    <n v="200000"/>
  </r>
  <r>
    <n v="201"/>
    <x v="74"/>
    <x v="2"/>
    <s v="Phòng kinh doanh"/>
    <s v="Nhân viên kinh doanh"/>
    <s v="Lê Hà Linh"/>
    <d v="1991-08-26T00:00:00"/>
    <n v="29"/>
    <s v="Nữ"/>
    <s v="ĐH Mở"/>
    <s v="Đại học"/>
    <s v="Hà Nội"/>
    <x v="1"/>
    <x v="1"/>
    <x v="2"/>
    <x v="8"/>
    <n v="1"/>
    <n v="1"/>
    <n v="1"/>
    <x v="0"/>
    <x v="0"/>
    <n v="200000"/>
  </r>
  <r>
    <n v="202"/>
    <x v="75"/>
    <x v="3"/>
    <s v="Admin"/>
    <s v="Tạp vụ"/>
    <s v="Phạm Minh Trang"/>
    <d v="1990-06-17T00:00:00"/>
    <n v="30"/>
    <s v="Nữ"/>
    <s v="FTU"/>
    <s v="Đại học"/>
    <s v="Bắc Giang"/>
    <x v="1"/>
    <x v="1"/>
    <x v="1"/>
    <x v="4"/>
    <n v="1"/>
    <m/>
    <m/>
    <x v="0"/>
    <x v="0"/>
    <n v="300000"/>
  </r>
  <r>
    <n v="203"/>
    <x v="75"/>
    <x v="3"/>
    <s v="Phòng Đào tạo"/>
    <s v="Giảng viên"/>
    <s v="Đào Thị Lan"/>
    <d v="1989-02-19T00:00:00"/>
    <n v="31"/>
    <s v="Nữ"/>
    <s v="HV ngân hàng"/>
    <s v="Đại học"/>
    <s v="Hải Dương"/>
    <x v="1"/>
    <x v="1"/>
    <x v="1"/>
    <x v="3"/>
    <n v="1"/>
    <n v="1"/>
    <n v="1"/>
    <x v="1"/>
    <x v="30"/>
    <m/>
  </r>
  <r>
    <n v="204"/>
    <x v="76"/>
    <x v="0"/>
    <s v="Phòng Đào tạo"/>
    <s v="Giảng viên"/>
    <s v="Vũ Thị Thư"/>
    <d v="1991-12-01T00:00:00"/>
    <n v="28"/>
    <s v="Nữ"/>
    <s v="HV tài chính"/>
    <s v="Đại học"/>
    <s v="Hà Nội"/>
    <x v="1"/>
    <x v="1"/>
    <x v="2"/>
    <x v="2"/>
    <n v="1"/>
    <n v="1"/>
    <m/>
    <x v="0"/>
    <x v="0"/>
    <n v="300000"/>
  </r>
  <r>
    <n v="205"/>
    <x v="77"/>
    <x v="3"/>
    <s v="Phòng kinh doanh"/>
    <s v="NV kinh doanh"/>
    <s v="Vũ Thị Bích"/>
    <d v="1990-08-03T00:00:00"/>
    <n v="30"/>
    <s v="Nữ"/>
    <s v="HV ngân hàng"/>
    <s v="Đại học"/>
    <s v="Hà Nội"/>
    <x v="0"/>
    <x v="3"/>
    <x v="0"/>
    <x v="0"/>
    <n v="1"/>
    <m/>
    <m/>
    <x v="0"/>
    <x v="0"/>
    <m/>
  </r>
  <r>
    <n v="206"/>
    <x v="78"/>
    <x v="3"/>
    <s v="Admin"/>
    <s v="Tạp vụ"/>
    <s v="Lương Thị Hương Liên"/>
    <d v="1991-12-22T00:00:00"/>
    <n v="28"/>
    <s v="Nữ"/>
    <s v="ĐH Văn Hóa"/>
    <s v="Đại học"/>
    <s v="Hà Nội"/>
    <x v="1"/>
    <x v="2"/>
    <x v="3"/>
    <x v="0"/>
    <n v="1"/>
    <n v="1"/>
    <n v="1"/>
    <x v="1"/>
    <x v="30"/>
    <n v="150000"/>
  </r>
  <r>
    <n v="207"/>
    <x v="79"/>
    <x v="3"/>
    <s v="Phòng Đào tạo"/>
    <s v="Giảng viên"/>
    <s v="Nguyễn Thị Xuân Hạnh"/>
    <d v="1993-02-21T00:00:00"/>
    <n v="27"/>
    <s v="Nữ"/>
    <s v="FTU"/>
    <s v="Cao học"/>
    <s v="Hà Nội"/>
    <x v="1"/>
    <x v="1"/>
    <x v="2"/>
    <x v="5"/>
    <n v="1"/>
    <n v="1"/>
    <n v="1"/>
    <x v="1"/>
    <x v="31"/>
    <n v="150000"/>
  </r>
  <r>
    <n v="208"/>
    <x v="80"/>
    <x v="3"/>
    <s v="Phòng kinh doanh"/>
    <s v="NV kinh doanh"/>
    <s v="Đỗ Bích Liên"/>
    <d v="1990-06-17T00:00:00"/>
    <n v="30"/>
    <s v="Nữ"/>
    <s v="Thăng Long"/>
    <s v="Cao đẳng"/>
    <s v="Hà Nội"/>
    <x v="0"/>
    <x v="3"/>
    <x v="0"/>
    <x v="0"/>
    <n v="1"/>
    <n v="1"/>
    <m/>
    <x v="0"/>
    <x v="0"/>
    <m/>
  </r>
  <r>
    <n v="209"/>
    <x v="80"/>
    <x v="2"/>
    <s v="Phòng kinh doanh"/>
    <s v="Nhân viên kinh doanh"/>
    <s v="Quản Thị Thùy Dương"/>
    <d v="1993-11-22T00:00:00"/>
    <n v="26"/>
    <s v="Nữ"/>
    <s v="FTU"/>
    <s v="Đại học"/>
    <s v="Hà Nội"/>
    <x v="1"/>
    <x v="5"/>
    <x v="0"/>
    <x v="0"/>
    <n v="1"/>
    <m/>
    <m/>
    <x v="0"/>
    <x v="0"/>
    <m/>
  </r>
  <r>
    <n v="210"/>
    <x v="80"/>
    <x v="3"/>
    <s v="Phòng kinh doanh"/>
    <s v="NV kinh doanh"/>
    <s v="Đỗ Bích Liên"/>
    <d v="1990-06-17T00:00:00"/>
    <n v="30"/>
    <s v="Nữ"/>
    <s v="Thăng Long"/>
    <s v="Cao đẳng"/>
    <s v="Hà Nội"/>
    <x v="0"/>
    <x v="3"/>
    <x v="0"/>
    <x v="0"/>
    <n v="1"/>
    <n v="1"/>
    <m/>
    <x v="0"/>
    <x v="0"/>
    <m/>
  </r>
  <r>
    <n v="211"/>
    <x v="81"/>
    <x v="3"/>
    <s v="Phòng Đào tạo"/>
    <s v="Giảng viên"/>
    <s v="Phạm Thị Hà"/>
    <d v="1993-05-29T00:00:00"/>
    <n v="27"/>
    <s v="Nữ"/>
    <s v="HV tài chính"/>
    <s v="Cao học"/>
    <s v="Hà Nội"/>
    <x v="1"/>
    <x v="2"/>
    <x v="3"/>
    <x v="0"/>
    <n v="1"/>
    <m/>
    <m/>
    <x v="0"/>
    <x v="0"/>
    <n v="100000"/>
  </r>
  <r>
    <n v="212"/>
    <x v="81"/>
    <x v="3"/>
    <s v="Phòng Đào tạo"/>
    <s v="Giảng viên"/>
    <s v="Trịnh Văn Mạnh"/>
    <d v="1990-05-23T00:00:00"/>
    <n v="30"/>
    <s v="Nữ"/>
    <s v="Ngoại ngữ QG"/>
    <s v="Đại học"/>
    <s v="Hà Nội"/>
    <x v="1"/>
    <x v="1"/>
    <x v="2"/>
    <x v="6"/>
    <n v="1"/>
    <n v="1"/>
    <n v="1"/>
    <x v="0"/>
    <x v="0"/>
    <n v="150000"/>
  </r>
  <r>
    <n v="213"/>
    <x v="82"/>
    <x v="3"/>
    <s v="Admin"/>
    <s v="Tạp vụ"/>
    <s v="Trần Gia Mạnh"/>
    <d v="1994-02-19T00:00:00"/>
    <n v="26"/>
    <s v="Nam"/>
    <s v="KTQD"/>
    <s v="Đại học"/>
    <s v="Nam Định"/>
    <x v="1"/>
    <x v="1"/>
    <x v="1"/>
    <x v="1"/>
    <n v="1"/>
    <n v="1"/>
    <m/>
    <x v="0"/>
    <x v="0"/>
    <m/>
  </r>
  <r>
    <n v="214"/>
    <x v="82"/>
    <x v="3"/>
    <s v="Phòng kinh doanh"/>
    <s v="NV kinh doanh"/>
    <s v="Nguyễn Thị Thanh Hằng"/>
    <d v="1992-03-04T00:00:00"/>
    <n v="28"/>
    <s v="Nữ"/>
    <s v="FTU"/>
    <s v="Đại học"/>
    <s v="Bắc Giang"/>
    <x v="1"/>
    <x v="1"/>
    <x v="2"/>
    <x v="6"/>
    <n v="1"/>
    <n v="1"/>
    <n v="1"/>
    <x v="0"/>
    <x v="0"/>
    <n v="200000"/>
  </r>
  <r>
    <n v="215"/>
    <x v="83"/>
    <x v="3"/>
    <s v="Admin"/>
    <s v="Tạp vụ"/>
    <s v="Nguyễn Thị Xuân Hạnh"/>
    <d v="1990-09-28T00:00:00"/>
    <n v="29"/>
    <s v="Nam"/>
    <s v="FTU"/>
    <s v="Đại học"/>
    <s v="Bắc Giang"/>
    <x v="1"/>
    <x v="5"/>
    <x v="0"/>
    <x v="0"/>
    <n v="1"/>
    <m/>
    <m/>
    <x v="0"/>
    <x v="0"/>
    <m/>
  </r>
  <r>
    <n v="216"/>
    <x v="83"/>
    <x v="3"/>
    <s v="Admin"/>
    <s v="Tạp vụ"/>
    <s v="Phạm Thị Thanh Mai"/>
    <d v="1993-09-19T00:00:00"/>
    <n v="26"/>
    <s v="Nữ"/>
    <s v="KTQD"/>
    <s v="Đại học"/>
    <s v="Hà Nội"/>
    <x v="1"/>
    <x v="2"/>
    <x v="3"/>
    <x v="0"/>
    <n v="1"/>
    <m/>
    <m/>
    <x v="0"/>
    <x v="0"/>
    <n v="150000"/>
  </r>
  <r>
    <n v="217"/>
    <x v="83"/>
    <x v="4"/>
    <s v="Admin"/>
    <s v="Bảo vệ"/>
    <s v="Nguyễn Mai Liên"/>
    <d v="1989-03-22T00:00:00"/>
    <n v="31"/>
    <s v="Nữ"/>
    <s v="Thương mại"/>
    <s v="Cao học"/>
    <s v="Hà Nội"/>
    <x v="1"/>
    <x v="1"/>
    <x v="1"/>
    <x v="1"/>
    <n v="1"/>
    <m/>
    <m/>
    <x v="0"/>
    <x v="0"/>
    <n v="100000"/>
  </r>
  <r>
    <n v="218"/>
    <x v="83"/>
    <x v="1"/>
    <s v="Phòng Marekting"/>
    <s v="Nhân viên Call Center"/>
    <s v="Trương Thanh Hằng"/>
    <d v="1995-11-05T00:00:00"/>
    <n v="24"/>
    <s v="Nữ"/>
    <s v="Đại Nam"/>
    <s v="Đại học"/>
    <s v="Hà Nội"/>
    <x v="1"/>
    <x v="1"/>
    <x v="2"/>
    <x v="8"/>
    <n v="1"/>
    <n v="1"/>
    <m/>
    <x v="0"/>
    <x v="0"/>
    <n v="200000"/>
  </r>
  <r>
    <n v="219"/>
    <x v="84"/>
    <x v="4"/>
    <s v="Admin"/>
    <s v="Bảo vệ"/>
    <s v="Bùi Thị Thanh Hoài"/>
    <d v="1991-12-05T00:00:00"/>
    <n v="28"/>
    <s v="Nữ"/>
    <s v="FTU"/>
    <s v="Đại học"/>
    <s v="Bắc Giang"/>
    <x v="1"/>
    <x v="2"/>
    <x v="3"/>
    <x v="0"/>
    <n v="1"/>
    <n v="1"/>
    <m/>
    <x v="0"/>
    <x v="0"/>
    <n v="150000"/>
  </r>
  <r>
    <n v="220"/>
    <x v="85"/>
    <x v="1"/>
    <s v="Phòng dự án"/>
    <s v="NV dự án"/>
    <s v="Trịnh Văn Mạnh"/>
    <d v="1992-08-24T00:00:00"/>
    <n v="28"/>
    <s v="Nam"/>
    <s v="ĐH Kinh tế QG"/>
    <s v="Đại học"/>
    <s v="Thanh Hóa"/>
    <x v="1"/>
    <x v="4"/>
    <x v="0"/>
    <x v="0"/>
    <n v="1"/>
    <n v="1"/>
    <m/>
    <x v="0"/>
    <x v="0"/>
    <m/>
  </r>
  <r>
    <n v="221"/>
    <x v="85"/>
    <x v="0"/>
    <s v="Phòng Đào tạo"/>
    <s v="Giảng viên"/>
    <s v="Vũ Ngọc Linh"/>
    <d v="1994-07-27T00:00:00"/>
    <n v="26"/>
    <s v="Nữ"/>
    <s v="FTU"/>
    <s v="Cao đẳng"/>
    <s v="Nam Định"/>
    <x v="1"/>
    <x v="5"/>
    <x v="0"/>
    <x v="0"/>
    <n v="1"/>
    <n v="1"/>
    <m/>
    <x v="0"/>
    <x v="0"/>
    <m/>
  </r>
  <r>
    <n v="222"/>
    <x v="85"/>
    <x v="1"/>
    <s v="Phòng dự án"/>
    <s v="NV dự án"/>
    <s v="Trịnh Văn Mạnh"/>
    <d v="1992-08-24T00:00:00"/>
    <n v="28"/>
    <s v="Nam"/>
    <s v="ĐH Kinh tế QG"/>
    <s v="Đại học"/>
    <s v="Thanh Hóa"/>
    <x v="1"/>
    <x v="4"/>
    <x v="0"/>
    <x v="0"/>
    <n v="1"/>
    <n v="1"/>
    <m/>
    <x v="0"/>
    <x v="0"/>
    <m/>
  </r>
  <r>
    <n v="223"/>
    <x v="85"/>
    <x v="0"/>
    <s v="Phòng Đào tạo"/>
    <s v="Giảng viên"/>
    <s v="Vũ Ngọc Linh"/>
    <d v="1994-07-27T00:00:00"/>
    <n v="26"/>
    <s v="Nữ"/>
    <s v="FTU"/>
    <s v="Cao đẳng"/>
    <s v="Nam Định"/>
    <x v="1"/>
    <x v="5"/>
    <x v="0"/>
    <x v="0"/>
    <n v="1"/>
    <n v="1"/>
    <m/>
    <x v="0"/>
    <x v="0"/>
    <m/>
  </r>
  <r>
    <n v="224"/>
    <x v="85"/>
    <x v="4"/>
    <s v="Admin"/>
    <s v="Bảo vệ"/>
    <s v="Nguyễn Thị Trang"/>
    <d v="1990-09-28T00:00:00"/>
    <n v="29"/>
    <s v="Nữ"/>
    <s v="FTU"/>
    <s v="Đại học"/>
    <s v="Nam Định"/>
    <x v="0"/>
    <x v="0"/>
    <x v="0"/>
    <x v="0"/>
    <n v="1"/>
    <n v="1"/>
    <n v="1"/>
    <x v="1"/>
    <x v="29"/>
    <n v="500000"/>
  </r>
  <r>
    <n v="225"/>
    <x v="85"/>
    <x v="0"/>
    <s v="Phòng Đào tạo"/>
    <s v="Giảng viên"/>
    <s v="Nguyễn Thị Kiều"/>
    <d v="1991-06-20T00:00:00"/>
    <n v="29"/>
    <s v="Nữ"/>
    <s v="FTU"/>
    <s v="Đại học"/>
    <s v="Hà Nội"/>
    <x v="0"/>
    <x v="0"/>
    <x v="0"/>
    <x v="0"/>
    <n v="1"/>
    <n v="1"/>
    <n v="1"/>
    <x v="1"/>
    <x v="32"/>
    <n v="1000000"/>
  </r>
  <r>
    <n v="226"/>
    <x v="86"/>
    <x v="2"/>
    <s v="Phòng kinh doanh"/>
    <s v="Nhân viên kinh doanh"/>
    <s v="Dương Thị Tuyết"/>
    <d v="1992-09-21T00:00:00"/>
    <n v="27"/>
    <s v="Nữ"/>
    <s v="HV tài chính"/>
    <s v="Cao đẳng"/>
    <s v="Hà Nội"/>
    <x v="0"/>
    <x v="3"/>
    <x v="0"/>
    <x v="0"/>
    <n v="1"/>
    <m/>
    <m/>
    <x v="0"/>
    <x v="0"/>
    <m/>
  </r>
  <r>
    <n v="227"/>
    <x v="86"/>
    <x v="1"/>
    <s v="Phòng Marekting"/>
    <s v="Nhân viên Call Center"/>
    <s v="Đoàn Hoàng Linh"/>
    <d v="1991-07-10T00:00:00"/>
    <n v="29"/>
    <s v="Nam"/>
    <s v="Mỏ địa chất"/>
    <s v="Đại học"/>
    <s v="Hà Nội"/>
    <x v="0"/>
    <x v="0"/>
    <x v="0"/>
    <x v="0"/>
    <n v="1"/>
    <m/>
    <m/>
    <x v="0"/>
    <x v="0"/>
    <m/>
  </r>
  <r>
    <n v="228"/>
    <x v="86"/>
    <x v="2"/>
    <s v="Phòng kinh doanh"/>
    <s v="Nhân viên kinh doanh"/>
    <s v="Dương Thị Tuyết"/>
    <d v="1992-09-21T00:00:00"/>
    <n v="27"/>
    <s v="Nữ"/>
    <s v="HV tài chính"/>
    <s v="Cao đẳng"/>
    <s v="Hà Nội"/>
    <x v="0"/>
    <x v="3"/>
    <x v="0"/>
    <x v="0"/>
    <n v="1"/>
    <m/>
    <m/>
    <x v="0"/>
    <x v="0"/>
    <m/>
  </r>
  <r>
    <n v="229"/>
    <x v="86"/>
    <x v="1"/>
    <s v="Phòng Marekting"/>
    <s v="Nhân viên Call Center"/>
    <s v="Đoàn Hoàng Linh"/>
    <d v="1991-07-10T00:00:00"/>
    <n v="29"/>
    <s v="Nam"/>
    <s v="Mỏ địa chất"/>
    <s v="Đại học"/>
    <s v="Hà Nội"/>
    <x v="0"/>
    <x v="0"/>
    <x v="0"/>
    <x v="0"/>
    <n v="1"/>
    <m/>
    <m/>
    <x v="0"/>
    <x v="0"/>
    <m/>
  </r>
  <r>
    <n v="230"/>
    <x v="86"/>
    <x v="0"/>
    <s v="Phòng Đào tạo"/>
    <s v="Giảng viên"/>
    <s v="Nguyễn Song Toàn"/>
    <d v="1990-02-15T00:00:00"/>
    <n v="30"/>
    <s v="Nam"/>
    <s v="Thương mại"/>
    <s v="Cao đẳng"/>
    <s v="Hà Nội"/>
    <x v="1"/>
    <x v="1"/>
    <x v="1"/>
    <x v="7"/>
    <n v="1"/>
    <n v="1"/>
    <m/>
    <x v="0"/>
    <x v="0"/>
    <n v="300000"/>
  </r>
  <r>
    <n v="231"/>
    <x v="87"/>
    <x v="1"/>
    <s v="Phòng Marekting"/>
    <s v="Nhân viên Call Center"/>
    <s v="Phan Thị Liễu"/>
    <d v="1989-03-22T00:00:00"/>
    <n v="31"/>
    <s v="Nữ"/>
    <s v="FTU"/>
    <s v="Đại học"/>
    <s v="Hà Nội"/>
    <x v="1"/>
    <x v="1"/>
    <x v="2"/>
    <x v="8"/>
    <n v="1"/>
    <m/>
    <m/>
    <x v="0"/>
    <x v="0"/>
    <n v="200000"/>
  </r>
  <r>
    <n v="232"/>
    <x v="87"/>
    <x v="2"/>
    <s v="Phòng Đào tạo"/>
    <s v="Giảng viên"/>
    <s v="Hoàng Thị Thanh Huyền"/>
    <d v="1994-11-14T00:00:00"/>
    <n v="25"/>
    <s v="Nữ"/>
    <s v="KTQD"/>
    <s v="Cao đẳng"/>
    <s v="Hà Nội"/>
    <x v="1"/>
    <x v="1"/>
    <x v="2"/>
    <x v="2"/>
    <n v="1"/>
    <n v="1"/>
    <n v="1"/>
    <x v="1"/>
    <x v="33"/>
    <n v="300000"/>
  </r>
  <r>
    <n v="233"/>
    <x v="88"/>
    <x v="1"/>
    <s v="Phòng dự án"/>
    <s v="NV dự án"/>
    <s v="Trần Gia Mạnh"/>
    <d v="1986-05-21T00:00:00"/>
    <n v="34"/>
    <s v="Nữ"/>
    <s v="FTU"/>
    <s v="Cao đẳng"/>
    <s v="Hà Nội"/>
    <x v="0"/>
    <x v="3"/>
    <x v="0"/>
    <x v="0"/>
    <n v="1"/>
    <m/>
    <n v="1"/>
    <x v="1"/>
    <x v="34"/>
    <n v="500000"/>
  </r>
  <r>
    <n v="234"/>
    <x v="89"/>
    <x v="2"/>
    <s v="Phòng kinh doanh"/>
    <s v="Nhân viên kinh doanh"/>
    <s v="Trương Thanh Hằng"/>
    <d v="1991-06-20T00:00:00"/>
    <n v="29"/>
    <s v="Nữ"/>
    <s v="ĐH Quốc gia"/>
    <s v="Cao học"/>
    <s v="Hưng Yên"/>
    <x v="1"/>
    <x v="1"/>
    <x v="2"/>
    <x v="6"/>
    <n v="1"/>
    <m/>
    <m/>
    <x v="0"/>
    <x v="0"/>
    <n v="200000"/>
  </r>
  <r>
    <n v="235"/>
    <x v="90"/>
    <x v="3"/>
    <s v="Phòng kinh doanh"/>
    <s v="NV kinh doanh"/>
    <s v="Vũ Thị Bích"/>
    <d v="1990-05-23T00:00:00"/>
    <n v="30"/>
    <s v="Nữ"/>
    <s v="ĐH Công nghiệp HCM"/>
    <s v="Cao học"/>
    <s v="Bắc Giang"/>
    <x v="1"/>
    <x v="2"/>
    <x v="3"/>
    <x v="0"/>
    <n v="1"/>
    <n v="1"/>
    <m/>
    <x v="0"/>
    <x v="0"/>
    <n v="100000"/>
  </r>
  <r>
    <n v="236"/>
    <x v="91"/>
    <x v="4"/>
    <s v="Admin"/>
    <s v="Bảo vệ"/>
    <s v="Lê Thị Hương Giang"/>
    <d v="1991-06-20T00:00:00"/>
    <n v="29"/>
    <s v="Nữ"/>
    <s v="FTU"/>
    <s v="Cao học"/>
    <s v="Nghệ An"/>
    <x v="0"/>
    <x v="0"/>
    <x v="0"/>
    <x v="0"/>
    <n v="1"/>
    <m/>
    <m/>
    <x v="0"/>
    <x v="0"/>
    <m/>
  </r>
  <r>
    <n v="237"/>
    <x v="91"/>
    <x v="1"/>
    <s v="Phòng hành chính nhân sự"/>
    <s v="Nhân viên đào tạo"/>
    <s v="Phạm Thị Cẩm Trà"/>
    <d v="1990-05-23T00:00:00"/>
    <n v="30"/>
    <s v="Nữ"/>
    <s v="Kinh doanh công nghệ"/>
    <s v="Đại học"/>
    <s v="Nghệ An"/>
    <x v="1"/>
    <x v="1"/>
    <x v="1"/>
    <x v="1"/>
    <n v="1"/>
    <m/>
    <m/>
    <x v="0"/>
    <x v="0"/>
    <m/>
  </r>
  <r>
    <n v="238"/>
    <x v="92"/>
    <x v="3"/>
    <s v="Admin"/>
    <s v="Tạp vụ"/>
    <s v="Đặng Thị Thu Hương"/>
    <d v="1990-05-03T00:00:00"/>
    <n v="30"/>
    <s v="Nữ"/>
    <s v="Thương mại"/>
    <s v="Đại học"/>
    <s v="Hà Nội"/>
    <x v="1"/>
    <x v="2"/>
    <x v="3"/>
    <x v="0"/>
    <n v="1"/>
    <n v="1"/>
    <m/>
    <x v="0"/>
    <x v="0"/>
    <m/>
  </r>
  <r>
    <n v="239"/>
    <x v="92"/>
    <x v="2"/>
    <s v="Phòng Đào tạo"/>
    <s v="Giảng viên"/>
    <s v="Nguyễn Thu Hiền"/>
    <d v="1991-03-30T00:00:00"/>
    <n v="29"/>
    <s v="Nữ"/>
    <s v="FTU"/>
    <s v="Đại học"/>
    <s v="Hà Nội"/>
    <x v="1"/>
    <x v="1"/>
    <x v="1"/>
    <x v="1"/>
    <n v="1"/>
    <n v="1"/>
    <n v="1"/>
    <x v="1"/>
    <x v="35"/>
    <n v="21000"/>
  </r>
  <r>
    <n v="240"/>
    <x v="93"/>
    <x v="3"/>
    <s v="Admin"/>
    <s v="Tạp vụ"/>
    <s v="Nguyễn Mai Liên"/>
    <d v="1990-06-17T00:00:00"/>
    <n v="30"/>
    <s v="Nữ"/>
    <s v="Thương mại"/>
    <s v="Đại học"/>
    <s v="Hà Nội"/>
    <x v="1"/>
    <x v="2"/>
    <x v="3"/>
    <x v="0"/>
    <n v="1"/>
    <n v="1"/>
    <m/>
    <x v="0"/>
    <x v="0"/>
    <n v="150000"/>
  </r>
  <r>
    <n v="241"/>
    <x v="94"/>
    <x v="3"/>
    <s v="Phòng kinh doanh"/>
    <s v="NV kinh doanh"/>
    <s v="Lê Thùy Linh"/>
    <d v="1990-09-16T00:00:00"/>
    <n v="29"/>
    <s v="Nữ"/>
    <s v="FTU"/>
    <s v="Đại học"/>
    <s v="Nam Định"/>
    <x v="1"/>
    <x v="5"/>
    <x v="0"/>
    <x v="0"/>
    <n v="1"/>
    <m/>
    <m/>
    <x v="0"/>
    <x v="0"/>
    <m/>
  </r>
  <r>
    <n v="242"/>
    <x v="94"/>
    <x v="1"/>
    <s v="Phòng hành chính nhân sự"/>
    <s v="Nhân viên đào tạo"/>
    <s v="Nguyễn Ngọc Quỳnh"/>
    <d v="1990-09-28T00:00:00"/>
    <n v="29"/>
    <s v="Nữ"/>
    <s v="Thương mại"/>
    <s v="Cao học"/>
    <s v="Hà Nội"/>
    <x v="1"/>
    <x v="1"/>
    <x v="2"/>
    <x v="2"/>
    <n v="1"/>
    <m/>
    <m/>
    <x v="0"/>
    <x v="0"/>
    <n v="300000"/>
  </r>
  <r>
    <n v="243"/>
    <x v="95"/>
    <x v="3"/>
    <s v="Phòng kinh doanh"/>
    <s v="NV kinh doanh"/>
    <s v="Nguyễn Thị Kiều"/>
    <d v="1990-02-15T00:00:00"/>
    <n v="30"/>
    <s v="Nữ"/>
    <s v="ĐH Công nghiệp HCM"/>
    <s v="Đại học"/>
    <s v="Vĩnh Phúc"/>
    <x v="1"/>
    <x v="1"/>
    <x v="2"/>
    <x v="6"/>
    <n v="1"/>
    <m/>
    <m/>
    <x v="0"/>
    <x v="0"/>
    <n v="150000"/>
  </r>
  <r>
    <n v="244"/>
    <x v="96"/>
    <x v="4"/>
    <s v="Admin"/>
    <s v="Bảo vệ"/>
    <s v="Lê Mai Linh"/>
    <d v="1993-08-14T00:00:00"/>
    <n v="27"/>
    <s v="Nữ"/>
    <s v="FTU"/>
    <s v="Đại học"/>
    <s v="Hà Nội"/>
    <x v="1"/>
    <x v="2"/>
    <x v="3"/>
    <x v="0"/>
    <n v="1"/>
    <n v="1"/>
    <m/>
    <x v="0"/>
    <x v="0"/>
    <n v="150000"/>
  </r>
  <r>
    <n v="245"/>
    <x v="96"/>
    <x v="3"/>
    <s v="Admin"/>
    <s v="Tạp vụ"/>
    <s v="Nguyễn Thu Hằng"/>
    <d v="1989-03-22T00:00:00"/>
    <n v="31"/>
    <s v="Nữ"/>
    <s v="Thăng Long"/>
    <s v="Cao học"/>
    <s v="Hà Nội"/>
    <x v="1"/>
    <x v="2"/>
    <x v="3"/>
    <x v="0"/>
    <n v="1"/>
    <n v="1"/>
    <m/>
    <x v="0"/>
    <x v="0"/>
    <n v="100000"/>
  </r>
  <r>
    <n v="246"/>
    <x v="97"/>
    <x v="3"/>
    <s v="Phòng kinh doanh"/>
    <s v="NV kinh doanh"/>
    <s v="Lê Hà Linh"/>
    <d v="1991-08-26T00:00:00"/>
    <n v="29"/>
    <s v="Nữ"/>
    <s v="ĐH Mở"/>
    <s v="Đại học"/>
    <s v="Hà Nội"/>
    <x v="1"/>
    <x v="1"/>
    <x v="2"/>
    <x v="2"/>
    <n v="1"/>
    <n v="1"/>
    <n v="1"/>
    <x v="0"/>
    <x v="0"/>
    <n v="300000"/>
  </r>
  <r>
    <n v="247"/>
    <x v="98"/>
    <x v="0"/>
    <s v="Phòng kinh doanh"/>
    <s v="NV kinh doanh"/>
    <s v="Đào Thị Lan"/>
    <d v="1989-02-19T00:00:00"/>
    <n v="31"/>
    <s v="Nữ"/>
    <s v="HV ngân hàng"/>
    <s v="Đại học"/>
    <s v="Hải Dương"/>
    <x v="1"/>
    <x v="1"/>
    <x v="1"/>
    <x v="3"/>
    <n v="1"/>
    <n v="1"/>
    <m/>
    <x v="0"/>
    <x v="0"/>
    <m/>
  </r>
  <r>
    <n v="248"/>
    <x v="98"/>
    <x v="0"/>
    <s v="Phòng kinh doanh"/>
    <s v="NV kinh doanh"/>
    <s v="Phạm Minh Trang"/>
    <d v="1990-06-17T00:00:00"/>
    <n v="30"/>
    <s v="Nữ"/>
    <s v="FTU"/>
    <s v="Đại học"/>
    <s v="Bắc Giang"/>
    <x v="1"/>
    <x v="1"/>
    <x v="2"/>
    <x v="9"/>
    <n v="1"/>
    <n v="1"/>
    <n v="1"/>
    <x v="1"/>
    <x v="36"/>
    <n v="122000"/>
  </r>
  <r>
    <n v="249"/>
    <x v="99"/>
    <x v="2"/>
    <s v="Phòng Đào tạo"/>
    <s v="Giảng viên"/>
    <s v="Vũ Thị Thư"/>
    <d v="1991-12-01T00:00:00"/>
    <n v="28"/>
    <s v="Nữ"/>
    <s v="HV tài chính"/>
    <s v="Đại học"/>
    <s v="Hà Nội"/>
    <x v="1"/>
    <x v="4"/>
    <x v="0"/>
    <x v="0"/>
    <n v="1"/>
    <n v="1"/>
    <m/>
    <x v="0"/>
    <x v="0"/>
    <m/>
  </r>
  <r>
    <n v="250"/>
    <x v="100"/>
    <x v="1"/>
    <s v="Phòng hành chính nhân sự"/>
    <s v="Nhân viên đào tạo"/>
    <s v="Vũ Thị Bích"/>
    <d v="1990-08-03T00:00:00"/>
    <n v="30"/>
    <s v="Nữ"/>
    <s v="HV ngân hàng"/>
    <s v="Đại học"/>
    <s v="Hà Nội"/>
    <x v="0"/>
    <x v="3"/>
    <x v="0"/>
    <x v="0"/>
    <n v="1"/>
    <m/>
    <m/>
    <x v="0"/>
    <x v="0"/>
    <m/>
  </r>
  <r>
    <n v="251"/>
    <x v="101"/>
    <x v="4"/>
    <s v="Phòng Đào tạo"/>
    <s v="Giảng viên"/>
    <s v="Lương Thị Hương Liên"/>
    <d v="1991-12-22T00:00:00"/>
    <n v="28"/>
    <s v="Nữ"/>
    <s v="ĐH Văn Hóa"/>
    <s v="Đại học"/>
    <s v="Hà Nội"/>
    <x v="1"/>
    <x v="1"/>
    <x v="1"/>
    <x v="9"/>
    <n v="1"/>
    <n v="1"/>
    <n v="1"/>
    <x v="1"/>
    <x v="37"/>
    <n v="121000"/>
  </r>
  <r>
    <n v="252"/>
    <x v="102"/>
    <x v="2"/>
    <s v="Phòng Đào tạo"/>
    <s v="Giảng viên"/>
    <s v="Nguyễn Thị Xuân Hạnh"/>
    <d v="1993-02-21T00:00:00"/>
    <n v="27"/>
    <s v="Nữ"/>
    <s v="FTU"/>
    <s v="Cao học"/>
    <s v="Hà Nội"/>
    <x v="1"/>
    <x v="1"/>
    <x v="2"/>
    <x v="5"/>
    <n v="1"/>
    <n v="1"/>
    <n v="1"/>
    <x v="1"/>
    <x v="38"/>
    <n v="150000"/>
  </r>
  <r>
    <n v="253"/>
    <x v="103"/>
    <x v="3"/>
    <s v="Phòng kinh doanh"/>
    <s v="NV kinh doanh"/>
    <s v="Quản Thị Thùy Dương"/>
    <d v="1993-11-22T00:00:00"/>
    <n v="26"/>
    <s v="Nữ"/>
    <s v="FTU"/>
    <s v="Đại học"/>
    <s v="Hà Nội"/>
    <x v="1"/>
    <x v="1"/>
    <x v="2"/>
    <x v="8"/>
    <n v="1"/>
    <n v="1"/>
    <n v="1"/>
    <x v="1"/>
    <x v="39"/>
    <n v="150000"/>
  </r>
  <r>
    <n v="254"/>
    <x v="104"/>
    <x v="3"/>
    <s v="Admin"/>
    <s v="Tạp vụ"/>
    <s v="Phạm Thị Hà"/>
    <d v="1993-05-29T00:00:00"/>
    <n v="27"/>
    <s v="Nữ"/>
    <s v="HV tài chính"/>
    <s v="Cao học"/>
    <s v="Hà Nội"/>
    <x v="1"/>
    <x v="2"/>
    <x v="3"/>
    <x v="0"/>
    <n v="1"/>
    <m/>
    <m/>
    <x v="0"/>
    <x v="0"/>
    <n v="100000"/>
  </r>
  <r>
    <n v="255"/>
    <x v="105"/>
    <x v="0"/>
    <s v="Phòng kinh doanh"/>
    <s v="NV kinh doanh"/>
    <s v="Trần Gia Mạnh"/>
    <d v="1994-02-19T00:00:00"/>
    <n v="26"/>
    <s v="Nam"/>
    <s v="KTQD"/>
    <s v="Đại học"/>
    <s v="Nam Định"/>
    <x v="1"/>
    <x v="1"/>
    <x v="1"/>
    <x v="1"/>
    <n v="1"/>
    <n v="1"/>
    <m/>
    <x v="0"/>
    <x v="0"/>
    <m/>
  </r>
  <r>
    <n v="256"/>
    <x v="105"/>
    <x v="3"/>
    <s v="Phòng kinh doanh"/>
    <s v="NV kinh doanh"/>
    <s v="Nguyễn Thị Thanh Hằng"/>
    <d v="1992-03-04T00:00:00"/>
    <n v="28"/>
    <s v="Nữ"/>
    <s v="FTU"/>
    <s v="Đại học"/>
    <s v="Bắc Giang"/>
    <x v="1"/>
    <x v="1"/>
    <x v="2"/>
    <x v="6"/>
    <n v="1"/>
    <n v="1"/>
    <m/>
    <x v="0"/>
    <x v="0"/>
    <n v="200000"/>
  </r>
  <r>
    <n v="257"/>
    <x v="106"/>
    <x v="4"/>
    <s v="Admin"/>
    <s v="Bảo vệ"/>
    <s v="Trương Thanh Hằng"/>
    <d v="1995-11-05T00:00:00"/>
    <n v="24"/>
    <s v="Nữ"/>
    <s v="Đại Nam"/>
    <s v="Đại học"/>
    <s v="Hà Nội"/>
    <x v="1"/>
    <x v="2"/>
    <x v="3"/>
    <x v="0"/>
    <n v="1"/>
    <n v="1"/>
    <m/>
    <x v="0"/>
    <x v="0"/>
    <m/>
  </r>
  <r>
    <n v="258"/>
    <x v="106"/>
    <x v="3"/>
    <s v="Admin"/>
    <s v="Tạp vụ"/>
    <s v="Phạm Thị Thanh Mai"/>
    <d v="1993-09-19T00:00:00"/>
    <n v="26"/>
    <s v="Nữ"/>
    <s v="KTQD"/>
    <s v="Đại học"/>
    <s v="Hà Nội"/>
    <x v="1"/>
    <x v="2"/>
    <x v="3"/>
    <x v="0"/>
    <n v="1"/>
    <m/>
    <m/>
    <x v="0"/>
    <x v="0"/>
    <n v="100000"/>
  </r>
  <r>
    <n v="259"/>
    <x v="107"/>
    <x v="4"/>
    <s v="Admin"/>
    <s v="Bảo vệ"/>
    <s v="Bùi Thị Thanh Hoài"/>
    <d v="1991-12-05T00:00:00"/>
    <n v="28"/>
    <s v="Nữ"/>
    <s v="FTU"/>
    <s v="Đại học"/>
    <s v="Bắc Giang"/>
    <x v="1"/>
    <x v="2"/>
    <x v="3"/>
    <x v="0"/>
    <n v="1"/>
    <n v="1"/>
    <m/>
    <x v="0"/>
    <x v="0"/>
    <n v="100000"/>
  </r>
  <r>
    <n v="260"/>
    <x v="108"/>
    <x v="0"/>
    <s v="Phòng kinh doanh"/>
    <s v="NV kinh doanh"/>
    <s v="Vũ Ngọc Linh"/>
    <d v="1994-07-27T00:00:00"/>
    <n v="26"/>
    <s v="Nữ"/>
    <s v="FTU"/>
    <s v="Cao đẳng"/>
    <s v="Nam Định"/>
    <x v="1"/>
    <x v="5"/>
    <x v="0"/>
    <x v="0"/>
    <n v="1"/>
    <n v="1"/>
    <m/>
    <x v="0"/>
    <x v="0"/>
    <m/>
  </r>
  <r>
    <n v="261"/>
    <x v="108"/>
    <x v="1"/>
    <s v="Phòng hành chính nhân sự"/>
    <s v="Nhân viên đào tạo"/>
    <s v="Nguyễn Thị Trang"/>
    <d v="1990-09-28T00:00:00"/>
    <n v="29"/>
    <s v="Nữ"/>
    <s v="FTU"/>
    <s v="Đại học"/>
    <s v="Nam Định"/>
    <x v="0"/>
    <x v="0"/>
    <x v="0"/>
    <x v="0"/>
    <n v="1"/>
    <n v="1"/>
    <n v="1"/>
    <x v="0"/>
    <x v="0"/>
    <m/>
  </r>
  <r>
    <n v="262"/>
    <x v="108"/>
    <x v="0"/>
    <s v="Phòng kinh doanh"/>
    <s v="NV kinh doanh"/>
    <s v="Vũ Ngọc Linh"/>
    <d v="1994-07-27T00:00:00"/>
    <n v="26"/>
    <s v="Nữ"/>
    <s v="FTU"/>
    <s v="Cao đẳng"/>
    <s v="Nam Định"/>
    <x v="1"/>
    <x v="5"/>
    <x v="0"/>
    <x v="0"/>
    <n v="1"/>
    <n v="1"/>
    <m/>
    <x v="0"/>
    <x v="0"/>
    <m/>
  </r>
  <r>
    <n v="263"/>
    <x v="108"/>
    <x v="1"/>
    <s v="Phòng hành chính nhân sự"/>
    <s v="Nhân viên đào tạo"/>
    <s v="Nguyễn Thị Trang"/>
    <d v="1990-09-28T00:00:00"/>
    <n v="29"/>
    <s v="Nữ"/>
    <s v="FTU"/>
    <s v="Đại học"/>
    <s v="Nam Định"/>
    <x v="0"/>
    <x v="0"/>
    <x v="0"/>
    <x v="0"/>
    <n v="1"/>
    <n v="1"/>
    <n v="1"/>
    <x v="0"/>
    <x v="0"/>
    <m/>
  </r>
  <r>
    <n v="264"/>
    <x v="108"/>
    <x v="0"/>
    <s v="Phòng kinh doanh"/>
    <s v="NV kinh doanh"/>
    <s v="Trịnh Văn Mạnh"/>
    <d v="1992-08-24T00:00:00"/>
    <n v="28"/>
    <s v="Nam"/>
    <s v="ĐH Kinh tế QG"/>
    <s v="Đại học"/>
    <s v="Thanh Hóa"/>
    <x v="1"/>
    <x v="1"/>
    <x v="2"/>
    <x v="8"/>
    <n v="1"/>
    <n v="1"/>
    <m/>
    <x v="0"/>
    <x v="0"/>
    <n v="200000"/>
  </r>
  <r>
    <n v="265"/>
    <x v="109"/>
    <x v="1"/>
    <s v="Phòng hành chính nhân sự"/>
    <s v="Nhân viên đào tạo"/>
    <s v="Dương Thị Tuyết"/>
    <d v="1992-09-21T00:00:00"/>
    <n v="27"/>
    <s v="Nữ"/>
    <s v="HV tài chính"/>
    <s v="Cao đẳng"/>
    <s v="Hà Nội"/>
    <x v="0"/>
    <x v="3"/>
    <x v="0"/>
    <x v="0"/>
    <n v="1"/>
    <m/>
    <m/>
    <x v="0"/>
    <x v="0"/>
    <m/>
  </r>
  <r>
    <n v="266"/>
    <x v="109"/>
    <x v="1"/>
    <s v="Phòng hành chính nhân sự"/>
    <s v="Nhân viên đào tạo"/>
    <s v="Đoàn Hoàng Linh"/>
    <d v="1991-07-10T00:00:00"/>
    <n v="29"/>
    <s v="Nam"/>
    <s v="Mỏ địa chất"/>
    <s v="Đại học"/>
    <s v="Hà Nội"/>
    <x v="0"/>
    <x v="0"/>
    <x v="0"/>
    <x v="0"/>
    <n v="1"/>
    <m/>
    <m/>
    <x v="0"/>
    <x v="0"/>
    <m/>
  </r>
  <r>
    <n v="267"/>
    <x v="109"/>
    <x v="1"/>
    <s v="Phòng hành chính nhân sự"/>
    <s v="Nhân viên đào tạo"/>
    <s v="Dương Thị Tuyết"/>
    <d v="1992-09-21T00:00:00"/>
    <n v="27"/>
    <s v="Nữ"/>
    <s v="HV tài chính"/>
    <s v="Cao đẳng"/>
    <s v="Hà Nội"/>
    <x v="0"/>
    <x v="3"/>
    <x v="0"/>
    <x v="0"/>
    <n v="1"/>
    <m/>
    <m/>
    <x v="0"/>
    <x v="0"/>
    <m/>
  </r>
  <r>
    <n v="268"/>
    <x v="109"/>
    <x v="1"/>
    <s v="Phòng hành chính nhân sự"/>
    <s v="Nhân viên đào tạo"/>
    <s v="Đoàn Hoàng Linh"/>
    <d v="1991-07-10T00:00:00"/>
    <n v="29"/>
    <s v="Nam"/>
    <s v="Mỏ địa chất"/>
    <s v="Đại học"/>
    <s v="Hà Nội"/>
    <x v="0"/>
    <x v="0"/>
    <x v="0"/>
    <x v="0"/>
    <n v="1"/>
    <m/>
    <m/>
    <x v="0"/>
    <x v="0"/>
    <m/>
  </r>
  <r>
    <n v="269"/>
    <x v="109"/>
    <x v="2"/>
    <s v="Phòng Đào tạo"/>
    <s v="Giảng viên"/>
    <s v="Nguyễn Song Toàn"/>
    <d v="1990-02-15T00:00:00"/>
    <n v="30"/>
    <s v="Nam"/>
    <s v="Thương mại"/>
    <s v="Cao đẳng"/>
    <s v="Hà Nội"/>
    <x v="1"/>
    <x v="1"/>
    <x v="1"/>
    <x v="7"/>
    <n v="1"/>
    <n v="1"/>
    <m/>
    <x v="0"/>
    <x v="0"/>
    <m/>
  </r>
  <r>
    <n v="270"/>
    <x v="110"/>
    <x v="3"/>
    <s v="Phòng kinh doanh"/>
    <s v="NV kinh doanh"/>
    <s v="Phan Thị Liễu"/>
    <d v="1989-03-22T00:00:00"/>
    <n v="31"/>
    <s v="Nữ"/>
    <s v="FTU"/>
    <s v="Đại học"/>
    <s v="Hà Nội"/>
    <x v="1"/>
    <x v="4"/>
    <x v="0"/>
    <x v="0"/>
    <n v="1"/>
    <m/>
    <m/>
    <x v="0"/>
    <x v="0"/>
    <m/>
  </r>
  <r>
    <n v="271"/>
    <x v="110"/>
    <x v="2"/>
    <s v="Phòng Đào tạo"/>
    <s v="Giảng viên"/>
    <s v="Hoàng Thị Thanh Huyền"/>
    <d v="1994-11-14T00:00:00"/>
    <n v="25"/>
    <s v="Nữ"/>
    <s v="KTQD"/>
    <s v="Cao đẳng"/>
    <s v="Hà Nội"/>
    <x v="1"/>
    <x v="1"/>
    <x v="2"/>
    <x v="2"/>
    <n v="1"/>
    <m/>
    <m/>
    <x v="0"/>
    <x v="0"/>
    <n v="300000"/>
  </r>
  <r>
    <n v="272"/>
    <x v="111"/>
    <x v="3"/>
    <s v="Admin"/>
    <s v="Tạp vụ"/>
    <s v="Trần Gia Mạnh"/>
    <d v="1986-05-21T00:00:00"/>
    <n v="34"/>
    <s v="Nữ"/>
    <s v="FTU"/>
    <s v="Cao đẳng"/>
    <s v="Hà Nội"/>
    <x v="0"/>
    <x v="0"/>
    <x v="0"/>
    <x v="0"/>
    <n v="1"/>
    <n v="1"/>
    <n v="1"/>
    <x v="1"/>
    <x v="40"/>
    <n v="500000"/>
  </r>
  <r>
    <n v="273"/>
    <x v="112"/>
    <x v="4"/>
    <s v="Admin"/>
    <s v="Bảo vệ"/>
    <s v="Trương Thanh Hằng"/>
    <d v="1991-06-20T00:00:00"/>
    <n v="29"/>
    <s v="Nữ"/>
    <s v="ĐH Quốc gia"/>
    <s v="Cao học"/>
    <s v="Hưng Yên"/>
    <x v="0"/>
    <x v="0"/>
    <x v="0"/>
    <x v="0"/>
    <n v="1"/>
    <m/>
    <m/>
    <x v="0"/>
    <x v="0"/>
    <m/>
  </r>
  <r>
    <n v="274"/>
    <x v="113"/>
    <x v="4"/>
    <s v="Admin"/>
    <s v="Bảo vệ"/>
    <s v="Vũ Thị Bích"/>
    <d v="1990-05-23T00:00:00"/>
    <n v="30"/>
    <s v="Nữ"/>
    <s v="ĐH Công nghiệp HCM"/>
    <s v="Cao học"/>
    <s v="Bắc Giang"/>
    <x v="1"/>
    <x v="2"/>
    <x v="3"/>
    <x v="0"/>
    <n v="1"/>
    <m/>
    <m/>
    <x v="0"/>
    <x v="0"/>
    <n v="100000"/>
  </r>
  <r>
    <n v="275"/>
    <x v="114"/>
    <x v="1"/>
    <s v="Phòng Marekting"/>
    <s v="NV Marketing"/>
    <s v="Phạm Thị Cẩm Trà"/>
    <d v="1990-05-23T00:00:00"/>
    <n v="30"/>
    <s v="Nữ"/>
    <s v="Kinh doanh công nghệ"/>
    <s v="Đại học"/>
    <s v="Nghệ An"/>
    <x v="1"/>
    <x v="1"/>
    <x v="1"/>
    <x v="1"/>
    <n v="1"/>
    <m/>
    <m/>
    <x v="0"/>
    <x v="0"/>
    <m/>
  </r>
  <r>
    <n v="276"/>
    <x v="114"/>
    <x v="0"/>
    <s v="Phòng Đào tạo"/>
    <s v="Giảng viên"/>
    <s v="Lê Thị Hương Giang"/>
    <d v="1991-06-20T00:00:00"/>
    <n v="29"/>
    <s v="Nữ"/>
    <s v="FTU"/>
    <s v="Cao học"/>
    <s v="Nghệ An"/>
    <x v="1"/>
    <x v="1"/>
    <x v="1"/>
    <x v="3"/>
    <n v="1"/>
    <m/>
    <m/>
    <x v="0"/>
    <x v="0"/>
    <m/>
  </r>
  <r>
    <n v="277"/>
    <x v="115"/>
    <x v="1"/>
    <s v="Phòng kế toán"/>
    <s v="Kế toán thuế"/>
    <s v="Nguyễn Thu Hiền"/>
    <d v="1991-03-30T00:00:00"/>
    <n v="29"/>
    <s v="Nữ"/>
    <s v="FTU"/>
    <s v="Đại học"/>
    <s v="Hà Nội"/>
    <x v="1"/>
    <x v="1"/>
    <x v="1"/>
    <x v="1"/>
    <n v="1"/>
    <n v="1"/>
    <n v="1"/>
    <x v="0"/>
    <x v="0"/>
    <m/>
  </r>
  <r>
    <n v="278"/>
    <x v="115"/>
    <x v="2"/>
    <s v="Phòng Đào tạo"/>
    <s v="Giảng viên"/>
    <s v="Đặng Thị Thu Hương"/>
    <d v="1990-05-03T00:00:00"/>
    <n v="30"/>
    <s v="Nữ"/>
    <s v="Thương mại"/>
    <s v="Đại học"/>
    <s v="Hà Nội"/>
    <x v="1"/>
    <x v="1"/>
    <x v="2"/>
    <x v="4"/>
    <n v="1"/>
    <n v="1"/>
    <n v="1"/>
    <x v="1"/>
    <x v="41"/>
    <n v="200000"/>
  </r>
  <r>
    <n v="279"/>
    <x v="116"/>
    <x v="2"/>
    <s v="Admin"/>
    <s v="Tạp vụ"/>
    <s v="Nguyễn Mai Liên"/>
    <d v="1990-06-17T00:00:00"/>
    <n v="30"/>
    <s v="Nữ"/>
    <s v="Thương mại"/>
    <s v="Đại học"/>
    <s v="Hà Nội"/>
    <x v="1"/>
    <x v="2"/>
    <x v="3"/>
    <x v="0"/>
    <n v="1"/>
    <n v="1"/>
    <m/>
    <x v="0"/>
    <x v="0"/>
    <n v="150000"/>
  </r>
  <r>
    <n v="280"/>
    <x v="117"/>
    <x v="3"/>
    <s v="Phòng Đào tạo"/>
    <s v="Giảng viên"/>
    <s v="Nguyễn Ngọc Quỳnh"/>
    <d v="1990-09-28T00:00:00"/>
    <n v="29"/>
    <s v="Nữ"/>
    <s v="Thương mại"/>
    <s v="Cao học"/>
    <s v="Hà Nội"/>
    <x v="1"/>
    <x v="4"/>
    <x v="0"/>
    <x v="0"/>
    <n v="1"/>
    <m/>
    <m/>
    <x v="0"/>
    <x v="0"/>
    <m/>
  </r>
  <r>
    <n v="281"/>
    <x v="117"/>
    <x v="2"/>
    <s v="Admin"/>
    <s v="Tạp vụ"/>
    <s v="Lê Thùy Linh"/>
    <d v="1990-09-16T00:00:00"/>
    <n v="29"/>
    <s v="Nữ"/>
    <s v="FTU"/>
    <s v="Đại học"/>
    <s v="Nam Định"/>
    <x v="1"/>
    <x v="5"/>
    <x v="0"/>
    <x v="0"/>
    <n v="1"/>
    <m/>
    <m/>
    <x v="0"/>
    <x v="0"/>
    <m/>
  </r>
  <r>
    <n v="282"/>
    <x v="118"/>
    <x v="3"/>
    <s v="Admin"/>
    <s v="Bảo vệ"/>
    <s v="Nguyễn Thị Kiều"/>
    <d v="1990-02-15T00:00:00"/>
    <n v="30"/>
    <s v="Nữ"/>
    <s v="ĐH Công nghiệp HCM"/>
    <s v="Đại học"/>
    <s v="Vĩnh Phúc"/>
    <x v="1"/>
    <x v="2"/>
    <x v="3"/>
    <x v="0"/>
    <n v="1"/>
    <m/>
    <m/>
    <x v="0"/>
    <x v="0"/>
    <n v="100000"/>
  </r>
  <r>
    <n v="283"/>
    <x v="119"/>
    <x v="2"/>
    <s v="Phòng Đào tạo"/>
    <s v="Giảng viên"/>
    <s v="Lê Mai Linh"/>
    <d v="1993-08-14T00:00:00"/>
    <n v="27"/>
    <s v="Nữ"/>
    <s v="FTU"/>
    <s v="Đại học"/>
    <s v="Hà Nội"/>
    <x v="1"/>
    <x v="2"/>
    <x v="3"/>
    <x v="0"/>
    <n v="1"/>
    <n v="1"/>
    <m/>
    <x v="0"/>
    <x v="0"/>
    <n v="150000"/>
  </r>
  <r>
    <n v="284"/>
    <x v="119"/>
    <x v="4"/>
    <s v="Phòng kinh doanh"/>
    <s v="NV kinh doanh"/>
    <s v="Nguyễn Thu Hằng"/>
    <d v="1989-03-22T00:00:00"/>
    <n v="31"/>
    <s v="Nữ"/>
    <s v="Thăng Long"/>
    <s v="Cao học"/>
    <s v="Hà Nội"/>
    <x v="0"/>
    <x v="0"/>
    <x v="0"/>
    <x v="0"/>
    <n v="1"/>
    <n v="1"/>
    <n v="1"/>
    <x v="1"/>
    <x v="42"/>
    <n v="500000"/>
  </r>
  <r>
    <n v="285"/>
    <x v="120"/>
    <x v="1"/>
    <s v="Phòng hành chính nhân sự"/>
    <s v="Bảo vệ"/>
    <s v="Lê Hà Linh"/>
    <d v="1991-08-26T00:00:00"/>
    <n v="29"/>
    <s v="Nữ"/>
    <s v="ĐH Mở"/>
    <s v="Đại học"/>
    <s v="Hà Nội"/>
    <x v="1"/>
    <x v="1"/>
    <x v="2"/>
    <x v="2"/>
    <n v="1"/>
    <n v="1"/>
    <m/>
    <x v="0"/>
    <x v="0"/>
    <n v="200000"/>
  </r>
  <r>
    <n v="286"/>
    <x v="121"/>
    <x v="3"/>
    <s v="Phòng kinh doanh"/>
    <s v="NV kinh doanh"/>
    <s v="Phạm Minh Trang"/>
    <d v="1990-06-17T00:00:00"/>
    <n v="30"/>
    <s v="Nữ"/>
    <s v="FTU"/>
    <s v="Đại học"/>
    <s v="Bắc Giang"/>
    <x v="1"/>
    <x v="1"/>
    <x v="2"/>
    <x v="4"/>
    <n v="1"/>
    <m/>
    <m/>
    <x v="0"/>
    <x v="0"/>
    <n v="100000"/>
  </r>
  <r>
    <n v="287"/>
    <x v="121"/>
    <x v="1"/>
    <s v="Phòng Marekting"/>
    <s v="NV Marketing"/>
    <s v="Đào Thị Lan"/>
    <d v="1989-02-19T00:00:00"/>
    <n v="31"/>
    <s v="Nữ"/>
    <s v="HV ngân hàng"/>
    <s v="Đại học"/>
    <s v="Hải Dương"/>
    <x v="1"/>
    <x v="1"/>
    <x v="2"/>
    <x v="2"/>
    <n v="1"/>
    <n v="1"/>
    <n v="1"/>
    <x v="1"/>
    <x v="43"/>
    <n v="200000"/>
  </r>
  <r>
    <n v="288"/>
    <x v="122"/>
    <x v="3"/>
    <s v="Phòng kinh doanh"/>
    <s v="NV kinh doanh"/>
    <s v="Vũ Thị Thư"/>
    <d v="1991-12-01T00:00:00"/>
    <n v="28"/>
    <s v="Nữ"/>
    <s v="HV tài chính"/>
    <s v="Đại học"/>
    <s v="Hà Nội"/>
    <x v="1"/>
    <x v="1"/>
    <x v="1"/>
    <x v="3"/>
    <n v="1"/>
    <n v="1"/>
    <n v="1"/>
    <x v="1"/>
    <x v="44"/>
    <m/>
  </r>
  <r>
    <n v="289"/>
    <x v="123"/>
    <x v="1"/>
    <s v="Phòng kế toán"/>
    <s v="Kế toán thuế"/>
    <s v="Vũ Thị Bích"/>
    <d v="1990-08-03T00:00:00"/>
    <n v="30"/>
    <s v="Nữ"/>
    <s v="HV ngân hàng"/>
    <s v="Đại học"/>
    <s v="Hà Nội"/>
    <x v="0"/>
    <x v="3"/>
    <x v="0"/>
    <x v="0"/>
    <n v="1"/>
    <m/>
    <m/>
    <x v="0"/>
    <x v="0"/>
    <m/>
  </r>
  <r>
    <n v="290"/>
    <x v="124"/>
    <x v="1"/>
    <s v="Phòng hành chính nhân sự"/>
    <s v="Bảo vệ"/>
    <s v="Lương Thị Hương Liên"/>
    <d v="1991-12-22T00:00:00"/>
    <n v="28"/>
    <s v="Nữ"/>
    <s v="ĐH Văn Hóa"/>
    <s v="Đại học"/>
    <s v="Hà Nội"/>
    <x v="0"/>
    <x v="0"/>
    <x v="0"/>
    <x v="0"/>
    <n v="1"/>
    <n v="1"/>
    <n v="1"/>
    <x v="0"/>
    <x v="0"/>
    <m/>
  </r>
  <r>
    <n v="291"/>
    <x v="125"/>
    <x v="3"/>
    <s v="Admin"/>
    <s v="Bảo vệ"/>
    <s v="Nguyễn Thị Xuân Hạnh"/>
    <d v="1993-02-21T00:00:00"/>
    <n v="27"/>
    <s v="Nữ"/>
    <s v="FTU"/>
    <s v="Cao học"/>
    <s v="Hà Nội"/>
    <x v="1"/>
    <x v="1"/>
    <x v="2"/>
    <x v="5"/>
    <n v="1"/>
    <n v="1"/>
    <n v="1"/>
    <x v="1"/>
    <x v="45"/>
    <n v="500000"/>
  </r>
  <r>
    <n v="292"/>
    <x v="126"/>
    <x v="2"/>
    <s v="Admin"/>
    <s v="Tạp vụ"/>
    <s v="Đỗ Bích Liên"/>
    <d v="1990-06-17T00:00:00"/>
    <n v="30"/>
    <s v="Nữ"/>
    <s v="Thăng Long"/>
    <s v="Cao đẳng"/>
    <s v="Hà Nội"/>
    <x v="0"/>
    <x v="3"/>
    <x v="0"/>
    <x v="0"/>
    <n v="1"/>
    <n v="1"/>
    <m/>
    <x v="0"/>
    <x v="0"/>
    <m/>
  </r>
  <r>
    <n v="293"/>
    <x v="126"/>
    <x v="2"/>
    <s v="Phòng Đào tạo"/>
    <s v="Giảng viên"/>
    <s v="Quản Thị Thùy Dương"/>
    <d v="1993-11-22T00:00:00"/>
    <n v="26"/>
    <s v="Nữ"/>
    <s v="FTU"/>
    <s v="Đại học"/>
    <s v="Hà Nội"/>
    <x v="1"/>
    <x v="5"/>
    <x v="0"/>
    <x v="0"/>
    <n v="1"/>
    <m/>
    <m/>
    <x v="0"/>
    <x v="0"/>
    <n v="100000"/>
  </r>
  <r>
    <n v="294"/>
    <x v="127"/>
    <x v="2"/>
    <s v="Phòng Đào tạo"/>
    <s v="Trưởng bộ phận Đào tạo"/>
    <s v="Phạm Thị Hà"/>
    <d v="1993-05-29T00:00:00"/>
    <n v="27"/>
    <s v="Nữ"/>
    <s v="HV tài chính"/>
    <s v="Cao học"/>
    <s v="Hà Nội"/>
    <x v="1"/>
    <x v="2"/>
    <x v="3"/>
    <x v="0"/>
    <n v="1"/>
    <m/>
    <m/>
    <x v="0"/>
    <x v="0"/>
    <n v="100000"/>
  </r>
  <r>
    <n v="295"/>
    <x v="127"/>
    <x v="1"/>
    <s v="Phòng hành chính nhân sự"/>
    <s v="Bảo vệ"/>
    <s v="Trịnh Văn Mạnh"/>
    <d v="1990-05-23T00:00:00"/>
    <n v="30"/>
    <s v="Nữ"/>
    <s v="Ngoại ngữ QG"/>
    <s v="Đại học"/>
    <s v="Hà Nội"/>
    <x v="1"/>
    <x v="1"/>
    <x v="2"/>
    <x v="6"/>
    <n v="1"/>
    <n v="1"/>
    <m/>
    <x v="0"/>
    <x v="0"/>
    <n v="150000"/>
  </r>
  <r>
    <n v="296"/>
    <x v="128"/>
    <x v="4"/>
    <s v="Phòng kinh doanh"/>
    <s v="NV kinh doanh"/>
    <s v="Lê Thị Hương Giang"/>
    <d v="1989-03-22T00:00:00"/>
    <n v="31"/>
    <s v="Nữ"/>
    <s v="Ngoại ngữ QG"/>
    <s v="Đại học"/>
    <s v="Hà Nội"/>
    <x v="0"/>
    <x v="3"/>
    <x v="0"/>
    <x v="0"/>
    <n v="1"/>
    <m/>
    <m/>
    <x v="0"/>
    <x v="0"/>
    <m/>
  </r>
  <r>
    <n v="297"/>
    <x v="128"/>
    <x v="2"/>
    <s v="Phòng Đào tạo"/>
    <s v="Trưởng bộ phận Đào tạo"/>
    <s v="Trần Gia Mạnh"/>
    <d v="1994-02-19T00:00:00"/>
    <n v="26"/>
    <s v="Nam"/>
    <s v="KTQD"/>
    <s v="Đại học"/>
    <s v="Nam Định"/>
    <x v="1"/>
    <x v="1"/>
    <x v="1"/>
    <x v="1"/>
    <n v="1"/>
    <n v="1"/>
    <m/>
    <x v="0"/>
    <x v="0"/>
    <m/>
  </r>
  <r>
    <n v="298"/>
    <x v="128"/>
    <x v="3"/>
    <s v="Admin"/>
    <s v="Bảo vệ"/>
    <s v="Đinh Thị Kim Huệ"/>
    <d v="1991-03-05T00:00:00"/>
    <n v="29"/>
    <s v="Nam"/>
    <s v="FTU"/>
    <s v="Cao đẳng"/>
    <s v="Bắc Giang"/>
    <x v="1"/>
    <x v="1"/>
    <x v="2"/>
    <x v="5"/>
    <n v="1"/>
    <n v="1"/>
    <m/>
    <x v="0"/>
    <x v="0"/>
    <m/>
  </r>
  <r>
    <n v="299"/>
    <x v="128"/>
    <x v="2"/>
    <s v="Phòng Đào tạo"/>
    <s v="Trưởng bộ phận Đào tạo"/>
    <s v="Trần Gia Mạnh"/>
    <d v="1994-02-19T00:00:00"/>
    <n v="26"/>
    <s v="Nam"/>
    <s v="KTQD"/>
    <s v="Đại học"/>
    <s v="Nam Định"/>
    <x v="1"/>
    <x v="1"/>
    <x v="1"/>
    <x v="1"/>
    <n v="1"/>
    <n v="1"/>
    <m/>
    <x v="0"/>
    <x v="0"/>
    <m/>
  </r>
  <r>
    <n v="300"/>
    <x v="128"/>
    <x v="4"/>
    <s v="Phòng kinh doanh"/>
    <s v="NV kinh doanh"/>
    <s v="Nguyễn Thị Thanh Hằng"/>
    <d v="1992-03-04T00:00:00"/>
    <n v="28"/>
    <s v="Nữ"/>
    <s v="FTU"/>
    <s v="Đại học"/>
    <s v="Bắc Giang"/>
    <x v="1"/>
    <x v="1"/>
    <x v="2"/>
    <x v="6"/>
    <n v="1"/>
    <n v="1"/>
    <m/>
    <x v="0"/>
    <x v="0"/>
    <n v="120000"/>
  </r>
  <r>
    <n v="301"/>
    <x v="129"/>
    <x v="2"/>
    <s v="Phòng Đào tạo"/>
    <s v="Giảng viên"/>
    <s v="Nguyễn Thị Xuân Hạnh"/>
    <d v="1990-09-28T00:00:00"/>
    <n v="29"/>
    <s v="Nam"/>
    <s v="FTU"/>
    <s v="Đại học"/>
    <s v="Bắc Giang"/>
    <x v="1"/>
    <x v="5"/>
    <x v="0"/>
    <x v="0"/>
    <n v="1"/>
    <m/>
    <m/>
    <x v="0"/>
    <x v="0"/>
    <m/>
  </r>
  <r>
    <n v="302"/>
    <x v="129"/>
    <x v="2"/>
    <s v="Phòng Đào tạo"/>
    <s v="Trưởng bộ phận Đào tạo"/>
    <s v="Trương Thanh Hằng"/>
    <d v="1995-11-05T00:00:00"/>
    <n v="24"/>
    <s v="Nữ"/>
    <s v="Đại Nam"/>
    <s v="Đại học"/>
    <s v="Hà Nội"/>
    <x v="1"/>
    <x v="2"/>
    <x v="3"/>
    <x v="0"/>
    <n v="1"/>
    <n v="1"/>
    <m/>
    <x v="0"/>
    <x v="0"/>
    <n v="100000"/>
  </r>
  <r>
    <n v="303"/>
    <x v="129"/>
    <x v="0"/>
    <s v="Phòng Đào tạo"/>
    <s v="Giảng viên"/>
    <s v="Phạm Thị Thanh Mai"/>
    <d v="1993-09-19T00:00:00"/>
    <n v="26"/>
    <s v="Nữ"/>
    <s v="KTQD"/>
    <s v="Đại học"/>
    <s v="Hà Nội"/>
    <x v="1"/>
    <x v="2"/>
    <x v="3"/>
    <x v="0"/>
    <n v="1"/>
    <m/>
    <m/>
    <x v="0"/>
    <x v="0"/>
    <n v="100000"/>
  </r>
  <r>
    <n v="304"/>
    <x v="129"/>
    <x v="2"/>
    <s v="Phòng Đào tạo"/>
    <s v="Trưởng bộ phận Đào tạo"/>
    <s v="Nguyễn Mai Liên"/>
    <d v="1989-03-22T00:00:00"/>
    <n v="31"/>
    <s v="Nữ"/>
    <s v="Thương mại"/>
    <s v="Cao học"/>
    <s v="Hà Nội"/>
    <x v="1"/>
    <x v="1"/>
    <x v="1"/>
    <x v="1"/>
    <n v="1"/>
    <n v="1"/>
    <n v="1"/>
    <x v="1"/>
    <x v="42"/>
    <m/>
  </r>
  <r>
    <n v="305"/>
    <x v="130"/>
    <x v="1"/>
    <s v="Phòng Marekting"/>
    <s v="NV Marketing"/>
    <s v="Bùi Thị Thanh Hoài"/>
    <d v="1991-12-05T00:00:00"/>
    <n v="28"/>
    <s v="Nữ"/>
    <s v="FTU"/>
    <s v="Đại học"/>
    <s v="Bắc Giang"/>
    <x v="1"/>
    <x v="2"/>
    <x v="3"/>
    <x v="0"/>
    <n v="1"/>
    <n v="1"/>
    <n v="1"/>
    <x v="0"/>
    <x v="0"/>
    <n v="100000"/>
  </r>
  <r>
    <n v="306"/>
    <x v="130"/>
    <x v="1"/>
    <s v="Phòng Marekting"/>
    <s v="NV Marketing"/>
    <s v="Bùi Thị Quế"/>
    <d v="1991-06-20T00:00:00"/>
    <n v="29"/>
    <s v="Nữ"/>
    <s v="HV ngân hàng"/>
    <s v="Cao đẳng"/>
    <s v="Nam Định"/>
    <x v="1"/>
    <x v="1"/>
    <x v="2"/>
    <x v="2"/>
    <n v="1"/>
    <m/>
    <m/>
    <x v="0"/>
    <x v="0"/>
    <n v="150000"/>
  </r>
  <r>
    <n v="307"/>
    <x v="131"/>
    <x v="3"/>
    <s v="Phòng Đào tạo"/>
    <s v="Giảng viên"/>
    <s v="Nguyễn Thị Kiều"/>
    <d v="1991-06-20T00:00:00"/>
    <n v="29"/>
    <s v="Nữ"/>
    <s v="FTU"/>
    <s v="Đại học"/>
    <s v="Hà Nội"/>
    <x v="0"/>
    <x v="0"/>
    <x v="0"/>
    <x v="0"/>
    <n v="1"/>
    <m/>
    <m/>
    <x v="0"/>
    <x v="0"/>
    <m/>
  </r>
  <r>
    <n v="308"/>
    <x v="131"/>
    <x v="3"/>
    <s v="Phòng Đào tạo"/>
    <s v="Giảng viên"/>
    <s v="Trịnh Văn Mạnh"/>
    <d v="1992-08-24T00:00:00"/>
    <n v="28"/>
    <s v="Nam"/>
    <s v="ĐH Kinh tế QG"/>
    <s v="Đại học"/>
    <s v="Thanh Hóa"/>
    <x v="1"/>
    <x v="4"/>
    <x v="0"/>
    <x v="0"/>
    <n v="1"/>
    <n v="1"/>
    <m/>
    <x v="0"/>
    <x v="0"/>
    <m/>
  </r>
  <r>
    <n v="309"/>
    <x v="131"/>
    <x v="1"/>
    <s v="Phòng kế toán"/>
    <s v="Kế toán thuế"/>
    <s v="Vũ Ngọc Linh"/>
    <d v="1994-07-27T00:00:00"/>
    <n v="26"/>
    <s v="Nữ"/>
    <s v="FTU"/>
    <s v="Cao đẳng"/>
    <s v="Nam Định"/>
    <x v="1"/>
    <x v="5"/>
    <x v="0"/>
    <x v="0"/>
    <n v="1"/>
    <n v="1"/>
    <m/>
    <x v="0"/>
    <x v="0"/>
    <m/>
  </r>
  <r>
    <n v="310"/>
    <x v="131"/>
    <x v="3"/>
    <s v="Phòng Đào tạo"/>
    <s v="Giảng viên"/>
    <s v="Trịnh Văn Mạnh"/>
    <d v="1992-08-24T00:00:00"/>
    <n v="28"/>
    <s v="Nam"/>
    <s v="ĐH Kinh tế QG"/>
    <s v="Đại học"/>
    <s v="Thanh Hóa"/>
    <x v="1"/>
    <x v="4"/>
    <x v="0"/>
    <x v="0"/>
    <n v="1"/>
    <n v="1"/>
    <m/>
    <x v="0"/>
    <x v="0"/>
    <m/>
  </r>
  <r>
    <n v="311"/>
    <x v="131"/>
    <x v="1"/>
    <s v="Phòng kế toán"/>
    <s v="Kế toán thuế"/>
    <s v="Vũ Ngọc Linh"/>
    <d v="1994-07-27T00:00:00"/>
    <n v="26"/>
    <s v="Nữ"/>
    <s v="FTU"/>
    <s v="Cao đẳng"/>
    <s v="Nam Định"/>
    <x v="1"/>
    <x v="5"/>
    <x v="0"/>
    <x v="0"/>
    <n v="1"/>
    <n v="1"/>
    <m/>
    <x v="0"/>
    <x v="0"/>
    <m/>
  </r>
  <r>
    <n v="312"/>
    <x v="131"/>
    <x v="3"/>
    <s v="Admin"/>
    <s v="Bảo vệ"/>
    <s v="Nguyễn Thị Trang"/>
    <d v="1990-09-28T00:00:00"/>
    <n v="29"/>
    <s v="Nữ"/>
    <s v="FTU"/>
    <s v="Đại học"/>
    <s v="Nam Định"/>
    <x v="0"/>
    <x v="0"/>
    <x v="0"/>
    <x v="0"/>
    <n v="1"/>
    <n v="1"/>
    <n v="1"/>
    <x v="1"/>
    <x v="41"/>
    <n v="500000"/>
  </r>
  <r>
    <n v="313"/>
    <x v="131"/>
    <x v="1"/>
    <s v="Phòng kế toán"/>
    <s v="Kế toán thuế"/>
    <s v="Lê Thùy Linh"/>
    <d v="1990-05-03T00:00:00"/>
    <n v="30"/>
    <s v="Nữ"/>
    <s v="HV tài chính"/>
    <s v="Cao đẳng"/>
    <s v="Hà Nội"/>
    <x v="1"/>
    <x v="1"/>
    <x v="2"/>
    <x v="5"/>
    <n v="1"/>
    <n v="1"/>
    <n v="1"/>
    <x v="1"/>
    <x v="43"/>
    <m/>
  </r>
  <r>
    <n v="314"/>
    <x v="132"/>
    <x v="3"/>
    <s v="Phòng kinh doanh"/>
    <s v="NV kinh doanh"/>
    <s v="Dương Thị Tuyết"/>
    <d v="1992-09-21T00:00:00"/>
    <n v="27"/>
    <s v="Nữ"/>
    <s v="HV tài chính"/>
    <s v="Cao đẳng"/>
    <s v="Hà Nội"/>
    <x v="0"/>
    <x v="3"/>
    <x v="0"/>
    <x v="0"/>
    <n v="1"/>
    <m/>
    <m/>
    <x v="0"/>
    <x v="0"/>
    <m/>
  </r>
  <r>
    <n v="315"/>
    <x v="132"/>
    <x v="1"/>
    <s v="Phòng hành chính nhân sự"/>
    <s v="Bảo vệ"/>
    <s v="Đoàn Hoàng Linh"/>
    <d v="1991-07-10T00:00:00"/>
    <n v="29"/>
    <s v="Nam"/>
    <s v="Mỏ địa chất"/>
    <s v="Đại học"/>
    <s v="Hà Nội"/>
    <x v="0"/>
    <x v="0"/>
    <x v="0"/>
    <x v="0"/>
    <n v="1"/>
    <m/>
    <m/>
    <x v="0"/>
    <x v="0"/>
    <m/>
  </r>
  <r>
    <n v="316"/>
    <x v="132"/>
    <x v="3"/>
    <s v="Phòng kinh doanh"/>
    <s v="NV kinh doanh"/>
    <s v="Nguyễn Thu Hằng"/>
    <d v="1990-05-03T00:00:00"/>
    <n v="30"/>
    <s v="Nữ"/>
    <s v="ĐH Quốc gia"/>
    <s v="Đại học"/>
    <s v="Hà Nội"/>
    <x v="0"/>
    <x v="0"/>
    <x v="0"/>
    <x v="0"/>
    <n v="1"/>
    <n v="1"/>
    <m/>
    <x v="0"/>
    <x v="0"/>
    <m/>
  </r>
  <r>
    <n v="317"/>
    <x v="132"/>
    <x v="1"/>
    <s v="Phòng hành chính nhân sự"/>
    <s v="Bảo vệ"/>
    <s v="Nguyễn Thị Anh Thư"/>
    <d v="1991-03-05T00:00:00"/>
    <n v="29"/>
    <s v="Nữ"/>
    <s v="HV ngân hàng"/>
    <s v="Cao đẳng"/>
    <s v="Hà Nội"/>
    <x v="0"/>
    <x v="0"/>
    <x v="0"/>
    <x v="0"/>
    <n v="1"/>
    <m/>
    <m/>
    <x v="0"/>
    <x v="0"/>
    <m/>
  </r>
  <r>
    <n v="318"/>
    <x v="132"/>
    <x v="2"/>
    <s v="Admin"/>
    <s v="Tạp vụ"/>
    <s v="Lê Mai Linh"/>
    <d v="1991-03-05T00:00:00"/>
    <n v="29"/>
    <s v="Nữ"/>
    <s v="ĐH Văn Hóa"/>
    <s v="Cao đẳng"/>
    <s v="Hà Nội"/>
    <x v="0"/>
    <x v="3"/>
    <x v="0"/>
    <x v="0"/>
    <n v="1"/>
    <n v="1"/>
    <m/>
    <x v="0"/>
    <x v="0"/>
    <m/>
  </r>
  <r>
    <n v="319"/>
    <x v="132"/>
    <x v="3"/>
    <s v="Phòng kinh doanh"/>
    <s v="NV kinh doanh"/>
    <s v="Dương Thị Tuyết"/>
    <d v="1992-09-21T00:00:00"/>
    <n v="27"/>
    <s v="Nữ"/>
    <s v="HV tài chính"/>
    <s v="Cao đẳng"/>
    <s v="Hà Nội"/>
    <x v="0"/>
    <x v="3"/>
    <x v="0"/>
    <x v="0"/>
    <n v="1"/>
    <m/>
    <m/>
    <x v="0"/>
    <x v="0"/>
    <m/>
  </r>
  <r>
    <n v="320"/>
    <x v="132"/>
    <x v="1"/>
    <s v="Phòng hành chính nhân sự"/>
    <s v="Bảo vệ"/>
    <s v="Đoàn Hoàng Linh"/>
    <d v="1991-07-10T00:00:00"/>
    <n v="29"/>
    <s v="Nam"/>
    <s v="Mỏ địa chất"/>
    <s v="Đại học"/>
    <s v="Hà Nội"/>
    <x v="0"/>
    <x v="0"/>
    <x v="0"/>
    <x v="0"/>
    <n v="1"/>
    <m/>
    <m/>
    <x v="0"/>
    <x v="0"/>
    <m/>
  </r>
  <r>
    <n v="321"/>
    <x v="132"/>
    <x v="3"/>
    <s v="Phòng kinh doanh"/>
    <s v="NV kinh doanh"/>
    <s v="Nguyễn Thu Hằng"/>
    <d v="1990-05-03T00:00:00"/>
    <n v="30"/>
    <s v="Nữ"/>
    <s v="ĐH Quốc gia"/>
    <s v="Đại học"/>
    <s v="Hà Nội"/>
    <x v="0"/>
    <x v="0"/>
    <x v="0"/>
    <x v="0"/>
    <n v="1"/>
    <n v="1"/>
    <m/>
    <x v="0"/>
    <x v="0"/>
    <m/>
  </r>
  <r>
    <n v="322"/>
    <x v="132"/>
    <x v="2"/>
    <s v="Admin"/>
    <s v="Tạp vụ"/>
    <s v="Lê Mai Linh"/>
    <d v="1991-03-05T00:00:00"/>
    <n v="29"/>
    <s v="Nữ"/>
    <s v="ĐH Văn Hóa"/>
    <s v="Cao đẳng"/>
    <s v="Hà Nội"/>
    <x v="0"/>
    <x v="3"/>
    <x v="0"/>
    <x v="0"/>
    <n v="1"/>
    <n v="1"/>
    <m/>
    <x v="0"/>
    <x v="0"/>
    <m/>
  </r>
  <r>
    <n v="323"/>
    <x v="132"/>
    <x v="4"/>
    <s v="Phòng kinh doanh"/>
    <s v="NV kinh doanh"/>
    <s v="Nguyễn Song Toàn"/>
    <d v="1990-02-15T00:00:00"/>
    <n v="30"/>
    <s v="Nam"/>
    <s v="Thương mại"/>
    <s v="Cao đẳng"/>
    <s v="Hà Nội"/>
    <x v="1"/>
    <x v="1"/>
    <x v="1"/>
    <x v="7"/>
    <n v="1"/>
    <n v="1"/>
    <m/>
    <x v="0"/>
    <x v="0"/>
    <n v="150000"/>
  </r>
  <r>
    <n v="324"/>
    <x v="132"/>
    <x v="2"/>
    <s v="Phòng Đào tạo"/>
    <s v="Giảng viên"/>
    <s v="Nguyễn Quỳnh Trang"/>
    <d v="1991-03-05T00:00:00"/>
    <n v="29"/>
    <s v="Nữ"/>
    <s v="HV ngân hàng"/>
    <s v="Cao đẳng"/>
    <s v="Hưng Yên"/>
    <x v="1"/>
    <x v="1"/>
    <x v="2"/>
    <x v="4"/>
    <n v="1"/>
    <n v="1"/>
    <n v="1"/>
    <x v="1"/>
    <x v="46"/>
    <n v="200000"/>
  </r>
  <r>
    <n v="325"/>
    <x v="133"/>
    <x v="0"/>
    <s v="Phòng Đào tạo"/>
    <s v="Giảng viên"/>
    <s v="Phan Thị Liễu"/>
    <d v="1989-03-22T00:00:00"/>
    <n v="31"/>
    <s v="Nữ"/>
    <s v="FTU"/>
    <s v="Đại học"/>
    <s v="Hà Nội"/>
    <x v="1"/>
    <x v="4"/>
    <x v="0"/>
    <x v="0"/>
    <n v="1"/>
    <m/>
    <m/>
    <x v="0"/>
    <x v="0"/>
    <m/>
  </r>
  <r>
    <n v="326"/>
    <x v="133"/>
    <x v="4"/>
    <s v="Phòng kinh doanh"/>
    <s v="NV kinh doanh"/>
    <s v="Lê Thị Hương Giang"/>
    <d v="1989-03-22T00:00:00"/>
    <n v="31"/>
    <s v="Nữ"/>
    <s v="Ngoại ngữ QG"/>
    <s v="Đại học"/>
    <s v="Hà Nội"/>
    <x v="0"/>
    <x v="3"/>
    <x v="0"/>
    <x v="0"/>
    <n v="1"/>
    <m/>
    <m/>
    <x v="0"/>
    <x v="0"/>
    <m/>
  </r>
  <r>
    <n v="327"/>
    <x v="133"/>
    <x v="0"/>
    <s v="Phòng Đào tạo"/>
    <s v="Giảng viên"/>
    <s v="Phan Thị Liễu"/>
    <d v="1989-03-22T00:00:00"/>
    <n v="31"/>
    <s v="Nữ"/>
    <s v="FTU"/>
    <s v="Đại học"/>
    <s v="Hà Nội"/>
    <x v="1"/>
    <x v="4"/>
    <x v="0"/>
    <x v="0"/>
    <n v="1"/>
    <m/>
    <m/>
    <x v="0"/>
    <x v="0"/>
    <m/>
  </r>
  <r>
    <n v="328"/>
    <x v="133"/>
    <x v="4"/>
    <s v="Phòng kinh doanh"/>
    <s v="NV kinh doanh"/>
    <s v="Lê Thị Hương Giang"/>
    <d v="1989-03-22T00:00:00"/>
    <n v="31"/>
    <s v="Nữ"/>
    <s v="Ngoại ngữ QG"/>
    <s v="Đại học"/>
    <s v="Hà Nội"/>
    <x v="0"/>
    <x v="3"/>
    <x v="0"/>
    <x v="0"/>
    <n v="1"/>
    <m/>
    <m/>
    <x v="0"/>
    <x v="0"/>
    <m/>
  </r>
  <r>
    <n v="329"/>
    <x v="133"/>
    <x v="2"/>
    <s v="Admin"/>
    <s v="Tạp vụ"/>
    <s v="Hoàng Thị Thanh Huyền"/>
    <d v="1994-11-14T00:00:00"/>
    <n v="25"/>
    <s v="Nữ"/>
    <s v="KTQD"/>
    <s v="Cao đẳng"/>
    <s v="Hà Nội"/>
    <x v="1"/>
    <x v="1"/>
    <x v="2"/>
    <x v="2"/>
    <n v="1"/>
    <m/>
    <m/>
    <x v="0"/>
    <x v="0"/>
    <n v="100000"/>
  </r>
  <r>
    <n v="330"/>
    <x v="133"/>
    <x v="0"/>
    <s v="Phòng Đào tạo"/>
    <s v="Giảng viên"/>
    <s v="Bùi Thị Quế"/>
    <d v="1991-06-20T00:00:00"/>
    <n v="29"/>
    <s v="Nữ"/>
    <s v="HV ngân hàng"/>
    <s v="Cao đẳng"/>
    <s v="Nam Định"/>
    <x v="1"/>
    <x v="1"/>
    <x v="2"/>
    <x v="4"/>
    <n v="1"/>
    <m/>
    <m/>
    <x v="0"/>
    <x v="0"/>
    <n v="150000"/>
  </r>
  <r>
    <n v="331"/>
    <x v="134"/>
    <x v="1"/>
    <s v="Phòng Marekting"/>
    <s v="NV Marketing"/>
    <s v="Trần Gia Mạnh"/>
    <d v="1986-05-21T00:00:00"/>
    <n v="34"/>
    <s v="Nữ"/>
    <s v="FTU"/>
    <s v="Cao đẳng"/>
    <s v="Hà Nội"/>
    <x v="0"/>
    <x v="3"/>
    <x v="0"/>
    <x v="0"/>
    <n v="1"/>
    <m/>
    <n v="1"/>
    <x v="0"/>
    <x v="0"/>
    <m/>
  </r>
  <r>
    <n v="332"/>
    <x v="134"/>
    <x v="1"/>
    <s v="Phòng Marekting"/>
    <s v="NV Marketing"/>
    <s v="Bùi Thị Quế"/>
    <d v="1991-06-20T00:00:00"/>
    <n v="29"/>
    <s v="Nữ"/>
    <s v="HV ngân hàng"/>
    <s v="Cao đẳng"/>
    <s v="Nam Định"/>
    <x v="1"/>
    <x v="1"/>
    <x v="2"/>
    <x v="2"/>
    <n v="1"/>
    <m/>
    <m/>
    <x v="0"/>
    <x v="0"/>
    <n v="150000"/>
  </r>
  <r>
    <n v="333"/>
    <x v="135"/>
    <x v="1"/>
    <s v="Phòng kế toán"/>
    <s v="Kế toán thuế"/>
    <s v="Trương Thanh Hằng"/>
    <d v="1991-06-20T00:00:00"/>
    <n v="29"/>
    <s v="Nữ"/>
    <s v="ĐH Quốc gia"/>
    <s v="Cao học"/>
    <s v="Hưng Yên"/>
    <x v="0"/>
    <x v="3"/>
    <x v="0"/>
    <x v="0"/>
    <n v="1"/>
    <m/>
    <m/>
    <x v="0"/>
    <x v="0"/>
    <m/>
  </r>
  <r>
    <n v="334"/>
    <x v="136"/>
    <x v="3"/>
    <s v="Phòng Đào tạo"/>
    <s v="Giảng viên"/>
    <s v="Vũ Thị Bích"/>
    <d v="1990-05-23T00:00:00"/>
    <n v="30"/>
    <s v="Nữ"/>
    <s v="ĐH Công nghiệp HCM"/>
    <s v="Cao học"/>
    <s v="Bắc Giang"/>
    <x v="1"/>
    <x v="1"/>
    <x v="2"/>
    <x v="2"/>
    <n v="1"/>
    <n v="1"/>
    <n v="1"/>
    <x v="1"/>
    <x v="42"/>
    <n v="200000"/>
  </r>
  <r>
    <n v="335"/>
    <x v="137"/>
    <x v="1"/>
    <s v="Phòng Marekting"/>
    <s v="NV Content"/>
    <s v="Phạm Thị Cẩm Trà"/>
    <d v="1990-05-23T00:00:00"/>
    <n v="30"/>
    <s v="Nữ"/>
    <s v="Kinh doanh công nghệ"/>
    <s v="Đại học"/>
    <s v="Nghệ An"/>
    <x v="1"/>
    <x v="1"/>
    <x v="1"/>
    <x v="1"/>
    <n v="1"/>
    <m/>
    <m/>
    <x v="0"/>
    <x v="0"/>
    <m/>
  </r>
  <r>
    <n v="336"/>
    <x v="137"/>
    <x v="0"/>
    <s v="Phòng Đào tạo"/>
    <s v="Giảng viên"/>
    <s v="Lê Thị Hương Giang"/>
    <d v="1991-06-20T00:00:00"/>
    <n v="29"/>
    <s v="Nữ"/>
    <s v="FTU"/>
    <s v="Cao học"/>
    <s v="Nghệ An"/>
    <x v="1"/>
    <x v="1"/>
    <x v="1"/>
    <x v="3"/>
    <n v="1"/>
    <m/>
    <m/>
    <x v="0"/>
    <x v="0"/>
    <m/>
  </r>
  <r>
    <n v="337"/>
    <x v="138"/>
    <x v="1"/>
    <s v="Phòng kế toán"/>
    <s v="Kế toán thuế"/>
    <s v="Nguyễn Thu Hiền"/>
    <d v="1991-03-30T00:00:00"/>
    <n v="29"/>
    <s v="Nữ"/>
    <s v="FTU"/>
    <s v="Đại học"/>
    <s v="Hà Nội"/>
    <x v="1"/>
    <x v="1"/>
    <x v="1"/>
    <x v="1"/>
    <n v="1"/>
    <n v="1"/>
    <n v="1"/>
    <x v="0"/>
    <x v="0"/>
    <m/>
  </r>
  <r>
    <n v="338"/>
    <x v="138"/>
    <x v="2"/>
    <s v="Phòng Đào tạo"/>
    <s v="Giảng viên"/>
    <s v="Đặng Thị Thu Hương"/>
    <d v="1990-05-03T00:00:00"/>
    <n v="30"/>
    <s v="Nữ"/>
    <s v="Thương mại"/>
    <s v="Đại học"/>
    <s v="Hà Nội"/>
    <x v="1"/>
    <x v="1"/>
    <x v="2"/>
    <x v="4"/>
    <n v="1"/>
    <n v="1"/>
    <n v="1"/>
    <x v="0"/>
    <x v="0"/>
    <n v="150000"/>
  </r>
  <r>
    <n v="339"/>
    <x v="139"/>
    <x v="2"/>
    <s v="Admin"/>
    <s v="Tạp vụ"/>
    <s v="Nguyễn Mai Liên"/>
    <d v="1990-06-17T00:00:00"/>
    <n v="30"/>
    <s v="Nữ"/>
    <s v="Thương mại"/>
    <s v="Đại học"/>
    <s v="Hà Nội"/>
    <x v="1"/>
    <x v="2"/>
    <x v="3"/>
    <x v="0"/>
    <n v="1"/>
    <n v="1"/>
    <m/>
    <x v="0"/>
    <x v="0"/>
    <n v="150000"/>
  </r>
  <r>
    <n v="340"/>
    <x v="140"/>
    <x v="3"/>
    <s v="Phòng Đào tạo"/>
    <s v="Giảng viên"/>
    <s v="Nguyễn Ngọc Quỳnh"/>
    <d v="1990-09-28T00:00:00"/>
    <n v="29"/>
    <s v="Nữ"/>
    <s v="Thương mại"/>
    <s v="Cao học"/>
    <s v="Hà Nội"/>
    <x v="1"/>
    <x v="4"/>
    <x v="0"/>
    <x v="0"/>
    <n v="1"/>
    <m/>
    <m/>
    <x v="0"/>
    <x v="0"/>
    <m/>
  </r>
  <r>
    <n v="341"/>
    <x v="140"/>
    <x v="2"/>
    <s v="Admin"/>
    <s v="Tạp vụ"/>
    <s v="Lê Thùy Linh"/>
    <d v="1990-09-16T00:00:00"/>
    <n v="29"/>
    <s v="Nữ"/>
    <s v="FTU"/>
    <s v="Đại học"/>
    <s v="Nam Định"/>
    <x v="1"/>
    <x v="5"/>
    <x v="0"/>
    <x v="0"/>
    <n v="1"/>
    <m/>
    <m/>
    <x v="0"/>
    <x v="0"/>
    <m/>
  </r>
  <r>
    <n v="342"/>
    <x v="141"/>
    <x v="3"/>
    <s v="Admin"/>
    <s v="Bảo vệ"/>
    <s v="Nguyễn Thị Kiều"/>
    <d v="1990-02-15T00:00:00"/>
    <n v="30"/>
    <s v="Nữ"/>
    <s v="ĐH Công nghiệp HCM"/>
    <s v="Đại học"/>
    <s v="Vĩnh Phúc"/>
    <x v="1"/>
    <x v="2"/>
    <x v="3"/>
    <x v="0"/>
    <n v="1"/>
    <m/>
    <m/>
    <x v="0"/>
    <x v="0"/>
    <n v="100000"/>
  </r>
  <r>
    <n v="343"/>
    <x v="142"/>
    <x v="4"/>
    <s v="Phòng kinh doanh"/>
    <s v="NV kinh doanh"/>
    <s v="Nguyễn Thu Hằng"/>
    <d v="1989-03-22T00:00:00"/>
    <n v="31"/>
    <s v="Nữ"/>
    <s v="Thăng Long"/>
    <s v="Cao học"/>
    <s v="Hà Nội"/>
    <x v="0"/>
    <x v="0"/>
    <x v="0"/>
    <x v="0"/>
    <n v="1"/>
    <n v="1"/>
    <n v="1"/>
    <x v="0"/>
    <x v="0"/>
    <m/>
  </r>
  <r>
    <n v="344"/>
    <x v="142"/>
    <x v="2"/>
    <s v="Phòng Đào tạo"/>
    <s v="Giảng viên"/>
    <s v="Lê Mai Linh"/>
    <d v="1993-08-14T00:00:00"/>
    <n v="27"/>
    <s v="Nữ"/>
    <s v="FTU"/>
    <s v="Đại học"/>
    <s v="Hà Nội"/>
    <x v="1"/>
    <x v="1"/>
    <x v="2"/>
    <x v="4"/>
    <n v="1"/>
    <n v="1"/>
    <m/>
    <x v="0"/>
    <x v="0"/>
    <n v="150000"/>
  </r>
  <r>
    <n v="345"/>
    <x v="143"/>
    <x v="1"/>
    <s v="Phòng hành chính nhân sự"/>
    <s v="Bảo vệ"/>
    <s v="Lê Hà Linh"/>
    <d v="1991-08-26T00:00:00"/>
    <n v="29"/>
    <s v="Nữ"/>
    <s v="ĐH Mở"/>
    <s v="Đại học"/>
    <s v="Hà Nội"/>
    <x v="1"/>
    <x v="2"/>
    <x v="3"/>
    <x v="0"/>
    <n v="1"/>
    <n v="1"/>
    <n v="1"/>
    <x v="1"/>
    <x v="0"/>
    <n v="150000"/>
  </r>
  <r>
    <n v="346"/>
    <x v="144"/>
    <x v="1"/>
    <s v="Phòng Marekting"/>
    <s v="NV Marketing"/>
    <s v="Đào Thị Lan"/>
    <d v="1989-02-19T00:00:00"/>
    <n v="31"/>
    <s v="Nữ"/>
    <s v="HV ngân hàng"/>
    <s v="Đại học"/>
    <s v="Hải Dương"/>
    <x v="1"/>
    <x v="1"/>
    <x v="2"/>
    <x v="2"/>
    <n v="1"/>
    <n v="1"/>
    <n v="1"/>
    <x v="1"/>
    <x v="0"/>
    <n v="200000"/>
  </r>
  <r>
    <n v="347"/>
    <x v="144"/>
    <x v="3"/>
    <s v="Phòng kinh doanh"/>
    <s v="NV kinh doanh"/>
    <s v="Phạm Minh Trang"/>
    <d v="1990-06-17T00:00:00"/>
    <n v="30"/>
    <s v="Nữ"/>
    <s v="FTU"/>
    <s v="Đại học"/>
    <s v="Bắc Giang"/>
    <x v="1"/>
    <x v="1"/>
    <x v="1"/>
    <x v="4"/>
    <n v="1"/>
    <m/>
    <m/>
    <x v="0"/>
    <x v="0"/>
    <n v="150000"/>
  </r>
  <r>
    <n v="348"/>
    <x v="145"/>
    <x v="3"/>
    <s v="Phòng kinh doanh"/>
    <s v="NV kinh doanh"/>
    <s v="Vũ Thị Thư"/>
    <d v="1991-12-01T00:00:00"/>
    <n v="28"/>
    <s v="Nữ"/>
    <s v="HV tài chính"/>
    <s v="Đại học"/>
    <s v="Hà Nội"/>
    <x v="1"/>
    <x v="1"/>
    <x v="2"/>
    <x v="8"/>
    <n v="1"/>
    <n v="1"/>
    <n v="1"/>
    <x v="1"/>
    <x v="0"/>
    <n v="150000"/>
  </r>
  <r>
    <n v="349"/>
    <x v="146"/>
    <x v="1"/>
    <s v="Phòng kế toán"/>
    <s v="Kế toán thuế"/>
    <s v="Vũ Thị Bích"/>
    <d v="1990-08-03T00:00:00"/>
    <n v="30"/>
    <s v="Nữ"/>
    <s v="HV ngân hàng"/>
    <s v="Đại học"/>
    <s v="Hà Nội"/>
    <x v="0"/>
    <x v="3"/>
    <x v="0"/>
    <x v="0"/>
    <n v="1"/>
    <m/>
    <m/>
    <x v="0"/>
    <x v="0"/>
    <m/>
  </r>
  <r>
    <n v="350"/>
    <x v="147"/>
    <x v="1"/>
    <s v="Phòng Đào tạo"/>
    <s v="Giảng viên"/>
    <s v="Lương Thị Hương Liên"/>
    <d v="1991-12-22T00:00:00"/>
    <n v="28"/>
    <s v="Nữ"/>
    <s v="ĐH Văn Hóa"/>
    <s v="Đại học"/>
    <s v="Hà Nội"/>
    <x v="1"/>
    <x v="1"/>
    <x v="1"/>
    <x v="1"/>
    <n v="1"/>
    <n v="1"/>
    <n v="1"/>
    <x v="1"/>
    <x v="0"/>
    <m/>
  </r>
  <r>
    <n v="351"/>
    <x v="148"/>
    <x v="3"/>
    <s v="Admin"/>
    <s v="Tạp vụ"/>
    <s v="Nguyễn Thị Xuân Hạnh"/>
    <d v="1993-02-21T00:00:00"/>
    <n v="27"/>
    <s v="Nữ"/>
    <s v="FTU"/>
    <s v="Cao học"/>
    <s v="Hà Nội"/>
    <x v="0"/>
    <x v="0"/>
    <x v="0"/>
    <x v="0"/>
    <n v="1"/>
    <n v="1"/>
    <n v="1"/>
    <x v="1"/>
    <x v="0"/>
    <n v="500000"/>
  </r>
  <r>
    <n v="352"/>
    <x v="149"/>
    <x v="2"/>
    <s v="Admin"/>
    <s v="Tạp vụ"/>
    <s v="Đỗ Bích Liên"/>
    <d v="1990-06-17T00:00:00"/>
    <n v="30"/>
    <s v="Nữ"/>
    <s v="Thăng Long"/>
    <s v="Cao đẳng"/>
    <s v="Hà Nội"/>
    <x v="0"/>
    <x v="0"/>
    <x v="0"/>
    <x v="0"/>
    <n v="1"/>
    <n v="1"/>
    <m/>
    <x v="0"/>
    <x v="0"/>
    <m/>
  </r>
  <r>
    <n v="353"/>
    <x v="149"/>
    <x v="2"/>
    <s v="Phòng Đào tạo"/>
    <s v="Giảng viên"/>
    <s v="Quản Thị Thùy Dương"/>
    <d v="1993-11-22T00:00:00"/>
    <n v="26"/>
    <s v="Nữ"/>
    <s v="FTU"/>
    <s v="Đại học"/>
    <s v="Hà Nội"/>
    <x v="1"/>
    <x v="5"/>
    <x v="0"/>
    <x v="0"/>
    <n v="1"/>
    <m/>
    <m/>
    <x v="0"/>
    <x v="0"/>
    <n v="150000"/>
  </r>
  <r>
    <n v="354"/>
    <x v="150"/>
    <x v="1"/>
    <s v="Phòng hành chính nhân sự"/>
    <s v="Bảo vệ"/>
    <s v="Trịnh Văn Mạnh"/>
    <d v="1990-05-23T00:00:00"/>
    <n v="30"/>
    <s v="Nữ"/>
    <s v="Ngoại ngữ QG"/>
    <s v="Đại học"/>
    <s v="Hà Nội"/>
    <x v="1"/>
    <x v="2"/>
    <x v="3"/>
    <x v="0"/>
    <n v="1"/>
    <n v="1"/>
    <n v="1"/>
    <x v="1"/>
    <x v="0"/>
    <n v="100000"/>
  </r>
  <r>
    <n v="355"/>
    <x v="150"/>
    <x v="2"/>
    <s v="Phòng Đào tạo"/>
    <s v="Trưởng bộ phận Đào tạo"/>
    <s v="Phạm Thị Hà"/>
    <d v="1993-05-29T00:00:00"/>
    <n v="27"/>
    <s v="Nữ"/>
    <s v="HV tài chính"/>
    <s v="Cao học"/>
    <s v="Hà Nội"/>
    <x v="1"/>
    <x v="1"/>
    <x v="2"/>
    <x v="4"/>
    <n v="1"/>
    <m/>
    <m/>
    <x v="0"/>
    <x v="0"/>
    <n v="150000"/>
  </r>
  <r>
    <n v="356"/>
    <x v="151"/>
    <x v="3"/>
    <s v="Admin"/>
    <s v="Bảo vệ"/>
    <s v="Đinh Thị Kim Huệ"/>
    <d v="1991-03-05T00:00:00"/>
    <n v="29"/>
    <s v="Nam"/>
    <s v="FTU"/>
    <s v="Cao đẳng"/>
    <s v="Bắc Giang"/>
    <x v="1"/>
    <x v="2"/>
    <x v="3"/>
    <x v="0"/>
    <n v="1"/>
    <n v="1"/>
    <m/>
    <x v="0"/>
    <x v="0"/>
    <n v="100000"/>
  </r>
  <r>
    <n v="357"/>
    <x v="151"/>
    <x v="2"/>
    <s v="Phòng Đào tạo"/>
    <s v="Trưởng bộ phận Đào tạo"/>
    <s v="Trần Gia Mạnh"/>
    <d v="1994-02-19T00:00:00"/>
    <n v="26"/>
    <s v="Nam"/>
    <s v="KTQD"/>
    <s v="Đại học"/>
    <s v="Nam Định"/>
    <x v="1"/>
    <x v="1"/>
    <x v="1"/>
    <x v="1"/>
    <n v="1"/>
    <n v="1"/>
    <m/>
    <x v="0"/>
    <x v="0"/>
    <m/>
  </r>
  <r>
    <n v="358"/>
    <x v="151"/>
    <x v="4"/>
    <s v="Phòng kinh doanh"/>
    <s v="NV kinh doanh"/>
    <s v="Nguyễn Thị Thanh Hằng"/>
    <d v="1992-03-04T00:00:00"/>
    <n v="28"/>
    <s v="Nữ"/>
    <s v="FTU"/>
    <s v="Đại học"/>
    <s v="Bắc Giang"/>
    <x v="1"/>
    <x v="1"/>
    <x v="2"/>
    <x v="6"/>
    <n v="1"/>
    <n v="1"/>
    <m/>
    <x v="0"/>
    <x v="0"/>
    <n v="150000"/>
  </r>
  <r>
    <n v="359"/>
    <x v="152"/>
    <x v="2"/>
    <s v="Phòng Đào tạo"/>
    <s v="Trưởng bộ phận Đào tạo"/>
    <s v="Trương Thanh Hằng"/>
    <d v="1995-11-05T00:00:00"/>
    <n v="24"/>
    <s v="Nữ"/>
    <s v="Đại Nam"/>
    <s v="Đại học"/>
    <s v="Hà Nội"/>
    <x v="1"/>
    <x v="4"/>
    <x v="0"/>
    <x v="0"/>
    <n v="1"/>
    <n v="1"/>
    <m/>
    <x v="0"/>
    <x v="0"/>
    <m/>
  </r>
  <r>
    <n v="360"/>
    <x v="152"/>
    <x v="2"/>
    <s v="Phòng Đào tạo"/>
    <s v="Giảng viên"/>
    <s v="Nguyễn Thị Xuân Hạnh"/>
    <d v="1990-09-28T00:00:00"/>
    <n v="29"/>
    <s v="Nam"/>
    <s v="FTU"/>
    <s v="Đại học"/>
    <s v="Bắc Giang"/>
    <x v="1"/>
    <x v="5"/>
    <x v="0"/>
    <x v="0"/>
    <n v="1"/>
    <m/>
    <m/>
    <x v="0"/>
    <x v="0"/>
    <m/>
  </r>
  <r>
    <n v="361"/>
    <x v="152"/>
    <x v="2"/>
    <s v="Phòng Đào tạo"/>
    <s v="Trưởng bộ phận Đào tạo"/>
    <s v="Nguyễn Mai Liên"/>
    <d v="1989-03-22T00:00:00"/>
    <n v="31"/>
    <s v="Nữ"/>
    <s v="Thương mại"/>
    <s v="Cao học"/>
    <s v="Hà Nội"/>
    <x v="1"/>
    <x v="1"/>
    <x v="1"/>
    <x v="1"/>
    <n v="1"/>
    <n v="1"/>
    <n v="1"/>
    <x v="0"/>
    <x v="0"/>
    <m/>
  </r>
  <r>
    <n v="362"/>
    <x v="152"/>
    <x v="0"/>
    <s v="Phòng Đào tạo"/>
    <s v="Giảng viên"/>
    <s v="Phạm Thị Thanh Mai"/>
    <d v="1993-09-19T00:00:00"/>
    <n v="26"/>
    <s v="Nữ"/>
    <s v="KTQD"/>
    <s v="Đại học"/>
    <s v="Hà Nội"/>
    <x v="1"/>
    <x v="1"/>
    <x v="2"/>
    <x v="8"/>
    <n v="1"/>
    <m/>
    <m/>
    <x v="0"/>
    <x v="0"/>
    <n v="150000"/>
  </r>
  <r>
    <n v="363"/>
    <x v="153"/>
    <x v="1"/>
    <s v="Phòng Marekting"/>
    <s v="NV Marketing"/>
    <s v="Bùi Thị Thanh Hoài"/>
    <d v="1991-12-05T00:00:00"/>
    <n v="28"/>
    <s v="Nữ"/>
    <s v="FTU"/>
    <s v="Đại học"/>
    <s v="Bắc Giang"/>
    <x v="1"/>
    <x v="1"/>
    <x v="1"/>
    <x v="1"/>
    <n v="1"/>
    <n v="1"/>
    <m/>
    <x v="0"/>
    <x v="0"/>
    <m/>
  </r>
  <r>
    <n v="364"/>
    <x v="154"/>
    <x v="3"/>
    <s v="Phòng Đào tạo"/>
    <s v="Giảng viên"/>
    <s v="Nguyễn Thị Kiều"/>
    <d v="1991-06-20T00:00:00"/>
    <n v="29"/>
    <s v="Nữ"/>
    <s v="FTU"/>
    <s v="Đại học"/>
    <s v="Hà Nội"/>
    <x v="0"/>
    <x v="0"/>
    <x v="0"/>
    <x v="0"/>
    <n v="1"/>
    <m/>
    <m/>
    <x v="0"/>
    <x v="0"/>
    <m/>
  </r>
  <r>
    <n v="365"/>
    <x v="154"/>
    <x v="1"/>
    <s v="Phòng kế toán"/>
    <s v="Kế toán thuế"/>
    <s v="Vũ Ngọc Linh"/>
    <d v="1994-07-27T00:00:00"/>
    <n v="26"/>
    <s v="Nữ"/>
    <s v="FTU"/>
    <s v="Cao đẳng"/>
    <s v="Nam Định"/>
    <x v="1"/>
    <x v="5"/>
    <x v="0"/>
    <x v="0"/>
    <n v="1"/>
    <n v="1"/>
    <m/>
    <x v="0"/>
    <x v="0"/>
    <n v="122000"/>
  </r>
  <r>
    <n v="366"/>
    <x v="154"/>
    <x v="3"/>
    <s v="Phòng Đào tạo"/>
    <s v="Bảo vệ"/>
    <s v="Nguyễn Thị Trang"/>
    <d v="1990-09-28T00:00:00"/>
    <n v="29"/>
    <s v="Nữ"/>
    <s v="FTU"/>
    <s v="Đại học"/>
    <s v="Nam Định"/>
    <x v="0"/>
    <x v="0"/>
    <x v="0"/>
    <x v="0"/>
    <n v="1"/>
    <n v="1"/>
    <n v="1"/>
    <x v="1"/>
    <x v="0"/>
    <n v="500000"/>
  </r>
  <r>
    <n v="367"/>
    <x v="154"/>
    <x v="1"/>
    <s v="Phòng kế toán"/>
    <s v="Kế toán thuế"/>
    <s v="Vũ Ngọc Linh"/>
    <d v="1994-07-27T00:00:00"/>
    <n v="26"/>
    <s v="Nữ"/>
    <s v="FTU"/>
    <s v="Cao đẳng"/>
    <s v="Nam Định"/>
    <x v="1"/>
    <x v="5"/>
    <x v="0"/>
    <x v="0"/>
    <n v="1"/>
    <n v="1"/>
    <m/>
    <x v="0"/>
    <x v="0"/>
    <n v="122000"/>
  </r>
  <r>
    <n v="368"/>
    <x v="154"/>
    <x v="1"/>
    <s v="Phòng kế toán"/>
    <s v="Kế toán thuế"/>
    <s v="Lê Thùy Linh"/>
    <d v="1990-05-03T00:00:00"/>
    <n v="30"/>
    <s v="Nữ"/>
    <s v="HV tài chính"/>
    <s v="Cao đẳng"/>
    <s v="Hà Nội"/>
    <x v="0"/>
    <x v="0"/>
    <x v="0"/>
    <x v="0"/>
    <n v="1"/>
    <n v="1"/>
    <n v="1"/>
    <x v="1"/>
    <x v="0"/>
    <n v="500000"/>
  </r>
  <r>
    <n v="369"/>
    <x v="154"/>
    <x v="3"/>
    <s v="Phòng Đào tạo"/>
    <s v="Giảng viên"/>
    <s v="Trịnh Văn Mạnh"/>
    <d v="1992-08-24T00:00:00"/>
    <n v="28"/>
    <s v="Nam"/>
    <s v="ĐH Kinh tế QG"/>
    <s v="Đại học"/>
    <s v="Thanh Hóa"/>
    <x v="1"/>
    <x v="1"/>
    <x v="2"/>
    <x v="2"/>
    <n v="1"/>
    <n v="1"/>
    <m/>
    <x v="0"/>
    <x v="0"/>
    <n v="150000"/>
  </r>
  <r>
    <n v="370"/>
    <x v="155"/>
    <x v="3"/>
    <s v="Phòng kinh doanh"/>
    <s v="NV kinh doanh"/>
    <s v="Nguyễn Thu Hằng"/>
    <d v="1990-05-03T00:00:00"/>
    <n v="30"/>
    <s v="Nữ"/>
    <s v="ĐH Quốc gia"/>
    <s v="Đại học"/>
    <s v="Hà Nội"/>
    <x v="0"/>
    <x v="0"/>
    <x v="0"/>
    <x v="0"/>
    <n v="1"/>
    <n v="1"/>
    <m/>
    <x v="0"/>
    <x v="0"/>
    <m/>
  </r>
  <r>
    <n v="371"/>
    <x v="155"/>
    <x v="2"/>
    <s v="Admin"/>
    <s v="Tạp vụ"/>
    <s v="Lê Mai Linh"/>
    <d v="1991-03-05T00:00:00"/>
    <n v="29"/>
    <s v="Nữ"/>
    <s v="ĐH Văn Hóa"/>
    <s v="Cao đẳng"/>
    <s v="Hà Nội"/>
    <x v="0"/>
    <x v="0"/>
    <x v="0"/>
    <x v="0"/>
    <n v="1"/>
    <n v="1"/>
    <m/>
    <x v="0"/>
    <x v="0"/>
    <m/>
  </r>
  <r>
    <n v="372"/>
    <x v="155"/>
    <x v="3"/>
    <s v="Phòng kinh doanh"/>
    <s v="NV kinh doanh"/>
    <s v="Nguyễn Thu Hằng"/>
    <d v="1990-05-03T00:00:00"/>
    <n v="30"/>
    <s v="Nữ"/>
    <s v="ĐH Quốc gia"/>
    <s v="Đại học"/>
    <s v="Hà Nội"/>
    <x v="0"/>
    <x v="0"/>
    <x v="0"/>
    <x v="0"/>
    <n v="1"/>
    <n v="1"/>
    <m/>
    <x v="0"/>
    <x v="0"/>
    <m/>
  </r>
  <r>
    <n v="373"/>
    <x v="155"/>
    <x v="2"/>
    <s v="Admin"/>
    <s v="Tạp vụ"/>
    <s v="Lê Mai Linh"/>
    <d v="1991-03-05T00:00:00"/>
    <n v="29"/>
    <s v="Nữ"/>
    <s v="ĐH Văn Hóa"/>
    <s v="Cao đẳng"/>
    <s v="Hà Nội"/>
    <x v="0"/>
    <x v="0"/>
    <x v="0"/>
    <x v="0"/>
    <n v="1"/>
    <n v="1"/>
    <m/>
    <x v="0"/>
    <x v="0"/>
    <m/>
  </r>
  <r>
    <n v="374"/>
    <x v="155"/>
    <x v="1"/>
    <s v="Phòng hành chính nhân sự"/>
    <s v="Bảo vệ"/>
    <s v="Đoàn Hoàng Linh"/>
    <d v="1991-07-10T00:00:00"/>
    <n v="29"/>
    <s v="Nam"/>
    <s v="Mỏ địa chất"/>
    <s v="Đại học"/>
    <s v="Hà Nội"/>
    <x v="0"/>
    <x v="0"/>
    <x v="0"/>
    <x v="0"/>
    <n v="1"/>
    <m/>
    <m/>
    <x v="0"/>
    <x v="0"/>
    <n v="150000"/>
  </r>
  <r>
    <n v="375"/>
    <x v="155"/>
    <x v="2"/>
    <s v="Phòng Đào tạo"/>
    <s v="Giảng viên"/>
    <s v="Nguyễn Quỳnh Trang"/>
    <d v="1991-03-05T00:00:00"/>
    <n v="29"/>
    <s v="Nữ"/>
    <s v="HV ngân hàng"/>
    <s v="Cao đẳng"/>
    <s v="Hưng Yên"/>
    <x v="1"/>
    <x v="1"/>
    <x v="2"/>
    <x v="4"/>
    <n v="1"/>
    <n v="1"/>
    <n v="1"/>
    <x v="1"/>
    <x v="0"/>
    <n v="200000"/>
  </r>
  <r>
    <n v="376"/>
    <x v="155"/>
    <x v="3"/>
    <s v="Phòng kinh doanh"/>
    <s v="NV kinh doanh"/>
    <s v="Dương Thị Tuyết"/>
    <d v="1992-09-21T00:00:00"/>
    <n v="27"/>
    <s v="Nữ"/>
    <s v="HV tài chính"/>
    <s v="Cao đẳng"/>
    <s v="Hà Nội"/>
    <x v="1"/>
    <x v="1"/>
    <x v="1"/>
    <x v="3"/>
    <n v="1"/>
    <m/>
    <m/>
    <x v="0"/>
    <x v="0"/>
    <m/>
  </r>
  <r>
    <n v="377"/>
    <x v="155"/>
    <x v="4"/>
    <s v="Phòng kinh doanh"/>
    <s v="NV kinh doanh"/>
    <s v="Nguyễn Song Toàn"/>
    <d v="1990-02-15T00:00:00"/>
    <n v="30"/>
    <s v="Nam"/>
    <s v="Thương mại"/>
    <s v="Cao đẳng"/>
    <s v="Hà Nội"/>
    <x v="1"/>
    <x v="1"/>
    <x v="1"/>
    <x v="7"/>
    <n v="1"/>
    <n v="1"/>
    <m/>
    <x v="0"/>
    <x v="0"/>
    <n v="120000"/>
  </r>
  <r>
    <n v="378"/>
    <x v="155"/>
    <x v="3"/>
    <s v="Phòng kinh doanh"/>
    <s v="NV kinh doanh"/>
    <s v="Dương Thị Tuyết"/>
    <d v="1992-09-21T00:00:00"/>
    <n v="27"/>
    <s v="Nữ"/>
    <s v="HV tài chính"/>
    <s v="Cao đẳng"/>
    <s v="Hà Nội"/>
    <x v="1"/>
    <x v="1"/>
    <x v="1"/>
    <x v="3"/>
    <n v="1"/>
    <m/>
    <m/>
    <x v="0"/>
    <x v="0"/>
    <m/>
  </r>
  <r>
    <n v="379"/>
    <x v="155"/>
    <x v="4"/>
    <s v="Phòng kinh doanh"/>
    <s v="NV kinh doanh"/>
    <s v="Nguyễn Song Toàn"/>
    <d v="1990-02-15T00:00:00"/>
    <n v="30"/>
    <s v="Nam"/>
    <s v="Thương mại"/>
    <s v="Cao đẳng"/>
    <s v="Hà Nội"/>
    <x v="1"/>
    <x v="1"/>
    <x v="1"/>
    <x v="7"/>
    <n v="1"/>
    <n v="1"/>
    <m/>
    <x v="0"/>
    <x v="0"/>
    <n v="120000"/>
  </r>
  <r>
    <n v="380"/>
    <x v="156"/>
    <x v="0"/>
    <s v="Phòng Đào tạo"/>
    <s v="Giảng viên"/>
    <s v="Phan Thị Liễu"/>
    <d v="1989-03-22T00:00:00"/>
    <n v="31"/>
    <s v="Nữ"/>
    <s v="FTU"/>
    <s v="Đại học"/>
    <s v="Hà Nội"/>
    <x v="1"/>
    <x v="4"/>
    <x v="0"/>
    <x v="0"/>
    <n v="1"/>
    <m/>
    <m/>
    <x v="0"/>
    <x v="0"/>
    <m/>
  </r>
  <r>
    <n v="381"/>
    <x v="156"/>
    <x v="2"/>
    <s v="Admin"/>
    <s v="Tạp vụ"/>
    <s v="Hoàng Thị Thanh Huyền"/>
    <d v="1994-11-14T00:00:00"/>
    <n v="25"/>
    <s v="Nữ"/>
    <s v="KTQD"/>
    <s v="Cao đẳng"/>
    <s v="Hà Nội"/>
    <x v="0"/>
    <x v="0"/>
    <x v="0"/>
    <x v="0"/>
    <n v="1"/>
    <m/>
    <m/>
    <x v="0"/>
    <x v="0"/>
    <m/>
  </r>
  <r>
    <n v="382"/>
    <x v="156"/>
    <x v="0"/>
    <s v="Phòng Đào tạo"/>
    <s v="Giảng viên"/>
    <s v="Phan Thị Liễu"/>
    <d v="1989-03-22T00:00:00"/>
    <n v="31"/>
    <s v="Nữ"/>
    <s v="FTU"/>
    <s v="Đại học"/>
    <s v="Hà Nội"/>
    <x v="1"/>
    <x v="4"/>
    <x v="0"/>
    <x v="0"/>
    <n v="1"/>
    <m/>
    <m/>
    <x v="0"/>
    <x v="0"/>
    <m/>
  </r>
  <r>
    <n v="383"/>
    <x v="157"/>
    <x v="1"/>
    <s v="Phòng Marekting"/>
    <s v="NV Marketing"/>
    <s v="Trần Gia Mạnh"/>
    <d v="1986-05-21T00:00:00"/>
    <n v="34"/>
    <s v="Nữ"/>
    <s v="FTU"/>
    <s v="Cao đẳng"/>
    <s v="Hà Nội"/>
    <x v="0"/>
    <x v="0"/>
    <x v="0"/>
    <x v="0"/>
    <n v="1"/>
    <m/>
    <m/>
    <x v="0"/>
    <x v="0"/>
    <m/>
  </r>
  <r>
    <n v="384"/>
    <x v="158"/>
    <x v="1"/>
    <s v="Phòng kế toán"/>
    <s v="Kế toán thuế"/>
    <s v="Trương Thanh Hằng"/>
    <d v="1991-06-20T00:00:00"/>
    <n v="29"/>
    <s v="Nữ"/>
    <s v="ĐH Quốc gia"/>
    <s v="Cao học"/>
    <s v="Hưng Yên"/>
    <x v="0"/>
    <x v="0"/>
    <x v="0"/>
    <x v="0"/>
    <n v="1"/>
    <m/>
    <m/>
    <x v="0"/>
    <x v="0"/>
    <m/>
  </r>
  <r>
    <n v="385"/>
    <x v="159"/>
    <x v="3"/>
    <s v="Phòng Đào tạo"/>
    <s v="Giảng viên"/>
    <s v="Vũ Thị Bích"/>
    <d v="1990-05-23T00:00:00"/>
    <n v="30"/>
    <s v="Nữ"/>
    <s v="ĐH Công nghiệp HCM"/>
    <s v="Cao học"/>
    <s v="Bắc Giang"/>
    <x v="1"/>
    <x v="1"/>
    <x v="2"/>
    <x v="4"/>
    <n v="1"/>
    <n v="1"/>
    <n v="1"/>
    <x v="1"/>
    <x v="0"/>
    <n v="200000"/>
  </r>
  <r>
    <n v="386"/>
    <x v="160"/>
    <x v="1"/>
    <s v="Phòng hành chính nhân sự"/>
    <s v="Tạp vụ"/>
    <s v="Phạm Thị Cẩm Trà"/>
    <d v="1990-05-23T00:00:00"/>
    <n v="30"/>
    <s v="Nữ"/>
    <s v="Kinh doanh công nghệ"/>
    <s v="Đại học"/>
    <s v="Nghệ An"/>
    <x v="0"/>
    <x v="0"/>
    <x v="0"/>
    <x v="0"/>
    <n v="1"/>
    <m/>
    <m/>
    <x v="0"/>
    <x v="0"/>
    <m/>
  </r>
  <r>
    <n v="387"/>
    <x v="160"/>
    <x v="4"/>
    <s v="Phòng kinh doanh"/>
    <s v="NV kinh doanh"/>
    <s v="Lê Thị Hương Giang"/>
    <d v="1991-06-20T00:00:00"/>
    <n v="29"/>
    <s v="Nữ"/>
    <s v="FTU"/>
    <s v="Cao học"/>
    <s v="Nghệ An"/>
    <x v="0"/>
    <x v="0"/>
    <x v="0"/>
    <x v="0"/>
    <n v="1"/>
    <m/>
    <m/>
    <x v="0"/>
    <x v="0"/>
    <m/>
  </r>
  <r>
    <n v="388"/>
    <x v="161"/>
    <x v="2"/>
    <s v="Phòng Đào tạo"/>
    <s v="Giảng viên"/>
    <s v="Nguyễn Thu Hiền"/>
    <d v="1991-03-30T00:00:00"/>
    <n v="29"/>
    <s v="Nữ"/>
    <s v="FTU"/>
    <s v="Đại học"/>
    <s v="Hà Nội"/>
    <x v="1"/>
    <x v="1"/>
    <x v="1"/>
    <x v="1"/>
    <n v="1"/>
    <n v="1"/>
    <m/>
    <x v="0"/>
    <x v="0"/>
    <m/>
  </r>
  <r>
    <n v="389"/>
    <x v="161"/>
    <x v="3"/>
    <s v="Phòng Đào tạo"/>
    <s v="Giảng viên"/>
    <s v="Đặng Thị Thu Hương"/>
    <d v="1990-05-03T00:00:00"/>
    <n v="30"/>
    <s v="Nữ"/>
    <s v="Thương mại"/>
    <s v="Đại học"/>
    <s v="Hà Nội"/>
    <x v="1"/>
    <x v="1"/>
    <x v="2"/>
    <x v="4"/>
    <n v="1"/>
    <n v="1"/>
    <m/>
    <x v="0"/>
    <x v="0"/>
    <n v="150000"/>
  </r>
  <r>
    <n v="390"/>
    <x v="162"/>
    <x v="3"/>
    <s v="Phòng Đào tạo"/>
    <s v="Giảng viên"/>
    <s v="Nguyễn Mai Liên"/>
    <d v="1990-06-17T00:00:00"/>
    <n v="30"/>
    <s v="Nữ"/>
    <s v="Thương mại"/>
    <s v="Đại học"/>
    <s v="Hà Nội"/>
    <x v="1"/>
    <x v="1"/>
    <x v="2"/>
    <x v="4"/>
    <n v="1"/>
    <n v="1"/>
    <n v="1"/>
    <x v="1"/>
    <x v="47"/>
    <n v="200000"/>
  </r>
  <r>
    <n v="391"/>
    <x v="163"/>
    <x v="2"/>
    <s v="Phòng kinh doanh"/>
    <s v="NV kinh doanh"/>
    <s v="Lê Thùy Linh"/>
    <d v="1990-09-16T00:00:00"/>
    <n v="29"/>
    <s v="Nữ"/>
    <s v="FTU"/>
    <s v="Đại học"/>
    <s v="Nam Định"/>
    <x v="1"/>
    <x v="5"/>
    <x v="0"/>
    <x v="0"/>
    <n v="1"/>
    <m/>
    <m/>
    <x v="0"/>
    <x v="0"/>
    <m/>
  </r>
  <r>
    <n v="392"/>
    <x v="163"/>
    <x v="1"/>
    <s v="Phòng hành chính nhân sự"/>
    <s v="Tạp vụ"/>
    <s v="Nguyễn Ngọc Quỳnh"/>
    <d v="1990-09-28T00:00:00"/>
    <n v="29"/>
    <s v="Nữ"/>
    <s v="Thương mại"/>
    <s v="Cao học"/>
    <s v="Hà Nội"/>
    <x v="0"/>
    <x v="0"/>
    <x v="0"/>
    <x v="0"/>
    <n v="1"/>
    <m/>
    <m/>
    <x v="0"/>
    <x v="0"/>
    <n v="200000"/>
  </r>
  <r>
    <n v="393"/>
    <x v="164"/>
    <x v="2"/>
    <s v="Phòng kinh doanh"/>
    <s v="NV kinh doanh"/>
    <s v="Nguyễn Thị Kiều"/>
    <d v="1990-02-15T00:00:00"/>
    <n v="30"/>
    <s v="Nữ"/>
    <s v="ĐH Công nghiệp HCM"/>
    <s v="Đại học"/>
    <s v="Vĩnh Phúc"/>
    <x v="1"/>
    <x v="1"/>
    <x v="1"/>
    <x v="1"/>
    <n v="1"/>
    <m/>
    <m/>
    <x v="0"/>
    <x v="0"/>
    <m/>
  </r>
  <r>
    <n v="394"/>
    <x v="165"/>
    <x v="4"/>
    <s v="Phòng kinh doanh"/>
    <s v="NV kinh doanh"/>
    <s v="Lê Mai Linh"/>
    <d v="1993-08-14T00:00:00"/>
    <n v="27"/>
    <s v="Nữ"/>
    <s v="FTU"/>
    <s v="Đại học"/>
    <s v="Hà Nội"/>
    <x v="1"/>
    <x v="1"/>
    <x v="2"/>
    <x v="5"/>
    <n v="1"/>
    <n v="1"/>
    <m/>
    <x v="0"/>
    <x v="0"/>
    <n v="150000"/>
  </r>
  <r>
    <n v="395"/>
    <x v="165"/>
    <x v="3"/>
    <s v="Phòng Đào tạo"/>
    <s v="Giảng viên"/>
    <s v="Nguyễn Thu Hằng"/>
    <d v="1989-03-22T00:00:00"/>
    <n v="31"/>
    <s v="Nữ"/>
    <s v="Thăng Long"/>
    <s v="Cao học"/>
    <s v="Hà Nội"/>
    <x v="1"/>
    <x v="1"/>
    <x v="2"/>
    <x v="2"/>
    <n v="1"/>
    <n v="1"/>
    <n v="1"/>
    <x v="1"/>
    <x v="48"/>
    <n v="200000"/>
  </r>
  <r>
    <n v="396"/>
    <x v="166"/>
    <x v="2"/>
    <s v="Phòng kinh doanh"/>
    <s v="NV kinh doanh"/>
    <s v="Lê Hà Linh"/>
    <d v="1991-08-26T00:00:00"/>
    <n v="29"/>
    <s v="Nữ"/>
    <s v="ĐH Mở"/>
    <s v="Đại học"/>
    <s v="Hà Nội"/>
    <x v="1"/>
    <x v="1"/>
    <x v="2"/>
    <x v="2"/>
    <n v="1"/>
    <n v="1"/>
    <m/>
    <x v="0"/>
    <x v="0"/>
    <n v="200000"/>
  </r>
  <r>
    <n v="397"/>
    <x v="167"/>
    <x v="0"/>
    <s v="Phòng kinh doanh"/>
    <s v="NV kinh doanh"/>
    <s v="Đào Thị Lan"/>
    <d v="1989-02-19T00:00:00"/>
    <n v="31"/>
    <s v="Nữ"/>
    <s v="HV ngân hàng"/>
    <s v="Đại học"/>
    <s v="Hải Dương"/>
    <x v="1"/>
    <x v="1"/>
    <x v="1"/>
    <x v="3"/>
    <n v="1"/>
    <n v="1"/>
    <m/>
    <x v="0"/>
    <x v="0"/>
    <m/>
  </r>
  <r>
    <n v="398"/>
    <x v="167"/>
    <x v="0"/>
    <s v="Phòng kinh doanh"/>
    <s v="NV kinh doanh"/>
    <s v="Phạm Minh Trang"/>
    <d v="1990-06-17T00:00:00"/>
    <n v="30"/>
    <s v="Nữ"/>
    <s v="FTU"/>
    <s v="Đại học"/>
    <s v="Bắc Giang"/>
    <x v="1"/>
    <x v="1"/>
    <x v="1"/>
    <x v="4"/>
    <n v="1"/>
    <m/>
    <m/>
    <x v="0"/>
    <x v="0"/>
    <n v="200000"/>
  </r>
  <r>
    <n v="399"/>
    <x v="168"/>
    <x v="1"/>
    <s v="Phòng hành chính nhân sự"/>
    <s v="Tạp vụ"/>
    <s v="Vũ Thị Bích"/>
    <d v="1990-08-03T00:00:00"/>
    <n v="30"/>
    <s v="Nữ"/>
    <s v="HV ngân hàng"/>
    <s v="Đại học"/>
    <s v="Hà Nội"/>
    <x v="0"/>
    <x v="3"/>
    <x v="0"/>
    <x v="0"/>
    <n v="1"/>
    <m/>
    <m/>
    <x v="0"/>
    <x v="0"/>
    <m/>
  </r>
  <r>
    <n v="400"/>
    <x v="169"/>
    <x v="2"/>
    <s v="Phòng Đào tạo"/>
    <s v="Giảng viên"/>
    <s v="Lương Thị Hương Liên"/>
    <d v="1991-12-22T00:00:00"/>
    <n v="28"/>
    <s v="Nữ"/>
    <s v="ĐH Văn Hóa"/>
    <s v="Đại học"/>
    <s v="Hà Nội"/>
    <x v="1"/>
    <x v="1"/>
    <x v="1"/>
    <x v="1"/>
    <n v="1"/>
    <n v="1"/>
    <m/>
    <x v="0"/>
    <x v="0"/>
    <m/>
  </r>
  <r>
    <n v="401"/>
    <x v="170"/>
    <x v="2"/>
    <s v="Phòng Đào tạo"/>
    <s v="Giảng viên"/>
    <s v="Nguyễn Thị Xuân Hạnh"/>
    <d v="1993-02-21T00:00:00"/>
    <n v="27"/>
    <s v="Nữ"/>
    <s v="FTU"/>
    <s v="Cao học"/>
    <s v="Hà Nội"/>
    <x v="1"/>
    <x v="1"/>
    <x v="2"/>
    <x v="5"/>
    <n v="1"/>
    <n v="1"/>
    <n v="1"/>
    <x v="1"/>
    <x v="49"/>
    <m/>
  </r>
  <r>
    <n v="402"/>
    <x v="171"/>
    <x v="2"/>
    <s v="Phòng kinh doanh"/>
    <s v="NV kinh doanh"/>
    <s v="Quản Thị Thùy Dương"/>
    <d v="1993-11-22T00:00:00"/>
    <n v="26"/>
    <s v="Nữ"/>
    <s v="FTU"/>
    <s v="Đại học"/>
    <s v="Hà Nội"/>
    <x v="1"/>
    <x v="5"/>
    <x v="0"/>
    <x v="0"/>
    <n v="1"/>
    <m/>
    <m/>
    <x v="0"/>
    <x v="0"/>
    <m/>
  </r>
  <r>
    <n v="403"/>
    <x v="171"/>
    <x v="1"/>
    <s v="Phòng hành chính nhân sự"/>
    <s v="Tạp vụ"/>
    <s v="Đỗ Bích Liên"/>
    <d v="1990-06-17T00:00:00"/>
    <n v="30"/>
    <s v="Nữ"/>
    <s v="Thăng Long"/>
    <s v="Cao đẳng"/>
    <s v="Hà Nội"/>
    <x v="0"/>
    <x v="3"/>
    <x v="0"/>
    <x v="0"/>
    <n v="1"/>
    <n v="1"/>
    <m/>
    <x v="0"/>
    <x v="0"/>
    <m/>
  </r>
  <r>
    <n v="404"/>
    <x v="172"/>
    <x v="3"/>
    <s v="Phòng Đào tạo"/>
    <s v="Giảng viên"/>
    <s v="Phạm Thị Hà"/>
    <d v="1993-05-29T00:00:00"/>
    <n v="27"/>
    <s v="Nữ"/>
    <s v="HV tài chính"/>
    <s v="Cao học"/>
    <s v="Hà Nội"/>
    <x v="1"/>
    <x v="1"/>
    <x v="2"/>
    <x v="4"/>
    <n v="1"/>
    <m/>
    <m/>
    <x v="0"/>
    <x v="0"/>
    <n v="200000"/>
  </r>
  <r>
    <n v="405"/>
    <x v="172"/>
    <x v="0"/>
    <s v="Phòng kinh doanh"/>
    <s v="NV kinh doanh"/>
    <s v="Trịnh Văn Mạnh"/>
    <d v="1990-05-23T00:00:00"/>
    <n v="30"/>
    <s v="Nữ"/>
    <s v="Ngoại ngữ QG"/>
    <s v="Đại học"/>
    <s v="Hà Nội"/>
    <x v="1"/>
    <x v="1"/>
    <x v="2"/>
    <x v="6"/>
    <n v="1"/>
    <n v="1"/>
    <m/>
    <x v="0"/>
    <x v="0"/>
    <n v="150000"/>
  </r>
  <r>
    <n v="406"/>
    <x v="173"/>
    <x v="0"/>
    <s v="Phòng kinh doanh"/>
    <s v="NV kinh doanh"/>
    <s v="Trần Gia Mạnh"/>
    <d v="1994-02-19T00:00:00"/>
    <n v="26"/>
    <s v="Nam"/>
    <s v="KTQD"/>
    <s v="Đại học"/>
    <s v="Nam Định"/>
    <x v="1"/>
    <x v="1"/>
    <x v="1"/>
    <x v="1"/>
    <n v="1"/>
    <n v="1"/>
    <m/>
    <x v="0"/>
    <x v="0"/>
    <m/>
  </r>
  <r>
    <n v="407"/>
    <x v="173"/>
    <x v="2"/>
    <s v="Phòng kinh doanh"/>
    <s v="NV kinh doanh"/>
    <s v="Nguyễn Thị Thanh Hằng"/>
    <d v="1992-03-04T00:00:00"/>
    <n v="28"/>
    <s v="Nữ"/>
    <s v="FTU"/>
    <s v="Đại học"/>
    <s v="Bắc Giang"/>
    <x v="1"/>
    <x v="1"/>
    <x v="2"/>
    <x v="6"/>
    <n v="1"/>
    <n v="1"/>
    <m/>
    <x v="0"/>
    <x v="0"/>
    <n v="150000"/>
  </r>
  <r>
    <n v="408"/>
    <x v="174"/>
    <x v="2"/>
    <s v="Phòng Đào tạo"/>
    <s v="Giảng viên"/>
    <s v="Nguyễn Thị Xuân Hạnh"/>
    <d v="1990-09-28T00:00:00"/>
    <n v="29"/>
    <s v="Nam"/>
    <s v="FTU"/>
    <s v="Đại học"/>
    <s v="Bắc Giang"/>
    <x v="1"/>
    <x v="5"/>
    <x v="0"/>
    <x v="0"/>
    <n v="1"/>
    <m/>
    <m/>
    <x v="0"/>
    <x v="0"/>
    <m/>
  </r>
  <r>
    <n v="409"/>
    <x v="174"/>
    <x v="4"/>
    <s v="Phòng kinh doanh"/>
    <s v="NV kinh doanh"/>
    <s v="Trương Thanh Hằng"/>
    <d v="1995-11-05T00:00:00"/>
    <n v="24"/>
    <s v="Nữ"/>
    <s v="Đại Nam"/>
    <s v="Đại học"/>
    <s v="Hà Nội"/>
    <x v="1"/>
    <x v="1"/>
    <x v="2"/>
    <x v="6"/>
    <n v="1"/>
    <n v="1"/>
    <m/>
    <x v="0"/>
    <x v="0"/>
    <n v="150000"/>
  </r>
  <r>
    <n v="410"/>
    <x v="174"/>
    <x v="3"/>
    <s v="Phòng Đào tạo"/>
    <s v="Giảng viên"/>
    <s v="Phạm Thị Thanh Mai"/>
    <d v="1993-09-19T00:00:00"/>
    <n v="26"/>
    <s v="Nữ"/>
    <s v="KTQD"/>
    <s v="Đại học"/>
    <s v="Hà Nội"/>
    <x v="1"/>
    <x v="1"/>
    <x v="2"/>
    <x v="5"/>
    <n v="1"/>
    <m/>
    <m/>
    <x v="0"/>
    <x v="0"/>
    <m/>
  </r>
  <r>
    <n v="411"/>
    <x v="174"/>
    <x v="2"/>
    <s v="Phòng kinh doanh"/>
    <s v="NV kinh doanh"/>
    <s v="Nguyễn Mai Liên"/>
    <d v="1989-03-22T00:00:00"/>
    <n v="31"/>
    <s v="Nữ"/>
    <s v="Thương mại"/>
    <s v="Cao học"/>
    <s v="Hà Nội"/>
    <x v="1"/>
    <x v="1"/>
    <x v="1"/>
    <x v="1"/>
    <n v="1"/>
    <n v="1"/>
    <n v="1"/>
    <x v="1"/>
    <x v="47"/>
    <m/>
  </r>
  <r>
    <n v="412"/>
    <x v="175"/>
    <x v="4"/>
    <s v="Phòng kinh doanh"/>
    <s v="NV kinh doanh"/>
    <s v="Bùi Thị Thanh Hoài"/>
    <d v="1991-12-05T00:00:00"/>
    <n v="28"/>
    <s v="Nữ"/>
    <s v="FTU"/>
    <s v="Đại học"/>
    <s v="Bắc Giang"/>
    <x v="1"/>
    <x v="1"/>
    <x v="2"/>
    <x v="6"/>
    <n v="1"/>
    <n v="1"/>
    <m/>
    <x v="0"/>
    <x v="0"/>
    <n v="150000"/>
  </r>
  <r>
    <n v="413"/>
    <x v="176"/>
    <x v="0"/>
    <s v="Phòng kinh doanh"/>
    <s v="NV kinh doanh"/>
    <s v="Trịnh Văn Mạnh"/>
    <d v="1992-08-24T00:00:00"/>
    <n v="28"/>
    <s v="Nam"/>
    <s v="ĐH Kinh tế QG"/>
    <s v="Đại học"/>
    <s v="Thanh Hóa"/>
    <x v="1"/>
    <x v="4"/>
    <x v="0"/>
    <x v="0"/>
    <n v="1"/>
    <n v="1"/>
    <m/>
    <x v="0"/>
    <x v="0"/>
    <m/>
  </r>
  <r>
    <n v="414"/>
    <x v="176"/>
    <x v="0"/>
    <s v="Phòng kinh doanh"/>
    <s v="NV kinh doanh"/>
    <s v="Vũ Ngọc Linh"/>
    <d v="1994-07-27T00:00:00"/>
    <n v="26"/>
    <s v="Nữ"/>
    <s v="FTU"/>
    <s v="Cao đẳng"/>
    <s v="Nam Định"/>
    <x v="1"/>
    <x v="5"/>
    <x v="0"/>
    <x v="0"/>
    <n v="1"/>
    <n v="1"/>
    <m/>
    <x v="0"/>
    <x v="0"/>
    <m/>
  </r>
  <r>
    <n v="415"/>
    <x v="176"/>
    <x v="1"/>
    <s v="Phòng hành chính nhân sự"/>
    <s v="Tạp vụ"/>
    <s v="Nguyễn Thị Trang"/>
    <d v="1990-09-28T00:00:00"/>
    <n v="29"/>
    <s v="Nữ"/>
    <s v="FTU"/>
    <s v="Đại học"/>
    <s v="Nam Định"/>
    <x v="0"/>
    <x v="0"/>
    <x v="0"/>
    <x v="0"/>
    <n v="1"/>
    <n v="1"/>
    <m/>
    <x v="0"/>
    <x v="0"/>
    <m/>
  </r>
  <r>
    <n v="416"/>
    <x v="176"/>
    <x v="0"/>
    <s v="Phòng kinh doanh"/>
    <s v="NV kinh doanh"/>
    <s v="Trịnh Văn Mạnh"/>
    <d v="1992-08-24T00:00:00"/>
    <n v="28"/>
    <s v="Nam"/>
    <s v="ĐH Kinh tế QG"/>
    <s v="Đại học"/>
    <s v="Thanh Hóa"/>
    <x v="1"/>
    <x v="4"/>
    <x v="0"/>
    <x v="0"/>
    <n v="1"/>
    <n v="1"/>
    <m/>
    <x v="0"/>
    <x v="0"/>
    <m/>
  </r>
  <r>
    <n v="417"/>
    <x v="176"/>
    <x v="0"/>
    <s v="Phòng kinh doanh"/>
    <s v="NV kinh doanh"/>
    <s v="Vũ Ngọc Linh"/>
    <d v="1994-07-27T00:00:00"/>
    <n v="26"/>
    <s v="Nữ"/>
    <s v="FTU"/>
    <s v="Cao đẳng"/>
    <s v="Nam Định"/>
    <x v="1"/>
    <x v="5"/>
    <x v="0"/>
    <x v="0"/>
    <n v="1"/>
    <n v="1"/>
    <m/>
    <x v="0"/>
    <x v="0"/>
    <m/>
  </r>
  <r>
    <n v="418"/>
    <x v="176"/>
    <x v="3"/>
    <s v="Phòng Đào tạo"/>
    <s v="Giảng viên"/>
    <s v="Nguyễn Thị Kiều"/>
    <d v="1991-06-20T00:00:00"/>
    <n v="29"/>
    <s v="Nữ"/>
    <s v="FTU"/>
    <s v="Đại học"/>
    <s v="Hà Nội"/>
    <x v="1"/>
    <x v="1"/>
    <x v="2"/>
    <x v="4"/>
    <n v="1"/>
    <m/>
    <m/>
    <x v="0"/>
    <x v="0"/>
    <m/>
  </r>
  <r>
    <n v="419"/>
    <x v="177"/>
    <x v="1"/>
    <s v="Phòng hành chính nhân sự"/>
    <s v="Tạp vụ"/>
    <s v="Dương Thị Tuyết"/>
    <d v="1992-09-21T00:00:00"/>
    <n v="27"/>
    <s v="Nữ"/>
    <s v="HV tài chính"/>
    <s v="Cao đẳng"/>
    <s v="Hà Nội"/>
    <x v="0"/>
    <x v="0"/>
    <x v="0"/>
    <x v="0"/>
    <n v="1"/>
    <m/>
    <m/>
    <x v="0"/>
    <x v="0"/>
    <m/>
  </r>
  <r>
    <n v="420"/>
    <x v="177"/>
    <x v="1"/>
    <s v="Phòng hành chính nhân sự"/>
    <s v="Tạp vụ"/>
    <s v="Đoàn Hoàng Linh"/>
    <d v="1991-07-10T00:00:00"/>
    <n v="29"/>
    <s v="Nam"/>
    <s v="Mỏ địa chất"/>
    <s v="Đại học"/>
    <s v="Hà Nội"/>
    <x v="0"/>
    <x v="0"/>
    <x v="0"/>
    <x v="0"/>
    <n v="1"/>
    <m/>
    <m/>
    <x v="0"/>
    <x v="0"/>
    <m/>
  </r>
  <r>
    <n v="421"/>
    <x v="177"/>
    <x v="1"/>
    <s v="Phòng hành chính nhân sự"/>
    <s v="Tạp vụ"/>
    <s v="Dương Thị Tuyết"/>
    <d v="1992-09-21T00:00:00"/>
    <n v="27"/>
    <s v="Nữ"/>
    <s v="HV tài chính"/>
    <s v="Cao đẳng"/>
    <s v="Hà Nội"/>
    <x v="0"/>
    <x v="0"/>
    <x v="0"/>
    <x v="0"/>
    <n v="1"/>
    <m/>
    <m/>
    <x v="0"/>
    <x v="0"/>
    <m/>
  </r>
  <r>
    <n v="422"/>
    <x v="177"/>
    <x v="1"/>
    <s v="Phòng hành chính nhân sự"/>
    <s v="Tạp vụ"/>
    <s v="Đoàn Hoàng Linh"/>
    <d v="1991-07-10T00:00:00"/>
    <n v="29"/>
    <s v="Nam"/>
    <s v="Mỏ địa chất"/>
    <s v="Đại học"/>
    <s v="Hà Nội"/>
    <x v="0"/>
    <x v="0"/>
    <x v="0"/>
    <x v="0"/>
    <n v="1"/>
    <m/>
    <m/>
    <x v="0"/>
    <x v="0"/>
    <m/>
  </r>
  <r>
    <n v="423"/>
    <x v="177"/>
    <x v="2"/>
    <s v="Phòng Đào tạo"/>
    <s v="Giảng viên"/>
    <s v="Nguyễn Song Toàn"/>
    <d v="1990-02-15T00:00:00"/>
    <n v="30"/>
    <s v="Nam"/>
    <s v="Thương mại"/>
    <s v="Cao đẳng"/>
    <s v="Hà Nội"/>
    <x v="1"/>
    <x v="1"/>
    <x v="1"/>
    <x v="7"/>
    <n v="1"/>
    <n v="1"/>
    <m/>
    <x v="0"/>
    <x v="0"/>
    <m/>
  </r>
  <r>
    <n v="424"/>
    <x v="177"/>
    <x v="4"/>
    <s v="Phòng kinh doanh"/>
    <s v="NV kinh doanh"/>
    <s v="Nguyễn Thu Hằng"/>
    <d v="1990-05-03T00:00:00"/>
    <n v="30"/>
    <s v="Nữ"/>
    <s v="ĐH Quốc gia"/>
    <s v="Đại học"/>
    <s v="Hà Nội"/>
    <x v="1"/>
    <x v="1"/>
    <x v="2"/>
    <x v="8"/>
    <n v="1"/>
    <n v="1"/>
    <m/>
    <x v="0"/>
    <x v="0"/>
    <m/>
  </r>
  <r>
    <n v="425"/>
    <x v="178"/>
    <x v="2"/>
    <s v="Phòng kinh doanh"/>
    <s v="NV kinh doanh"/>
    <s v="Phan Thị Liễu"/>
    <d v="1989-03-22T00:00:00"/>
    <n v="31"/>
    <s v="Nữ"/>
    <s v="FTU"/>
    <s v="Đại học"/>
    <s v="Hà Nội"/>
    <x v="1"/>
    <x v="4"/>
    <x v="0"/>
    <x v="0"/>
    <n v="1"/>
    <m/>
    <m/>
    <x v="0"/>
    <x v="0"/>
    <m/>
  </r>
  <r>
    <n v="426"/>
    <x v="178"/>
    <x v="2"/>
    <s v="Phòng Đào tạo"/>
    <s v="Giảng viên"/>
    <s v="Hoàng Thị Thanh Huyền"/>
    <d v="1994-11-14T00:00:00"/>
    <n v="25"/>
    <s v="Nữ"/>
    <s v="KTQD"/>
    <s v="Cao đẳng"/>
    <s v="Hà Nội"/>
    <x v="1"/>
    <x v="1"/>
    <x v="2"/>
    <x v="2"/>
    <n v="1"/>
    <m/>
    <m/>
    <x v="0"/>
    <x v="0"/>
    <n v="200000"/>
  </r>
  <r>
    <n v="427"/>
    <x v="179"/>
    <x v="3"/>
    <s v="Phòng Đào tạo"/>
    <s v="Giảng viên"/>
    <s v="Trần Gia Mạnh"/>
    <d v="1986-05-21T00:00:00"/>
    <n v="34"/>
    <s v="Nữ"/>
    <s v="FTU"/>
    <s v="Cao đẳng"/>
    <s v="Hà Nội"/>
    <x v="0"/>
    <x v="0"/>
    <x v="0"/>
    <x v="0"/>
    <n v="1"/>
    <m/>
    <n v="1"/>
    <x v="1"/>
    <x v="50"/>
    <n v="500000"/>
  </r>
  <r>
    <n v="428"/>
    <x v="180"/>
    <x v="4"/>
    <s v="Phòng kinh doanh"/>
    <s v="NV kinh doanh"/>
    <s v="Trương Thanh Hằng"/>
    <d v="1991-06-20T00:00:00"/>
    <n v="29"/>
    <s v="Nữ"/>
    <s v="ĐH Quốc gia"/>
    <s v="Cao học"/>
    <s v="Hưng Yên"/>
    <x v="1"/>
    <x v="1"/>
    <x v="2"/>
    <x v="8"/>
    <n v="1"/>
    <m/>
    <m/>
    <x v="0"/>
    <x v="0"/>
    <n v="150000"/>
  </r>
  <r>
    <n v="429"/>
    <x v="181"/>
    <x v="4"/>
    <s v="Phòng kinh doanh"/>
    <s v="NV kinh doanh"/>
    <s v="Vũ Thị Bích"/>
    <d v="1990-05-23T00:00:00"/>
    <n v="30"/>
    <s v="Nữ"/>
    <s v="ĐH Công nghiệp HCM"/>
    <s v="Cao học"/>
    <s v="Bắc Giang"/>
    <x v="1"/>
    <x v="1"/>
    <x v="2"/>
    <x v="6"/>
    <n v="1"/>
    <n v="1"/>
    <n v="1"/>
    <x v="1"/>
    <x v="48"/>
    <n v="150000"/>
  </r>
  <r>
    <n v="430"/>
    <x v="182"/>
    <x v="2"/>
    <s v="Phòng Đào tạo"/>
    <s v="Giảng viên"/>
    <s v="Lê Thị Hương Giang"/>
    <d v="1991-06-20T00:00:00"/>
    <n v="29"/>
    <s v="Nữ"/>
    <s v="FTU"/>
    <s v="Cao học"/>
    <s v="Nghệ An"/>
    <x v="0"/>
    <x v="0"/>
    <x v="0"/>
    <x v="0"/>
    <n v="1"/>
    <m/>
    <m/>
    <x v="0"/>
    <x v="0"/>
    <m/>
  </r>
  <r>
    <n v="431"/>
    <x v="182"/>
    <x v="2"/>
    <s v="Phòng Đào tạo"/>
    <s v="Giảng viên"/>
    <s v="Phạm Thị Cẩm Trà"/>
    <d v="1990-05-23T00:00:00"/>
    <n v="30"/>
    <s v="Nữ"/>
    <s v="Kinh doanh công nghệ"/>
    <s v="Đại học"/>
    <s v="Nghệ An"/>
    <x v="1"/>
    <x v="1"/>
    <x v="1"/>
    <x v="1"/>
    <n v="1"/>
    <m/>
    <m/>
    <x v="0"/>
    <x v="0"/>
    <m/>
  </r>
  <r>
    <n v="432"/>
    <x v="183"/>
    <x v="2"/>
    <s v="Phòng kinh doanh"/>
    <s v="NV kinh doanh"/>
    <s v="Nguyễn Thu Hiền"/>
    <d v="1991-03-30T00:00:00"/>
    <n v="29"/>
    <s v="Nữ"/>
    <s v="FTU"/>
    <s v="Đại học"/>
    <s v="Hà Nội"/>
    <x v="1"/>
    <x v="1"/>
    <x v="1"/>
    <x v="1"/>
    <n v="1"/>
    <n v="1"/>
    <n v="1"/>
    <x v="1"/>
    <x v="51"/>
    <m/>
  </r>
  <r>
    <n v="433"/>
    <x v="183"/>
    <x v="2"/>
    <s v="Phòng Đào tạo"/>
    <s v="Giảng viên"/>
    <s v="Đặng Thị Thu Hương"/>
    <d v="1990-05-03T00:00:00"/>
    <n v="30"/>
    <s v="Nữ"/>
    <s v="Thương mại"/>
    <s v="Đại học"/>
    <s v="Hà Nội"/>
    <x v="1"/>
    <x v="1"/>
    <x v="2"/>
    <x v="2"/>
    <n v="1"/>
    <n v="1"/>
    <n v="1"/>
    <x v="1"/>
    <x v="52"/>
    <n v="200000"/>
  </r>
  <r>
    <n v="434"/>
    <x v="183"/>
    <x v="2"/>
    <s v="Phòng kinh doanh"/>
    <s v="NV kinh doanh"/>
    <s v="Nguyễn Thu Hiền"/>
    <d v="1991-03-30T00:00:00"/>
    <n v="29"/>
    <s v="Nữ"/>
    <s v="FTU"/>
    <s v="Đại học"/>
    <s v="Hà Nội"/>
    <x v="1"/>
    <x v="1"/>
    <x v="1"/>
    <x v="1"/>
    <n v="1"/>
    <n v="1"/>
    <n v="1"/>
    <x v="1"/>
    <x v="51"/>
    <m/>
  </r>
  <r>
    <n v="435"/>
    <x v="183"/>
    <x v="2"/>
    <s v="Phòng Đào tạo"/>
    <s v="Giảng viên"/>
    <s v="Đặng Thị Thu Hương"/>
    <d v="1990-05-03T00:00:00"/>
    <n v="30"/>
    <s v="Nữ"/>
    <s v="Thương mại"/>
    <s v="Đại học"/>
    <s v="Hà Nội"/>
    <x v="1"/>
    <x v="1"/>
    <x v="2"/>
    <x v="2"/>
    <n v="1"/>
    <n v="1"/>
    <n v="1"/>
    <x v="1"/>
    <x v="52"/>
    <n v="200000"/>
  </r>
  <r>
    <n v="436"/>
    <x v="184"/>
    <x v="4"/>
    <s v="Phòng kinh doanh"/>
    <s v="NV kinh doanh"/>
    <s v="Nguyễn Mai Liên"/>
    <d v="1990-06-17T00:00:00"/>
    <n v="30"/>
    <s v="Nữ"/>
    <s v="Thương mại"/>
    <s v="Đại học"/>
    <s v="Hà Nội"/>
    <x v="1"/>
    <x v="2"/>
    <x v="3"/>
    <x v="0"/>
    <n v="1"/>
    <n v="1"/>
    <m/>
    <x v="0"/>
    <x v="0"/>
    <n v="100000"/>
  </r>
  <r>
    <n v="437"/>
    <x v="185"/>
    <x v="0"/>
    <s v="Phòng kinh doanh"/>
    <s v="NV kinh doanh"/>
    <s v="Lê Thùy Linh"/>
    <d v="1990-09-16T00:00:00"/>
    <n v="29"/>
    <s v="Nữ"/>
    <s v="FTU"/>
    <s v="Đại học"/>
    <s v="Nam Định"/>
    <x v="1"/>
    <x v="5"/>
    <x v="0"/>
    <x v="0"/>
    <n v="1"/>
    <m/>
    <m/>
    <x v="0"/>
    <x v="0"/>
    <m/>
  </r>
  <r>
    <n v="438"/>
    <x v="185"/>
    <x v="2"/>
    <s v="Phòng kinh doanh"/>
    <s v="NV kinh doanh"/>
    <s v="Nguyễn Ngọc Quỳnh"/>
    <d v="1990-09-28T00:00:00"/>
    <n v="29"/>
    <s v="Nữ"/>
    <s v="Thương mại"/>
    <s v="Cao học"/>
    <s v="Hà Nội"/>
    <x v="1"/>
    <x v="1"/>
    <x v="1"/>
    <x v="1"/>
    <n v="1"/>
    <m/>
    <m/>
    <x v="0"/>
    <x v="0"/>
    <m/>
  </r>
  <r>
    <n v="439"/>
    <x v="186"/>
    <x v="4"/>
    <s v="Phòng kinh doanh"/>
    <s v="NV kinh doanh"/>
    <s v="Nguyễn Thị Kiều"/>
    <d v="1990-02-15T00:00:00"/>
    <n v="30"/>
    <s v="Nữ"/>
    <s v="ĐH Công nghiệp HCM"/>
    <s v="Đại học"/>
    <s v="Vĩnh Phúc"/>
    <x v="1"/>
    <x v="2"/>
    <x v="3"/>
    <x v="0"/>
    <n v="1"/>
    <m/>
    <m/>
    <x v="0"/>
    <x v="0"/>
    <n v="100000"/>
  </r>
  <r>
    <n v="440"/>
    <x v="187"/>
    <x v="0"/>
    <s v="Phòng kinh doanh"/>
    <s v="NV kinh doanh"/>
    <s v="Lê Mai Linh"/>
    <d v="1993-08-14T00:00:00"/>
    <n v="27"/>
    <s v="Nữ"/>
    <s v="FTU"/>
    <s v="Đại học"/>
    <s v="Hà Nội"/>
    <x v="1"/>
    <x v="2"/>
    <x v="3"/>
    <x v="0"/>
    <n v="1"/>
    <n v="1"/>
    <m/>
    <x v="0"/>
    <x v="0"/>
    <n v="100000"/>
  </r>
  <r>
    <n v="441"/>
    <x v="187"/>
    <x v="0"/>
    <s v="Phòng kinh doanh"/>
    <s v="NV kinh doanh"/>
    <s v="Nguyễn Thu Hằng"/>
    <d v="1989-03-22T00:00:00"/>
    <n v="31"/>
    <s v="Nữ"/>
    <s v="Thăng Long"/>
    <s v="Cao học"/>
    <s v="Hà Nội"/>
    <x v="1"/>
    <x v="1"/>
    <x v="2"/>
    <x v="4"/>
    <n v="1"/>
    <n v="1"/>
    <n v="1"/>
    <x v="1"/>
    <x v="53"/>
    <n v="200000"/>
  </r>
  <r>
    <n v="442"/>
    <x v="188"/>
    <x v="3"/>
    <s v="Phòng Đào tạo"/>
    <s v="Giảng viên"/>
    <s v="Lê Hà Linh"/>
    <d v="1991-08-26T00:00:00"/>
    <n v="29"/>
    <s v="Nữ"/>
    <s v="ĐH Mở"/>
    <s v="Đại học"/>
    <s v="Hà Nội"/>
    <x v="1"/>
    <x v="1"/>
    <x v="2"/>
    <x v="2"/>
    <n v="1"/>
    <n v="1"/>
    <m/>
    <x v="0"/>
    <x v="0"/>
    <n v="200000"/>
  </r>
  <r>
    <n v="443"/>
    <x v="189"/>
    <x v="2"/>
    <s v="Phòng kinh doanh"/>
    <s v="NV kinh doanh"/>
    <s v="Đào Thị Lan"/>
    <d v="1989-02-19T00:00:00"/>
    <n v="31"/>
    <s v="Nữ"/>
    <s v="HV ngân hàng"/>
    <s v="Đại học"/>
    <s v="Hải Dương"/>
    <x v="1"/>
    <x v="1"/>
    <x v="1"/>
    <x v="3"/>
    <n v="1"/>
    <n v="1"/>
    <n v="1"/>
    <x v="0"/>
    <x v="0"/>
    <m/>
  </r>
  <r>
    <n v="444"/>
    <x v="189"/>
    <x v="0"/>
    <s v="Phòng kinh doanh"/>
    <s v="NV kinh doanh"/>
    <s v="Phạm Minh Trang"/>
    <d v="1990-06-17T00:00:00"/>
    <n v="30"/>
    <s v="Nữ"/>
    <s v="FTU"/>
    <s v="Đại học"/>
    <s v="Bắc Giang"/>
    <x v="1"/>
    <x v="1"/>
    <x v="1"/>
    <x v="4"/>
    <n v="1"/>
    <m/>
    <m/>
    <x v="0"/>
    <x v="0"/>
    <n v="200000"/>
  </r>
  <r>
    <n v="445"/>
    <x v="190"/>
    <x v="3"/>
    <s v="Phòng Đào tạo"/>
    <s v="Giảng viên"/>
    <s v="Vũ Thị Thư"/>
    <d v="1991-12-01T00:00:00"/>
    <n v="28"/>
    <s v="Nữ"/>
    <s v="HV tài chính"/>
    <s v="Đại học"/>
    <s v="Hà Nội"/>
    <x v="1"/>
    <x v="4"/>
    <x v="0"/>
    <x v="0"/>
    <n v="1"/>
    <n v="1"/>
    <m/>
    <x v="0"/>
    <x v="0"/>
    <m/>
  </r>
  <r>
    <n v="446"/>
    <x v="191"/>
    <x v="3"/>
    <s v="Phòng Đào tạo"/>
    <s v="Giảng viên"/>
    <s v="Vũ Thị Bích"/>
    <d v="1990-08-03T00:00:00"/>
    <n v="30"/>
    <s v="Nữ"/>
    <s v="HV ngân hàng"/>
    <s v="Đại học"/>
    <s v="Hà Nội"/>
    <x v="0"/>
    <x v="3"/>
    <x v="0"/>
    <x v="0"/>
    <n v="1"/>
    <m/>
    <m/>
    <x v="0"/>
    <x v="0"/>
    <m/>
  </r>
  <r>
    <n v="447"/>
    <x v="192"/>
    <x v="4"/>
    <s v="Phòng kinh doanh"/>
    <s v="NV kinh doanh"/>
    <s v="Lương Thị Hương Liên"/>
    <d v="1991-12-22T00:00:00"/>
    <n v="28"/>
    <s v="Nữ"/>
    <s v="ĐH Văn Hóa"/>
    <s v="Đại học"/>
    <s v="Hà Nội"/>
    <x v="1"/>
    <x v="1"/>
    <x v="1"/>
    <x v="4"/>
    <n v="1"/>
    <n v="1"/>
    <m/>
    <x v="0"/>
    <x v="0"/>
    <n v="150000"/>
  </r>
  <r>
    <n v="448"/>
    <x v="193"/>
    <x v="0"/>
    <s v="Phòng kinh doanh"/>
    <s v="NV kinh doanh"/>
    <s v="Nguyễn Thị Xuân Hạnh"/>
    <d v="1993-02-21T00:00:00"/>
    <n v="27"/>
    <s v="Nữ"/>
    <s v="FTU"/>
    <s v="Cao học"/>
    <s v="Hà Nội"/>
    <x v="1"/>
    <x v="1"/>
    <x v="2"/>
    <x v="5"/>
    <n v="1"/>
    <n v="1"/>
    <m/>
    <x v="0"/>
    <x v="0"/>
    <m/>
  </r>
  <r>
    <n v="449"/>
    <x v="194"/>
    <x v="2"/>
    <s v="Phòng kinh doanh"/>
    <s v="NV kinh doanh"/>
    <s v="Đỗ Bích Liên"/>
    <d v="1990-06-17T00:00:00"/>
    <n v="30"/>
    <s v="Nữ"/>
    <s v="Thăng Long"/>
    <s v="Cao đẳng"/>
    <s v="Hà Nội"/>
    <x v="0"/>
    <x v="3"/>
    <x v="0"/>
    <x v="0"/>
    <n v="1"/>
    <n v="1"/>
    <n v="1"/>
    <x v="0"/>
    <x v="0"/>
    <m/>
  </r>
  <r>
    <n v="450"/>
    <x v="194"/>
    <x v="2"/>
    <s v="Phòng kinh doanh"/>
    <s v="NV kinh doanh"/>
    <s v="Quản Thị Thùy Dương"/>
    <d v="1993-11-22T00:00:00"/>
    <n v="26"/>
    <s v="Nữ"/>
    <s v="FTU"/>
    <s v="Đại học"/>
    <s v="Hà Nội"/>
    <x v="1"/>
    <x v="5"/>
    <x v="0"/>
    <x v="0"/>
    <n v="1"/>
    <m/>
    <m/>
    <x v="0"/>
    <x v="0"/>
    <m/>
  </r>
  <r>
    <n v="451"/>
    <x v="194"/>
    <x v="2"/>
    <s v="Phòng kinh doanh"/>
    <s v="NV kinh doanh"/>
    <s v="Đỗ Bích Liên"/>
    <d v="1990-06-17T00:00:00"/>
    <n v="30"/>
    <s v="Nữ"/>
    <s v="Thăng Long"/>
    <s v="Cao đẳng"/>
    <s v="Hà Nội"/>
    <x v="0"/>
    <x v="3"/>
    <x v="0"/>
    <x v="0"/>
    <n v="1"/>
    <n v="1"/>
    <n v="1"/>
    <x v="0"/>
    <x v="0"/>
    <m/>
  </r>
  <r>
    <n v="452"/>
    <x v="195"/>
    <x v="3"/>
    <s v="Phòng Đào tạo"/>
    <s v="Giảng viên"/>
    <s v="Phạm Thị Hà"/>
    <d v="1993-05-29T00:00:00"/>
    <n v="27"/>
    <s v="Nữ"/>
    <s v="HV tài chính"/>
    <s v="Cao học"/>
    <s v="Hà Nội"/>
    <x v="1"/>
    <x v="2"/>
    <x v="3"/>
    <x v="0"/>
    <n v="1"/>
    <m/>
    <m/>
    <x v="0"/>
    <x v="0"/>
    <n v="100000"/>
  </r>
  <r>
    <n v="453"/>
    <x v="195"/>
    <x v="2"/>
    <s v="Phòng Đào tạo"/>
    <s v="Giảng viên"/>
    <s v="Trịnh Văn Mạnh"/>
    <d v="1990-05-23T00:00:00"/>
    <n v="30"/>
    <s v="Nữ"/>
    <s v="Ngoại ngữ QG"/>
    <s v="Đại học"/>
    <s v="Hà Nội"/>
    <x v="1"/>
    <x v="1"/>
    <x v="2"/>
    <x v="6"/>
    <n v="1"/>
    <n v="1"/>
    <m/>
    <x v="0"/>
    <x v="0"/>
    <n v="150000"/>
  </r>
  <r>
    <n v="454"/>
    <x v="196"/>
    <x v="2"/>
    <s v="Phòng Đào tạo"/>
    <s v="Giảng viên"/>
    <s v="Trần Gia Mạnh"/>
    <d v="1994-02-19T00:00:00"/>
    <n v="26"/>
    <s v="Nam"/>
    <s v="KTQD"/>
    <s v="Đại học"/>
    <s v="Nam Định"/>
    <x v="1"/>
    <x v="1"/>
    <x v="2"/>
    <x v="2"/>
    <n v="1"/>
    <n v="1"/>
    <m/>
    <x v="0"/>
    <x v="0"/>
    <n v="200000"/>
  </r>
  <r>
    <n v="455"/>
    <x v="196"/>
    <x v="2"/>
    <s v="Phòng Đào tạo"/>
    <s v="Giảng viên"/>
    <s v="Nguyễn Thị Thanh Hằng"/>
    <d v="1992-03-04T00:00:00"/>
    <n v="28"/>
    <s v="Nữ"/>
    <s v="FTU"/>
    <s v="Đại học"/>
    <s v="Bắc Giang"/>
    <x v="1"/>
    <x v="1"/>
    <x v="2"/>
    <x v="6"/>
    <n v="1"/>
    <n v="1"/>
    <m/>
    <x v="0"/>
    <x v="0"/>
    <n v="120000"/>
  </r>
  <r>
    <n v="456"/>
    <x v="197"/>
    <x v="3"/>
    <s v="Phòng Đào tạo"/>
    <s v="Giảng viên"/>
    <s v="Nguyễn Thị Xuân Hạnh"/>
    <d v="1990-09-28T00:00:00"/>
    <n v="29"/>
    <s v="Nam"/>
    <s v="FTU"/>
    <s v="Đại học"/>
    <s v="Bắc Giang"/>
    <x v="1"/>
    <x v="5"/>
    <x v="0"/>
    <x v="0"/>
    <n v="1"/>
    <m/>
    <m/>
    <x v="0"/>
    <x v="0"/>
    <m/>
  </r>
  <r>
    <n v="457"/>
    <x v="197"/>
    <x v="2"/>
    <s v="Phòng kinh doanh"/>
    <s v="NV kinh doanh"/>
    <s v="Trương Thanh Hằng"/>
    <d v="1995-11-05T00:00:00"/>
    <n v="24"/>
    <s v="Nữ"/>
    <s v="Đại Nam"/>
    <s v="Đại học"/>
    <s v="Hà Nội"/>
    <x v="1"/>
    <x v="2"/>
    <x v="3"/>
    <x v="0"/>
    <n v="1"/>
    <n v="1"/>
    <m/>
    <x v="0"/>
    <x v="0"/>
    <n v="100000"/>
  </r>
  <r>
    <n v="458"/>
    <x v="197"/>
    <x v="2"/>
    <s v="Phòng kinh doanh"/>
    <s v="NV kinh doanh"/>
    <s v="Phạm Thị Thanh Mai"/>
    <d v="1993-09-19T00:00:00"/>
    <n v="26"/>
    <s v="Nữ"/>
    <s v="KTQD"/>
    <s v="Đại học"/>
    <s v="Hà Nội"/>
    <x v="1"/>
    <x v="2"/>
    <x v="3"/>
    <x v="0"/>
    <n v="1"/>
    <m/>
    <m/>
    <x v="0"/>
    <x v="0"/>
    <n v="100000"/>
  </r>
  <r>
    <n v="459"/>
    <x v="197"/>
    <x v="2"/>
    <s v="Phòng kinh doanh"/>
    <s v="NV kinh doanh"/>
    <s v="Phạm Thị Thanh Mai"/>
    <d v="1993-09-19T00:00:00"/>
    <n v="26"/>
    <s v="Nữ"/>
    <s v="KTQD"/>
    <s v="Đại học"/>
    <s v="Hà Nội"/>
    <x v="1"/>
    <x v="2"/>
    <x v="3"/>
    <x v="0"/>
    <n v="1"/>
    <m/>
    <m/>
    <x v="0"/>
    <x v="0"/>
    <n v="100000"/>
  </r>
  <r>
    <n v="460"/>
    <x v="197"/>
    <x v="4"/>
    <s v="Phòng kinh doanh"/>
    <s v="NV kinh doanh"/>
    <s v="Nguyễn Mai Liên"/>
    <d v="1989-03-22T00:00:00"/>
    <n v="31"/>
    <s v="Nữ"/>
    <s v="Thương mại"/>
    <s v="Cao học"/>
    <s v="Hà Nội"/>
    <x v="1"/>
    <x v="1"/>
    <x v="1"/>
    <x v="1"/>
    <n v="1"/>
    <n v="1"/>
    <n v="1"/>
    <x v="1"/>
    <x v="53"/>
    <m/>
  </r>
  <r>
    <n v="461"/>
    <x v="198"/>
    <x v="3"/>
    <s v="Phòng Đào tạo"/>
    <s v="Giảng viên"/>
    <s v="Bùi Thị Thanh Hoài"/>
    <d v="1991-12-05T00:00:00"/>
    <n v="28"/>
    <s v="Nữ"/>
    <s v="FTU"/>
    <s v="Đại học"/>
    <s v="Bắc Giang"/>
    <x v="1"/>
    <x v="2"/>
    <x v="3"/>
    <x v="0"/>
    <n v="1"/>
    <n v="1"/>
    <m/>
    <x v="0"/>
    <x v="0"/>
    <n v="100000"/>
  </r>
  <r>
    <n v="462"/>
    <x v="198"/>
    <x v="4"/>
    <s v="Phòng kinh doanh"/>
    <s v="NV kinh doanh"/>
    <s v="Bùi Thị Quế"/>
    <d v="1991-06-20T00:00:00"/>
    <n v="29"/>
    <s v="Nữ"/>
    <s v="HV ngân hàng"/>
    <s v="Cao đẳng"/>
    <s v="Nam Định"/>
    <x v="1"/>
    <x v="1"/>
    <x v="2"/>
    <x v="4"/>
    <n v="1"/>
    <m/>
    <m/>
    <x v="0"/>
    <x v="0"/>
    <n v="150000"/>
  </r>
  <r>
    <n v="463"/>
    <x v="199"/>
    <x v="0"/>
    <s v="Phòng kinh doanh"/>
    <s v="NV kinh doanh"/>
    <s v="Nguyễn Thị Kiều"/>
    <d v="1991-06-20T00:00:00"/>
    <n v="29"/>
    <s v="Nữ"/>
    <s v="FTU"/>
    <s v="Đại học"/>
    <s v="Hà Nội"/>
    <x v="0"/>
    <x v="0"/>
    <x v="0"/>
    <x v="0"/>
    <n v="1"/>
    <m/>
    <m/>
    <x v="0"/>
    <x v="0"/>
    <m/>
  </r>
  <r>
    <n v="464"/>
    <x v="199"/>
    <x v="3"/>
    <s v="Phòng Đào tạo"/>
    <s v="Giảng viên"/>
    <s v="Trịnh Văn Mạnh"/>
    <d v="1992-08-24T00:00:00"/>
    <n v="28"/>
    <s v="Nam"/>
    <s v="ĐH Kinh tế QG"/>
    <s v="Đại học"/>
    <s v="Thanh Hóa"/>
    <x v="1"/>
    <x v="4"/>
    <x v="0"/>
    <x v="0"/>
    <n v="1"/>
    <n v="1"/>
    <m/>
    <x v="0"/>
    <x v="0"/>
    <m/>
  </r>
  <r>
    <n v="465"/>
    <x v="199"/>
    <x v="4"/>
    <s v="Phòng kinh doanh"/>
    <s v="NV kinh doanh"/>
    <s v="Vũ Ngọc Linh"/>
    <d v="1994-07-27T00:00:00"/>
    <n v="26"/>
    <s v="Nữ"/>
    <s v="FTU"/>
    <s v="Cao đẳng"/>
    <s v="Nam Định"/>
    <x v="1"/>
    <x v="5"/>
    <x v="0"/>
    <x v="0"/>
    <n v="1"/>
    <n v="1"/>
    <m/>
    <x v="0"/>
    <x v="0"/>
    <m/>
  </r>
  <r>
    <n v="466"/>
    <x v="199"/>
    <x v="3"/>
    <s v="Phòng Đào tạo"/>
    <s v="Giảng viên"/>
    <s v="Trịnh Văn Mạnh"/>
    <d v="1992-08-24T00:00:00"/>
    <n v="28"/>
    <s v="Nam"/>
    <s v="ĐH Kinh tế QG"/>
    <s v="Đại học"/>
    <s v="Thanh Hóa"/>
    <x v="1"/>
    <x v="4"/>
    <x v="0"/>
    <x v="0"/>
    <n v="1"/>
    <n v="1"/>
    <m/>
    <x v="0"/>
    <x v="0"/>
    <m/>
  </r>
  <r>
    <n v="467"/>
    <x v="199"/>
    <x v="4"/>
    <s v="Phòng kinh doanh"/>
    <s v="NV kinh doanh"/>
    <s v="Vũ Ngọc Linh"/>
    <d v="1994-07-27T00:00:00"/>
    <n v="26"/>
    <s v="Nữ"/>
    <s v="FTU"/>
    <s v="Cao đẳng"/>
    <s v="Nam Định"/>
    <x v="1"/>
    <x v="5"/>
    <x v="0"/>
    <x v="0"/>
    <n v="1"/>
    <n v="1"/>
    <m/>
    <x v="0"/>
    <x v="0"/>
    <m/>
  </r>
  <r>
    <n v="468"/>
    <x v="199"/>
    <x v="2"/>
    <s v="Phòng Đào tạo"/>
    <s v="Giảng viên"/>
    <s v="Nguyễn Thị Trang"/>
    <d v="1990-09-28T00:00:00"/>
    <n v="29"/>
    <s v="Nữ"/>
    <s v="FTU"/>
    <s v="Đại học"/>
    <s v="Nam Định"/>
    <x v="0"/>
    <x v="0"/>
    <x v="0"/>
    <x v="0"/>
    <n v="1"/>
    <n v="1"/>
    <n v="1"/>
    <x v="1"/>
    <x v="54"/>
    <n v="500000"/>
  </r>
  <r>
    <n v="469"/>
    <x v="199"/>
    <x v="2"/>
    <s v="Phòng Đào tạo"/>
    <s v="Giảng viên"/>
    <s v="Lê Thùy Linh"/>
    <d v="1990-05-03T00:00:00"/>
    <n v="30"/>
    <s v="Nữ"/>
    <s v="HV tài chính"/>
    <s v="Cao đẳng"/>
    <s v="Hà Nội"/>
    <x v="0"/>
    <x v="0"/>
    <x v="0"/>
    <x v="0"/>
    <n v="1"/>
    <n v="1"/>
    <n v="1"/>
    <x v="1"/>
    <x v="55"/>
    <n v="500000"/>
  </r>
  <r>
    <n v="470"/>
    <x v="200"/>
    <x v="4"/>
    <s v="Phòng kinh doanh"/>
    <s v="NV kinh doanh"/>
    <s v="Dương Thị Tuyết"/>
    <d v="1992-09-21T00:00:00"/>
    <n v="27"/>
    <s v="Nữ"/>
    <s v="HV tài chính"/>
    <s v="Cao đẳng"/>
    <s v="Hà Nội"/>
    <x v="0"/>
    <x v="3"/>
    <x v="0"/>
    <x v="0"/>
    <n v="1"/>
    <n v="1"/>
    <m/>
    <x v="0"/>
    <x v="0"/>
    <m/>
  </r>
  <r>
    <n v="471"/>
    <x v="200"/>
    <x v="0"/>
    <s v="Phòng kinh doanh"/>
    <s v="NV kinh doanh"/>
    <s v="Đoàn Hoàng Linh"/>
    <d v="1991-07-10T00:00:00"/>
    <n v="29"/>
    <s v="Nam"/>
    <s v="Mỏ địa chất"/>
    <s v="Đại học"/>
    <s v="Hà Nội"/>
    <x v="0"/>
    <x v="0"/>
    <x v="0"/>
    <x v="0"/>
    <n v="1"/>
    <m/>
    <m/>
    <x v="0"/>
    <x v="0"/>
    <m/>
  </r>
  <r>
    <n v="472"/>
    <x v="200"/>
    <x v="2"/>
    <s v="Phòng Đào tạo"/>
    <s v="Giảng viên"/>
    <s v="Nguyễn Thu Hằng"/>
    <d v="1990-05-03T00:00:00"/>
    <n v="30"/>
    <s v="Nữ"/>
    <s v="ĐH Quốc gia"/>
    <s v="Đại học"/>
    <s v="Hà Nội"/>
    <x v="0"/>
    <x v="0"/>
    <x v="0"/>
    <x v="0"/>
    <n v="1"/>
    <n v="1"/>
    <m/>
    <x v="0"/>
    <x v="0"/>
    <m/>
  </r>
  <r>
    <n v="473"/>
    <x v="200"/>
    <x v="2"/>
    <s v="Phòng kinh doanh"/>
    <s v="NV kinh doanh"/>
    <s v="Nguyễn Thị Anh Thư"/>
    <d v="1991-03-05T00:00:00"/>
    <n v="29"/>
    <s v="Nữ"/>
    <s v="HV ngân hàng"/>
    <s v="Cao đẳng"/>
    <s v="Hà Nội"/>
    <x v="0"/>
    <x v="0"/>
    <x v="0"/>
    <x v="0"/>
    <n v="1"/>
    <m/>
    <m/>
    <x v="0"/>
    <x v="0"/>
    <m/>
  </r>
  <r>
    <n v="474"/>
    <x v="200"/>
    <x v="4"/>
    <s v="Phòng kinh doanh"/>
    <s v="NV kinh doanh"/>
    <s v="Dương Thị Tuyết"/>
    <d v="1992-09-21T00:00:00"/>
    <n v="27"/>
    <s v="Nữ"/>
    <s v="HV tài chính"/>
    <s v="Cao đẳng"/>
    <s v="Hà Nội"/>
    <x v="0"/>
    <x v="3"/>
    <x v="0"/>
    <x v="0"/>
    <n v="1"/>
    <n v="1"/>
    <m/>
    <x v="0"/>
    <x v="0"/>
    <m/>
  </r>
  <r>
    <n v="475"/>
    <x v="200"/>
    <x v="0"/>
    <s v="Phòng kinh doanh"/>
    <s v="NV kinh doanh"/>
    <s v="Đoàn Hoàng Linh"/>
    <d v="1991-07-10T00:00:00"/>
    <n v="29"/>
    <s v="Nam"/>
    <s v="Mỏ địa chất"/>
    <s v="Đại học"/>
    <s v="Hà Nội"/>
    <x v="0"/>
    <x v="0"/>
    <x v="0"/>
    <x v="0"/>
    <n v="1"/>
    <m/>
    <m/>
    <x v="0"/>
    <x v="0"/>
    <m/>
  </r>
  <r>
    <n v="476"/>
    <x v="200"/>
    <x v="2"/>
    <s v="Phòng Đào tạo"/>
    <s v="Giảng viên"/>
    <s v="Nguyễn Thu Hằng"/>
    <d v="1990-05-03T00:00:00"/>
    <n v="30"/>
    <s v="Nữ"/>
    <s v="ĐH Quốc gia"/>
    <s v="Đại học"/>
    <s v="Hà Nội"/>
    <x v="0"/>
    <x v="0"/>
    <x v="0"/>
    <x v="0"/>
    <n v="1"/>
    <n v="1"/>
    <m/>
    <x v="0"/>
    <x v="0"/>
    <m/>
  </r>
  <r>
    <n v="477"/>
    <x v="200"/>
    <x v="2"/>
    <s v="Phòng kinh doanh"/>
    <s v="NV kinh doanh"/>
    <s v="Nguyễn Thị Anh Thư"/>
    <d v="1991-03-05T00:00:00"/>
    <n v="29"/>
    <s v="Nữ"/>
    <s v="HV ngân hàng"/>
    <s v="Cao đẳng"/>
    <s v="Hà Nội"/>
    <x v="0"/>
    <x v="0"/>
    <x v="0"/>
    <x v="0"/>
    <n v="1"/>
    <m/>
    <m/>
    <x v="0"/>
    <x v="0"/>
    <m/>
  </r>
  <r>
    <n v="478"/>
    <x v="200"/>
    <x v="2"/>
    <s v="Phòng kinh doanh"/>
    <s v="NV kinh doanh"/>
    <s v="Nguyễn Song Toàn"/>
    <d v="1990-02-15T00:00:00"/>
    <n v="30"/>
    <s v="Nam"/>
    <s v="Thương mại"/>
    <s v="Cao đẳng"/>
    <s v="Hà Nội"/>
    <x v="1"/>
    <x v="1"/>
    <x v="1"/>
    <x v="7"/>
    <n v="1"/>
    <n v="1"/>
    <n v="1"/>
    <x v="0"/>
    <x v="0"/>
    <m/>
  </r>
  <r>
    <n v="479"/>
    <x v="200"/>
    <x v="4"/>
    <s v="Phòng kinh doanh"/>
    <s v="NV kinh doanh"/>
    <s v="Nguyễn Quỳnh Trang"/>
    <d v="1991-03-05T00:00:00"/>
    <n v="29"/>
    <s v="Nữ"/>
    <s v="HV ngân hàng"/>
    <s v="Cao đẳng"/>
    <s v="Hưng Yên"/>
    <x v="1"/>
    <x v="1"/>
    <x v="2"/>
    <x v="4"/>
    <n v="1"/>
    <n v="1"/>
    <n v="1"/>
    <x v="1"/>
    <x v="56"/>
    <n v="200000"/>
  </r>
  <r>
    <n v="480"/>
    <x v="201"/>
    <x v="3"/>
    <s v="Phòng Đào tạo"/>
    <s v="Giảng viên"/>
    <s v="Phan Thị Liễu"/>
    <d v="1989-03-22T00:00:00"/>
    <n v="31"/>
    <s v="Nữ"/>
    <s v="FTU"/>
    <s v="Đại học"/>
    <s v="Hà Nội"/>
    <x v="1"/>
    <x v="4"/>
    <x v="0"/>
    <x v="0"/>
    <n v="1"/>
    <m/>
    <m/>
    <x v="0"/>
    <x v="0"/>
    <m/>
  </r>
  <r>
    <n v="481"/>
    <x v="201"/>
    <x v="2"/>
    <s v="Phòng Đào tạo"/>
    <s v="Giảng viên"/>
    <s v="Hoàng Thị Thanh Huyền"/>
    <d v="1994-11-14T00:00:00"/>
    <n v="25"/>
    <s v="Nữ"/>
    <s v="KTQD"/>
    <s v="Cao đẳng"/>
    <s v="Hà Nội"/>
    <x v="1"/>
    <x v="1"/>
    <x v="2"/>
    <x v="2"/>
    <n v="1"/>
    <m/>
    <m/>
    <x v="0"/>
    <x v="0"/>
    <n v="200000"/>
  </r>
  <r>
    <n v="482"/>
    <x v="202"/>
    <x v="4"/>
    <s v="Phòng kinh doanh"/>
    <s v="NV kinh doanh"/>
    <s v="Trần Gia Mạnh"/>
    <d v="1986-05-21T00:00:00"/>
    <n v="34"/>
    <s v="Nữ"/>
    <s v="FTU"/>
    <s v="Cao đẳng"/>
    <s v="Hà Nội"/>
    <x v="0"/>
    <x v="0"/>
    <x v="0"/>
    <x v="0"/>
    <n v="1"/>
    <m/>
    <m/>
    <x v="0"/>
    <x v="0"/>
    <m/>
  </r>
  <r>
    <n v="483"/>
    <x v="203"/>
    <x v="0"/>
    <s v="Phòng kinh doanh"/>
    <s v="NV kinh doanh"/>
    <s v="Trương Thanh Hằng"/>
    <d v="1991-06-20T00:00:00"/>
    <n v="29"/>
    <s v="Nữ"/>
    <s v="ĐH Quốc gia"/>
    <s v="Cao học"/>
    <s v="Hưng Yên"/>
    <x v="0"/>
    <x v="3"/>
    <x v="0"/>
    <x v="0"/>
    <n v="1"/>
    <m/>
    <m/>
    <x v="0"/>
    <x v="0"/>
    <m/>
  </r>
  <r>
    <n v="484"/>
    <x v="204"/>
    <x v="4"/>
    <s v="Phòng kinh doanh"/>
    <s v="NV kinh doanh"/>
    <s v="Vũ Thị Bích"/>
    <d v="1990-05-23T00:00:00"/>
    <n v="30"/>
    <s v="Nữ"/>
    <s v="ĐH Công nghiệp HCM"/>
    <s v="Cao học"/>
    <s v="Bắc Giang"/>
    <x v="1"/>
    <x v="2"/>
    <x v="3"/>
    <x v="0"/>
    <n v="1"/>
    <n v="1"/>
    <m/>
    <x v="0"/>
    <x v="0"/>
    <n v="100000"/>
  </r>
  <r>
    <n v="485"/>
    <x v="205"/>
    <x v="4"/>
    <s v="Phòng kinh doanh"/>
    <s v="NV kinh doanh"/>
    <s v="Lê Thị Hương Giang"/>
    <d v="1991-06-20T00:00:00"/>
    <n v="29"/>
    <s v="Nữ"/>
    <s v="FTU"/>
    <s v="Cao học"/>
    <s v="Nghệ An"/>
    <x v="0"/>
    <x v="0"/>
    <x v="0"/>
    <x v="0"/>
    <n v="1"/>
    <m/>
    <m/>
    <x v="0"/>
    <x v="0"/>
    <m/>
  </r>
  <r>
    <n v="486"/>
    <x v="205"/>
    <x v="1"/>
    <s v="Phòng hành chính nhân sự"/>
    <s v="Nhân viên C&amp;B"/>
    <s v="Phạm Thị Cẩm Trà"/>
    <d v="1990-05-23T00:00:00"/>
    <n v="30"/>
    <s v="Nữ"/>
    <s v="Kinh doanh công nghệ"/>
    <s v="Đại học"/>
    <s v="Nghệ An"/>
    <x v="1"/>
    <x v="1"/>
    <x v="1"/>
    <x v="1"/>
    <n v="1"/>
    <m/>
    <m/>
    <x v="0"/>
    <x v="0"/>
    <m/>
  </r>
  <r>
    <n v="487"/>
    <x v="206"/>
    <x v="2"/>
    <s v="Phòng Đào tạo"/>
    <s v="Giảng viên"/>
    <s v="Nguyễn Thu Hiền"/>
    <d v="1991-03-30T00:00:00"/>
    <n v="29"/>
    <s v="Nữ"/>
    <s v="FTU"/>
    <s v="Đại học"/>
    <s v="Hà Nội"/>
    <x v="1"/>
    <x v="1"/>
    <x v="1"/>
    <x v="1"/>
    <n v="1"/>
    <n v="1"/>
    <n v="1"/>
    <x v="1"/>
    <x v="57"/>
    <m/>
  </r>
  <r>
    <n v="488"/>
    <x v="206"/>
    <x v="3"/>
    <s v="Phòng Đào tạo"/>
    <s v="Giảng viên"/>
    <s v="Đặng Thị Thu Hương"/>
    <d v="1990-05-03T00:00:00"/>
    <n v="30"/>
    <s v="Nữ"/>
    <s v="Thương mại"/>
    <s v="Đại học"/>
    <s v="Hà Nội"/>
    <x v="1"/>
    <x v="1"/>
    <x v="2"/>
    <x v="4"/>
    <n v="1"/>
    <n v="1"/>
    <n v="1"/>
    <x v="1"/>
    <x v="58"/>
    <n v="200000"/>
  </r>
  <r>
    <n v="489"/>
    <x v="207"/>
    <x v="3"/>
    <s v="Phòng Đào tạo"/>
    <s v="Giảng viên"/>
    <s v="Nguyễn Mai Liên"/>
    <d v="1990-06-17T00:00:00"/>
    <n v="30"/>
    <s v="Nữ"/>
    <s v="Thương mại"/>
    <s v="Đại học"/>
    <s v="Hà Nội"/>
    <x v="1"/>
    <x v="2"/>
    <x v="3"/>
    <x v="0"/>
    <n v="1"/>
    <n v="1"/>
    <n v="1"/>
    <x v="0"/>
    <x v="0"/>
    <n v="100000"/>
  </r>
  <r>
    <n v="490"/>
    <x v="208"/>
    <x v="2"/>
    <s v="Phòng kinh doanh"/>
    <s v="NV kinh doanh"/>
    <s v="Lê Thùy Linh"/>
    <d v="1990-09-16T00:00:00"/>
    <n v="29"/>
    <s v="Nữ"/>
    <s v="FTU"/>
    <s v="Đại học"/>
    <s v="Nam Định"/>
    <x v="1"/>
    <x v="5"/>
    <x v="0"/>
    <x v="0"/>
    <n v="1"/>
    <m/>
    <m/>
    <x v="0"/>
    <x v="0"/>
    <m/>
  </r>
  <r>
    <n v="491"/>
    <x v="208"/>
    <x v="1"/>
    <s v="Phòng hành chính nhân sự"/>
    <s v="Nhân viên C&amp;B"/>
    <s v="Nguyễn Ngọc Quỳnh"/>
    <d v="1990-09-28T00:00:00"/>
    <n v="29"/>
    <s v="Nữ"/>
    <s v="Thương mại"/>
    <s v="Cao học"/>
    <s v="Hà Nội"/>
    <x v="1"/>
    <x v="1"/>
    <x v="2"/>
    <x v="2"/>
    <n v="1"/>
    <m/>
    <m/>
    <x v="0"/>
    <x v="0"/>
    <n v="200000"/>
  </r>
  <r>
    <n v="492"/>
    <x v="209"/>
    <x v="2"/>
    <s v="Phòng kinh doanh"/>
    <s v="NV kinh doanh"/>
    <s v="Nguyễn Thị Kiều"/>
    <d v="1990-02-15T00:00:00"/>
    <n v="30"/>
    <s v="Nữ"/>
    <s v="ĐH Công nghiệp HCM"/>
    <s v="Đại học"/>
    <s v="Vĩnh Phúc"/>
    <x v="1"/>
    <x v="2"/>
    <x v="3"/>
    <x v="0"/>
    <n v="1"/>
    <m/>
    <m/>
    <x v="0"/>
    <x v="0"/>
    <n v="100000"/>
  </r>
  <r>
    <n v="493"/>
    <x v="210"/>
    <x v="4"/>
    <s v="Phòng kinh doanh"/>
    <s v="NV kinh doanh"/>
    <s v="Lê Mai Linh"/>
    <d v="1993-08-14T00:00:00"/>
    <n v="27"/>
    <s v="Nữ"/>
    <s v="FTU"/>
    <s v="Đại học"/>
    <s v="Hà Nội"/>
    <x v="1"/>
    <x v="2"/>
    <x v="3"/>
    <x v="0"/>
    <n v="1"/>
    <n v="1"/>
    <m/>
    <x v="0"/>
    <x v="0"/>
    <n v="100000"/>
  </r>
  <r>
    <n v="494"/>
    <x v="210"/>
    <x v="3"/>
    <s v="Phòng Đào tạo"/>
    <s v="Giảng viên"/>
    <s v="Nguyễn Thu Hằng"/>
    <d v="1989-03-22T00:00:00"/>
    <n v="31"/>
    <s v="Nữ"/>
    <s v="Thăng Long"/>
    <s v="Cao học"/>
    <s v="Hà Nội"/>
    <x v="1"/>
    <x v="2"/>
    <x v="3"/>
    <x v="0"/>
    <n v="1"/>
    <n v="1"/>
    <n v="1"/>
    <x v="0"/>
    <x v="0"/>
    <n v="100000"/>
  </r>
  <r>
    <n v="495"/>
    <x v="210"/>
    <x v="4"/>
    <s v="Phòng kinh doanh"/>
    <s v="NV kinh doanh"/>
    <s v="Lê Mai Linh"/>
    <d v="1993-08-14T00:00:00"/>
    <n v="27"/>
    <s v="Nữ"/>
    <s v="FTU"/>
    <s v="Đại học"/>
    <s v="Hà Nội"/>
    <x v="1"/>
    <x v="2"/>
    <x v="3"/>
    <x v="0"/>
    <n v="1"/>
    <n v="1"/>
    <m/>
    <x v="0"/>
    <x v="0"/>
    <n v="100000"/>
  </r>
  <r>
    <n v="496"/>
    <x v="211"/>
    <x v="2"/>
    <s v="Phòng kinh doanh"/>
    <s v="NV kinh doanh"/>
    <s v="Lê Hà Linh"/>
    <d v="1991-08-26T00:00:00"/>
    <n v="29"/>
    <s v="Nữ"/>
    <s v="ĐH Mở"/>
    <s v="Đại học"/>
    <s v="Hà Nội"/>
    <x v="1"/>
    <x v="1"/>
    <x v="2"/>
    <x v="2"/>
    <n v="1"/>
    <m/>
    <m/>
    <x v="0"/>
    <x v="0"/>
    <n v="200000"/>
  </r>
  <r>
    <n v="497"/>
    <x v="212"/>
    <x v="0"/>
    <s v="Phòng kinh doanh"/>
    <s v="NV kinh doanh"/>
    <s v="Phạm Minh Trang"/>
    <d v="1990-06-17T00:00:00"/>
    <n v="30"/>
    <s v="Nữ"/>
    <s v="FTU"/>
    <s v="Đại học"/>
    <s v="Bắc Giang"/>
    <x v="1"/>
    <x v="1"/>
    <x v="1"/>
    <x v="4"/>
    <n v="1"/>
    <m/>
    <m/>
    <x v="0"/>
    <x v="0"/>
    <n v="200000"/>
  </r>
  <r>
    <n v="498"/>
    <x v="212"/>
    <x v="0"/>
    <s v="Phòng kinh doanh"/>
    <s v="NV kinh doanh"/>
    <s v="Đào Thị Lan"/>
    <d v="1989-02-19T00:00:00"/>
    <n v="31"/>
    <s v="Nữ"/>
    <s v="HV ngân hàng"/>
    <s v="Đại học"/>
    <s v="Hải Dương"/>
    <x v="1"/>
    <x v="1"/>
    <x v="1"/>
    <x v="3"/>
    <n v="1"/>
    <n v="1"/>
    <n v="1"/>
    <x v="1"/>
    <x v="59"/>
    <m/>
  </r>
  <r>
    <n v="499"/>
    <x v="213"/>
    <x v="2"/>
    <s v="Phòng Đào tạo"/>
    <s v="Giảng viên"/>
    <s v="Vũ Thị Thư"/>
    <d v="1991-12-01T00:00:00"/>
    <n v="28"/>
    <s v="Nữ"/>
    <s v="HV tài chính"/>
    <s v="Đại học"/>
    <s v="Hà Nội"/>
    <x v="1"/>
    <x v="4"/>
    <x v="0"/>
    <x v="0"/>
    <n v="1"/>
    <n v="1"/>
    <m/>
    <x v="0"/>
    <x v="0"/>
    <m/>
  </r>
  <r>
    <n v="500"/>
    <x v="214"/>
    <x v="1"/>
    <s v="Phòng hành chính nhân sự"/>
    <s v="Nhân viên C&amp;B"/>
    <s v="Vũ Thị Bích"/>
    <d v="1990-08-03T00:00:00"/>
    <n v="30"/>
    <s v="Nữ"/>
    <s v="HV ngân hàng"/>
    <s v="Đại học"/>
    <s v="Hà Nội"/>
    <x v="0"/>
    <x v="3"/>
    <x v="0"/>
    <x v="0"/>
    <n v="1"/>
    <m/>
    <m/>
    <x v="0"/>
    <x v="0"/>
    <m/>
  </r>
  <r>
    <n v="501"/>
    <x v="215"/>
    <x v="2"/>
    <s v="Phòng Đào tạo"/>
    <s v="Giảng viên"/>
    <s v="Lương Thị Hương Liên"/>
    <d v="1991-12-22T00:00:00"/>
    <n v="28"/>
    <s v="Nữ"/>
    <s v="ĐH Văn Hóa"/>
    <s v="Đại học"/>
    <s v="Hà Nội"/>
    <x v="1"/>
    <x v="1"/>
    <x v="1"/>
    <x v="4"/>
    <n v="1"/>
    <n v="1"/>
    <m/>
    <x v="0"/>
    <x v="0"/>
    <n v="200000"/>
  </r>
  <r>
    <n v="502"/>
    <x v="216"/>
    <x v="2"/>
    <s v="Phòng Đào tạo"/>
    <s v="Giảng viên"/>
    <s v="Nguyễn Thị Xuân Hạnh"/>
    <d v="1993-02-21T00:00:00"/>
    <n v="27"/>
    <s v="Nữ"/>
    <s v="FTU"/>
    <s v="Cao học"/>
    <s v="Hà Nội"/>
    <x v="1"/>
    <x v="1"/>
    <x v="2"/>
    <x v="5"/>
    <n v="1"/>
    <n v="1"/>
    <n v="1"/>
    <x v="1"/>
    <x v="60"/>
    <m/>
  </r>
  <r>
    <n v="503"/>
    <x v="217"/>
    <x v="2"/>
    <s v="Phòng kinh doanh"/>
    <s v="NV kinh doanh"/>
    <s v="Quản Thị Thùy Dương"/>
    <d v="1993-11-22T00:00:00"/>
    <n v="26"/>
    <s v="Nữ"/>
    <s v="FTU"/>
    <s v="Đại học"/>
    <s v="Hà Nội"/>
    <x v="1"/>
    <x v="5"/>
    <x v="0"/>
    <x v="0"/>
    <n v="1"/>
    <m/>
    <m/>
    <x v="0"/>
    <x v="0"/>
    <m/>
  </r>
  <r>
    <n v="504"/>
    <x v="217"/>
    <x v="1"/>
    <s v="Phòng hành chính nhân sự"/>
    <s v="Nhân viên C&amp;B"/>
    <s v="Đỗ Bích Liên"/>
    <d v="1990-06-17T00:00:00"/>
    <n v="30"/>
    <s v="Nữ"/>
    <s v="Thăng Long"/>
    <s v="Cao đẳng"/>
    <s v="Hà Nội"/>
    <x v="0"/>
    <x v="3"/>
    <x v="0"/>
    <x v="0"/>
    <n v="1"/>
    <n v="1"/>
    <m/>
    <x v="0"/>
    <x v="0"/>
    <m/>
  </r>
  <r>
    <n v="505"/>
    <x v="218"/>
    <x v="3"/>
    <s v="Phòng Đào tạo"/>
    <s v="Giảng viên"/>
    <s v="Phạm Thị Hà"/>
    <d v="1993-05-29T00:00:00"/>
    <n v="27"/>
    <s v="Nữ"/>
    <s v="HV tài chính"/>
    <s v="Cao học"/>
    <s v="Hà Nội"/>
    <x v="1"/>
    <x v="2"/>
    <x v="3"/>
    <x v="0"/>
    <n v="1"/>
    <m/>
    <m/>
    <x v="0"/>
    <x v="0"/>
    <n v="100000"/>
  </r>
  <r>
    <n v="506"/>
    <x v="218"/>
    <x v="0"/>
    <s v="Phòng kinh doanh"/>
    <s v="NV kinh doanh"/>
    <s v="Trịnh Văn Mạnh"/>
    <d v="1990-05-23T00:00:00"/>
    <n v="30"/>
    <s v="Nữ"/>
    <s v="Ngoại ngữ QG"/>
    <s v="Đại học"/>
    <s v="Hà Nội"/>
    <x v="1"/>
    <x v="1"/>
    <x v="2"/>
    <x v="6"/>
    <n v="1"/>
    <n v="1"/>
    <m/>
    <x v="0"/>
    <x v="0"/>
    <n v="100000"/>
  </r>
  <r>
    <n v="507"/>
    <x v="219"/>
    <x v="1"/>
    <s v="Phòng hành chính nhân sự"/>
    <s v="Nhân viên C&amp;B"/>
    <s v="Lê Thị Hương Giang"/>
    <d v="1989-03-22T00:00:00"/>
    <n v="31"/>
    <s v="Nữ"/>
    <s v="Ngoại ngữ QG"/>
    <s v="Đại học"/>
    <s v="Hà Nội"/>
    <x v="0"/>
    <x v="3"/>
    <x v="0"/>
    <x v="0"/>
    <n v="1"/>
    <m/>
    <m/>
    <x v="0"/>
    <x v="0"/>
    <m/>
  </r>
  <r>
    <n v="508"/>
    <x v="219"/>
    <x v="0"/>
    <s v="Phòng kinh doanh"/>
    <s v="NV kinh doanh"/>
    <s v="Đinh Thị Kim Huệ"/>
    <d v="1991-03-05T00:00:00"/>
    <n v="29"/>
    <s v="Nam"/>
    <s v="FTU"/>
    <s v="Cao đẳng"/>
    <s v="Bắc Giang"/>
    <x v="1"/>
    <x v="1"/>
    <x v="2"/>
    <x v="5"/>
    <n v="1"/>
    <n v="1"/>
    <m/>
    <x v="0"/>
    <x v="0"/>
    <n v="200000"/>
  </r>
  <r>
    <n v="509"/>
    <x v="219"/>
    <x v="0"/>
    <s v="Phòng kinh doanh"/>
    <s v="NV kinh doanh"/>
    <s v="Trần Gia Mạnh"/>
    <d v="1994-02-19T00:00:00"/>
    <n v="26"/>
    <s v="Nam"/>
    <s v="KTQD"/>
    <s v="Đại học"/>
    <s v="Nam Định"/>
    <x v="1"/>
    <x v="1"/>
    <x v="1"/>
    <x v="1"/>
    <n v="1"/>
    <n v="1"/>
    <n v="1"/>
    <x v="0"/>
    <x v="0"/>
    <m/>
  </r>
  <r>
    <n v="510"/>
    <x v="219"/>
    <x v="2"/>
    <s v="Phòng kinh doanh"/>
    <s v="NV kinh doanh"/>
    <s v="Nguyễn Thị Thanh Hằng"/>
    <d v="1992-03-04T00:00:00"/>
    <n v="28"/>
    <s v="Nữ"/>
    <s v="FTU"/>
    <s v="Đại học"/>
    <s v="Bắc Giang"/>
    <x v="1"/>
    <x v="1"/>
    <x v="2"/>
    <x v="6"/>
    <n v="1"/>
    <n v="1"/>
    <m/>
    <x v="0"/>
    <x v="0"/>
    <n v="120000"/>
  </r>
  <r>
    <n v="511"/>
    <x v="220"/>
    <x v="2"/>
    <s v="Phòng Đào tạo"/>
    <s v="Giảng viên"/>
    <s v="Nguyễn Thị Xuân Hạnh"/>
    <d v="1990-09-28T00:00:00"/>
    <n v="29"/>
    <s v="Nam"/>
    <s v="FTU"/>
    <s v="Đại học"/>
    <s v="Bắc Giang"/>
    <x v="1"/>
    <x v="5"/>
    <x v="0"/>
    <x v="0"/>
    <n v="1"/>
    <m/>
    <m/>
    <x v="0"/>
    <x v="0"/>
    <m/>
  </r>
  <r>
    <n v="512"/>
    <x v="220"/>
    <x v="4"/>
    <s v="Phòng kinh doanh"/>
    <s v="NV kinh doanh"/>
    <s v="Trương Thanh Hằng"/>
    <d v="1995-11-05T00:00:00"/>
    <n v="24"/>
    <s v="Nữ"/>
    <s v="Đại Nam"/>
    <s v="Đại học"/>
    <s v="Hà Nội"/>
    <x v="1"/>
    <x v="2"/>
    <x v="3"/>
    <x v="0"/>
    <n v="1"/>
    <n v="1"/>
    <n v="1"/>
    <x v="0"/>
    <x v="0"/>
    <n v="100000"/>
  </r>
  <r>
    <n v="513"/>
    <x v="220"/>
    <x v="3"/>
    <s v="Phòng Đào tạo"/>
    <s v="Giảng viên"/>
    <s v="Phạm Thị Thanh Mai"/>
    <d v="1993-09-19T00:00:00"/>
    <n v="26"/>
    <s v="Nữ"/>
    <s v="KTQD"/>
    <s v="Đại học"/>
    <s v="Hà Nội"/>
    <x v="1"/>
    <x v="1"/>
    <x v="1"/>
    <x v="1"/>
    <n v="1"/>
    <m/>
    <m/>
    <x v="0"/>
    <x v="0"/>
    <m/>
  </r>
  <r>
    <n v="514"/>
    <x v="220"/>
    <x v="2"/>
    <s v="Phòng kinh doanh"/>
    <s v="NV kinh doanh"/>
    <s v="Nguyễn Mai Liên"/>
    <d v="1989-03-22T00:00:00"/>
    <n v="31"/>
    <s v="Nữ"/>
    <s v="Thương mại"/>
    <s v="Cao học"/>
    <s v="Hà Nội"/>
    <x v="1"/>
    <x v="1"/>
    <x v="1"/>
    <x v="1"/>
    <n v="1"/>
    <n v="1"/>
    <n v="1"/>
    <x v="1"/>
    <x v="61"/>
    <m/>
  </r>
  <r>
    <n v="515"/>
    <x v="221"/>
    <x v="4"/>
    <s v="Phòng kinh doanh"/>
    <s v="NV kinh doanh"/>
    <s v="Bùi Thị Thanh Hoài"/>
    <d v="1991-12-05T00:00:00"/>
    <n v="28"/>
    <s v="Nữ"/>
    <s v="FTU"/>
    <s v="Đại học"/>
    <s v="Bắc Giang"/>
    <x v="1"/>
    <x v="1"/>
    <x v="1"/>
    <x v="1"/>
    <n v="1"/>
    <n v="1"/>
    <m/>
    <x v="0"/>
    <x v="0"/>
    <m/>
  </r>
  <r>
    <n v="516"/>
    <x v="221"/>
    <x v="2"/>
    <s v="Phòng Đào tạo"/>
    <s v="Giảng viên"/>
    <s v="Bùi Thị Quế"/>
    <d v="1991-06-20T00:00:00"/>
    <n v="29"/>
    <s v="Nữ"/>
    <s v="HV ngân hàng"/>
    <s v="Cao đẳng"/>
    <s v="Nam Định"/>
    <x v="1"/>
    <x v="1"/>
    <x v="2"/>
    <x v="4"/>
    <n v="1"/>
    <m/>
    <m/>
    <x v="0"/>
    <x v="0"/>
    <n v="200000"/>
  </r>
  <r>
    <n v="517"/>
    <x v="222"/>
    <x v="3"/>
    <s v="Phòng Đào tạo"/>
    <s v="Giảng viên"/>
    <s v="Nguyễn Thị Kiều"/>
    <d v="1991-06-20T00:00:00"/>
    <n v="29"/>
    <s v="Nữ"/>
    <s v="FTU"/>
    <s v="Đại học"/>
    <s v="Hà Nội"/>
    <x v="0"/>
    <x v="0"/>
    <x v="0"/>
    <x v="0"/>
    <n v="1"/>
    <m/>
    <m/>
    <x v="0"/>
    <x v="0"/>
    <m/>
  </r>
  <r>
    <n v="518"/>
    <x v="222"/>
    <x v="0"/>
    <s v="Phòng kinh doanh"/>
    <s v="NV kinh doanh"/>
    <s v="Trịnh Văn Mạnh"/>
    <d v="1992-08-24T00:00:00"/>
    <n v="28"/>
    <s v="Nam"/>
    <s v="ĐH Kinh tế QG"/>
    <s v="Đại học"/>
    <s v="Thanh Hóa"/>
    <x v="1"/>
    <x v="4"/>
    <x v="0"/>
    <x v="0"/>
    <n v="1"/>
    <n v="1"/>
    <m/>
    <x v="0"/>
    <x v="0"/>
    <m/>
  </r>
  <r>
    <n v="519"/>
    <x v="222"/>
    <x v="0"/>
    <s v="Phòng kinh doanh"/>
    <s v="NV kinh doanh"/>
    <s v="Vũ Ngọc Linh"/>
    <d v="1994-07-27T00:00:00"/>
    <n v="26"/>
    <s v="Nữ"/>
    <s v="FTU"/>
    <s v="Cao đẳng"/>
    <s v="Nam Định"/>
    <x v="1"/>
    <x v="5"/>
    <x v="0"/>
    <x v="0"/>
    <n v="1"/>
    <n v="1"/>
    <n v="1"/>
    <x v="0"/>
    <x v="0"/>
    <n v="122000"/>
  </r>
  <r>
    <n v="520"/>
    <x v="222"/>
    <x v="1"/>
    <s v="Phòng hành chính nhân sự"/>
    <s v="Nhân viên C&amp;B"/>
    <s v="Nguyễn Thị Trang"/>
    <d v="1990-09-28T00:00:00"/>
    <n v="29"/>
    <s v="Nữ"/>
    <s v="FTU"/>
    <s v="Đại học"/>
    <s v="Nam Định"/>
    <x v="0"/>
    <x v="0"/>
    <x v="0"/>
    <x v="0"/>
    <n v="1"/>
    <n v="1"/>
    <n v="1"/>
    <x v="1"/>
    <x v="58"/>
    <n v="500000"/>
  </r>
  <r>
    <n v="521"/>
    <x v="223"/>
    <x v="1"/>
    <s v="Phòng hành chính nhân sự"/>
    <s v="Nhân viên C&amp;B"/>
    <s v="Dương Thị Tuyết"/>
    <d v="1992-09-21T00:00:00"/>
    <n v="27"/>
    <s v="Nữ"/>
    <s v="HV tài chính"/>
    <s v="Cao đẳng"/>
    <s v="Hà Nội"/>
    <x v="0"/>
    <x v="3"/>
    <x v="0"/>
    <x v="0"/>
    <n v="1"/>
    <n v="1"/>
    <m/>
    <x v="0"/>
    <x v="0"/>
    <m/>
  </r>
  <r>
    <n v="522"/>
    <x v="223"/>
    <x v="1"/>
    <s v="Phòng hành chính nhân sự"/>
    <s v="Nhân viên C&amp;B"/>
    <s v="Đoàn Hoàng Linh"/>
    <d v="1991-07-10T00:00:00"/>
    <n v="29"/>
    <s v="Nam"/>
    <s v="Mỏ địa chất"/>
    <s v="Đại học"/>
    <s v="Hà Nội"/>
    <x v="0"/>
    <x v="0"/>
    <x v="0"/>
    <x v="0"/>
    <n v="1"/>
    <m/>
    <m/>
    <x v="0"/>
    <x v="0"/>
    <m/>
  </r>
  <r>
    <n v="523"/>
    <x v="223"/>
    <x v="4"/>
    <s v="Phòng kinh doanh"/>
    <s v="NV kinh doanh"/>
    <s v="Nguyễn Thu Hằng"/>
    <d v="1990-05-03T00:00:00"/>
    <n v="30"/>
    <s v="Nữ"/>
    <s v="ĐH Quốc gia"/>
    <s v="Đại học"/>
    <s v="Hà Nội"/>
    <x v="0"/>
    <x v="0"/>
    <x v="0"/>
    <x v="0"/>
    <n v="1"/>
    <n v="1"/>
    <n v="1"/>
    <x v="0"/>
    <x v="0"/>
    <m/>
  </r>
  <r>
    <n v="524"/>
    <x v="223"/>
    <x v="0"/>
    <s v="Phòng kinh doanh"/>
    <s v="NV kinh doanh"/>
    <s v="Lê Mai Linh"/>
    <d v="1991-03-05T00:00:00"/>
    <n v="29"/>
    <s v="Nữ"/>
    <s v="ĐH Văn Hóa"/>
    <s v="Cao đẳng"/>
    <s v="Hà Nội"/>
    <x v="0"/>
    <x v="3"/>
    <x v="0"/>
    <x v="0"/>
    <n v="1"/>
    <n v="1"/>
    <n v="1"/>
    <x v="0"/>
    <x v="0"/>
    <m/>
  </r>
  <r>
    <n v="525"/>
    <x v="223"/>
    <x v="1"/>
    <s v="Phòng hành chính nhân sự"/>
    <s v="Nhân viên C&amp;B"/>
    <s v="Dương Thị Tuyết"/>
    <d v="1992-09-21T00:00:00"/>
    <n v="27"/>
    <s v="Nữ"/>
    <s v="HV tài chính"/>
    <s v="Cao đẳng"/>
    <s v="Hà Nội"/>
    <x v="0"/>
    <x v="3"/>
    <x v="0"/>
    <x v="0"/>
    <n v="1"/>
    <n v="1"/>
    <m/>
    <x v="0"/>
    <x v="0"/>
    <m/>
  </r>
  <r>
    <n v="526"/>
    <x v="223"/>
    <x v="1"/>
    <s v="Phòng hành chính nhân sự"/>
    <s v="Nhân viên C&amp;B"/>
    <s v="Đoàn Hoàng Linh"/>
    <d v="1991-07-10T00:00:00"/>
    <n v="29"/>
    <s v="Nam"/>
    <s v="Mỏ địa chất"/>
    <s v="Đại học"/>
    <s v="Hà Nội"/>
    <x v="0"/>
    <x v="0"/>
    <x v="0"/>
    <x v="0"/>
    <n v="1"/>
    <m/>
    <m/>
    <x v="0"/>
    <x v="0"/>
    <m/>
  </r>
  <r>
    <n v="527"/>
    <x v="223"/>
    <x v="4"/>
    <s v="Phòng kinh doanh"/>
    <s v="NV kinh doanh"/>
    <s v="Nguyễn Thu Hằng"/>
    <d v="1990-05-03T00:00:00"/>
    <n v="30"/>
    <s v="Nữ"/>
    <s v="ĐH Quốc gia"/>
    <s v="Đại học"/>
    <s v="Hà Nội"/>
    <x v="0"/>
    <x v="0"/>
    <x v="0"/>
    <x v="0"/>
    <n v="1"/>
    <n v="1"/>
    <n v="1"/>
    <x v="0"/>
    <x v="0"/>
    <m/>
  </r>
  <r>
    <n v="528"/>
    <x v="223"/>
    <x v="0"/>
    <s v="Phòng kinh doanh"/>
    <s v="NV kinh doanh"/>
    <s v="Lê Mai Linh"/>
    <d v="1991-03-05T00:00:00"/>
    <n v="29"/>
    <s v="Nữ"/>
    <s v="ĐH Văn Hóa"/>
    <s v="Cao đẳng"/>
    <s v="Hà Nội"/>
    <x v="0"/>
    <x v="3"/>
    <x v="0"/>
    <x v="0"/>
    <n v="1"/>
    <n v="1"/>
    <n v="1"/>
    <x v="0"/>
    <x v="0"/>
    <m/>
  </r>
  <r>
    <n v="529"/>
    <x v="223"/>
    <x v="2"/>
    <s v="Phòng Đào tạo"/>
    <s v="Giảng viên"/>
    <s v="Nguyễn Song Toàn"/>
    <d v="1990-02-15T00:00:00"/>
    <n v="30"/>
    <s v="Nam"/>
    <s v="Thương mại"/>
    <s v="Cao đẳng"/>
    <s v="Hà Nội"/>
    <x v="1"/>
    <x v="1"/>
    <x v="1"/>
    <x v="7"/>
    <n v="1"/>
    <n v="1"/>
    <n v="1"/>
    <x v="0"/>
    <x v="0"/>
    <n v="100000"/>
  </r>
  <r>
    <n v="530"/>
    <x v="223"/>
    <x v="1"/>
    <s v="Phòng hành chính nhân sự"/>
    <s v="Nhân viên C&amp;B"/>
    <s v="Nguyễn Quỳnh Trang"/>
    <d v="1991-03-05T00:00:00"/>
    <n v="29"/>
    <s v="Nữ"/>
    <s v="HV ngân hàng"/>
    <s v="Cao đẳng"/>
    <s v="Hưng Yên"/>
    <x v="1"/>
    <x v="1"/>
    <x v="2"/>
    <x v="4"/>
    <n v="1"/>
    <n v="1"/>
    <n v="1"/>
    <x v="1"/>
    <x v="62"/>
    <n v="200000"/>
  </r>
  <r>
    <n v="531"/>
    <x v="224"/>
    <x v="2"/>
    <s v="Phòng kinh doanh"/>
    <s v="NV kinh doanh"/>
    <s v="Phan Thị Liễu"/>
    <d v="1989-03-22T00:00:00"/>
    <n v="31"/>
    <s v="Nữ"/>
    <s v="FTU"/>
    <s v="Đại học"/>
    <s v="Hà Nội"/>
    <x v="1"/>
    <x v="4"/>
    <x v="0"/>
    <x v="0"/>
    <n v="1"/>
    <m/>
    <m/>
    <x v="0"/>
    <x v="0"/>
    <m/>
  </r>
  <r>
    <n v="532"/>
    <x v="224"/>
    <x v="2"/>
    <s v="Phòng Đào tạo"/>
    <s v="Giảng viên"/>
    <s v="Hoàng Thị Thanh Huyền"/>
    <d v="1994-11-14T00:00:00"/>
    <n v="25"/>
    <s v="Nữ"/>
    <s v="KTQD"/>
    <s v="Cao đẳng"/>
    <s v="Hà Nội"/>
    <x v="1"/>
    <x v="1"/>
    <x v="2"/>
    <x v="2"/>
    <n v="1"/>
    <m/>
    <m/>
    <x v="0"/>
    <x v="0"/>
    <n v="120000"/>
  </r>
  <r>
    <n v="533"/>
    <x v="225"/>
    <x v="3"/>
    <s v="Phòng Đào tạo"/>
    <s v="Giảng viên"/>
    <s v="Trần Gia Mạnh"/>
    <d v="1986-05-21T00:00:00"/>
    <n v="34"/>
    <s v="Nữ"/>
    <s v="FTU"/>
    <s v="Cao đẳng"/>
    <s v="Hà Nội"/>
    <x v="0"/>
    <x v="3"/>
    <x v="0"/>
    <x v="0"/>
    <n v="1"/>
    <n v="1"/>
    <m/>
    <x v="0"/>
    <x v="0"/>
    <m/>
  </r>
  <r>
    <n v="534"/>
    <x v="226"/>
    <x v="4"/>
    <s v="Phòng kinh doanh"/>
    <s v="NV kinh doanh"/>
    <s v="Trương Thanh Hằng"/>
    <d v="1991-06-20T00:00:00"/>
    <n v="29"/>
    <s v="Nữ"/>
    <s v="ĐH Quốc gia"/>
    <s v="Cao học"/>
    <s v="Hưng Yên"/>
    <x v="0"/>
    <x v="3"/>
    <x v="0"/>
    <x v="0"/>
    <n v="1"/>
    <m/>
    <m/>
    <x v="0"/>
    <x v="0"/>
    <m/>
  </r>
  <r>
    <n v="535"/>
    <x v="227"/>
    <x v="4"/>
    <s v="Phòng kinh doanh"/>
    <s v="NV kinh doanh"/>
    <s v="Vũ Thị Bích"/>
    <d v="1990-05-23T00:00:00"/>
    <n v="30"/>
    <s v="Nữ"/>
    <s v="ĐH Công nghiệp HCM"/>
    <s v="Cao học"/>
    <s v="Bắc Giang"/>
    <x v="1"/>
    <x v="2"/>
    <x v="3"/>
    <x v="0"/>
    <n v="1"/>
    <n v="1"/>
    <n v="1"/>
    <x v="1"/>
    <x v="61"/>
    <n v="150000"/>
  </r>
  <r>
    <n v="536"/>
    <x v="228"/>
    <x v="1"/>
    <s v="Phòng Marketing"/>
    <s v="Nhân viên thiết kế"/>
    <s v="Phạm Thị Cẩm Trà"/>
    <d v="1990-05-23T00:00:00"/>
    <n v="30"/>
    <s v="Nữ"/>
    <s v="Kinh doanh công nghệ"/>
    <s v="Đại học"/>
    <s v="Nghệ An"/>
    <x v="1"/>
    <x v="1"/>
    <x v="1"/>
    <x v="1"/>
    <n v="1"/>
    <m/>
    <m/>
    <x v="0"/>
    <x v="0"/>
    <m/>
  </r>
  <r>
    <n v="537"/>
    <x v="229"/>
    <x v="1"/>
    <s v="Phòng Marketing"/>
    <s v="Nhân viên thiết kế"/>
    <s v="Đặng Thị Thu Hương"/>
    <d v="1990-05-03T00:00:00"/>
    <n v="30"/>
    <s v="Nữ"/>
    <s v="Thương mại"/>
    <s v="Đại học"/>
    <s v="Hà Nội"/>
    <x v="1"/>
    <x v="2"/>
    <x v="3"/>
    <x v="0"/>
    <n v="1"/>
    <n v="1"/>
    <m/>
    <x v="0"/>
    <x v="0"/>
    <n v="100000"/>
  </r>
  <r>
    <n v="538"/>
    <x v="229"/>
    <x v="2"/>
    <s v="Phòng kinh doanh"/>
    <s v="NV kinh doanh"/>
    <s v="Nguyễn Thu Hiền"/>
    <d v="1991-03-30T00:00:00"/>
    <n v="29"/>
    <s v="Nữ"/>
    <s v="FTU"/>
    <s v="Đại học"/>
    <s v="Hà Nội"/>
    <x v="1"/>
    <x v="1"/>
    <x v="1"/>
    <x v="1"/>
    <n v="1"/>
    <n v="1"/>
    <n v="1"/>
    <x v="1"/>
    <x v="63"/>
    <m/>
  </r>
  <r>
    <n v="539"/>
    <x v="230"/>
    <x v="4"/>
    <s v="Phòng kinh doanh"/>
    <s v="NV kinh doanh"/>
    <s v="Nguyễn Mai Liên"/>
    <d v="1990-06-17T00:00:00"/>
    <n v="30"/>
    <s v="Nữ"/>
    <s v="Thương mại"/>
    <s v="Đại học"/>
    <s v="Hà Nội"/>
    <x v="1"/>
    <x v="2"/>
    <x v="3"/>
    <x v="0"/>
    <n v="1"/>
    <n v="1"/>
    <m/>
    <x v="0"/>
    <x v="0"/>
    <n v="100000"/>
  </r>
  <r>
    <n v="540"/>
    <x v="231"/>
    <x v="0"/>
    <s v="Phòng kinh doanh"/>
    <s v="NV kinh doanh"/>
    <s v="Lê Thùy Linh"/>
    <d v="1990-09-16T00:00:00"/>
    <n v="29"/>
    <s v="Nữ"/>
    <s v="FTU"/>
    <s v="Đại học"/>
    <s v="Nam Định"/>
    <x v="1"/>
    <x v="5"/>
    <x v="0"/>
    <x v="0"/>
    <n v="1"/>
    <m/>
    <m/>
    <x v="0"/>
    <x v="0"/>
    <m/>
  </r>
  <r>
    <n v="541"/>
    <x v="231"/>
    <x v="2"/>
    <s v="Phòng kinh doanh"/>
    <s v="NV kinh doanh"/>
    <s v="Nguyễn Ngọc Quỳnh"/>
    <d v="1990-09-28T00:00:00"/>
    <n v="29"/>
    <s v="Nữ"/>
    <s v="Thương mại"/>
    <s v="Cao học"/>
    <s v="Hà Nội"/>
    <x v="1"/>
    <x v="1"/>
    <x v="1"/>
    <x v="1"/>
    <n v="1"/>
    <m/>
    <m/>
    <x v="0"/>
    <x v="0"/>
    <m/>
  </r>
  <r>
    <n v="542"/>
    <x v="232"/>
    <x v="4"/>
    <s v="Phòng kinh doanh"/>
    <s v="NV kinh doanh"/>
    <s v="Nguyễn Thị Kiều"/>
    <d v="1990-02-15T00:00:00"/>
    <n v="30"/>
    <s v="Nữ"/>
    <s v="ĐH Công nghiệp HCM"/>
    <s v="Đại học"/>
    <s v="Vĩnh Phúc"/>
    <x v="1"/>
    <x v="2"/>
    <x v="3"/>
    <x v="0"/>
    <n v="1"/>
    <m/>
    <m/>
    <x v="0"/>
    <x v="0"/>
    <n v="100000"/>
  </r>
  <r>
    <n v="543"/>
    <x v="233"/>
    <x v="0"/>
    <s v="Phòng kinh doanh"/>
    <s v="NV kinh doanh"/>
    <s v="Lê Mai Linh"/>
    <d v="1993-08-14T00:00:00"/>
    <n v="27"/>
    <s v="Nữ"/>
    <s v="FTU"/>
    <s v="Đại học"/>
    <s v="Hà Nội"/>
    <x v="1"/>
    <x v="2"/>
    <x v="3"/>
    <x v="0"/>
    <n v="1"/>
    <n v="1"/>
    <m/>
    <x v="0"/>
    <x v="0"/>
    <n v="100000"/>
  </r>
  <r>
    <n v="544"/>
    <x v="233"/>
    <x v="0"/>
    <s v="Phòng kinh doanh"/>
    <s v="NV kinh doanh"/>
    <s v="Nguyễn Thu Hằng"/>
    <d v="1989-03-22T00:00:00"/>
    <n v="31"/>
    <s v="Nữ"/>
    <s v="Thăng Long"/>
    <s v="Cao học"/>
    <s v="Hà Nội"/>
    <x v="1"/>
    <x v="2"/>
    <x v="3"/>
    <x v="0"/>
    <n v="1"/>
    <n v="1"/>
    <m/>
    <x v="0"/>
    <x v="0"/>
    <n v="100000"/>
  </r>
  <r>
    <n v="545"/>
    <x v="233"/>
    <x v="0"/>
    <s v="Phòng kinh doanh"/>
    <s v="NV kinh doanh"/>
    <s v="Lê Mai Linh"/>
    <d v="1993-08-14T00:00:00"/>
    <n v="27"/>
    <s v="Nữ"/>
    <s v="FTU"/>
    <s v="Đại học"/>
    <s v="Hà Nội"/>
    <x v="1"/>
    <x v="2"/>
    <x v="3"/>
    <x v="0"/>
    <n v="1"/>
    <n v="1"/>
    <m/>
    <x v="0"/>
    <x v="0"/>
    <n v="100000"/>
  </r>
  <r>
    <n v="546"/>
    <x v="234"/>
    <x v="3"/>
    <s v="Phòng Đào tạo"/>
    <s v="Giảng viên"/>
    <s v="Lê Hà Linh"/>
    <d v="1991-08-26T00:00:00"/>
    <n v="29"/>
    <s v="Nữ"/>
    <s v="ĐH Mở"/>
    <s v="Đại học"/>
    <s v="Hà Nội"/>
    <x v="1"/>
    <x v="1"/>
    <x v="2"/>
    <x v="2"/>
    <n v="1"/>
    <n v="1"/>
    <m/>
    <x v="0"/>
    <x v="0"/>
    <n v="200000"/>
  </r>
  <r>
    <n v="547"/>
    <x v="235"/>
    <x v="0"/>
    <s v="Phòng kinh doanh"/>
    <s v="NV kinh doanh"/>
    <s v="Phạm Minh Trang"/>
    <d v="1990-06-17T00:00:00"/>
    <n v="30"/>
    <s v="Nữ"/>
    <s v="FTU"/>
    <s v="Đại học"/>
    <s v="Bắc Giang"/>
    <x v="1"/>
    <x v="1"/>
    <x v="1"/>
    <x v="4"/>
    <n v="1"/>
    <m/>
    <m/>
    <x v="0"/>
    <x v="0"/>
    <n v="200000"/>
  </r>
  <r>
    <n v="548"/>
    <x v="236"/>
    <x v="3"/>
    <s v="Phòng Đào tạo"/>
    <s v="Giảng viên"/>
    <s v="Vũ Thị Thư"/>
    <d v="1991-12-01T00:00:00"/>
    <n v="28"/>
    <s v="Nữ"/>
    <s v="HV tài chính"/>
    <s v="Đại học"/>
    <s v="Hà Nội"/>
    <x v="1"/>
    <x v="4"/>
    <x v="0"/>
    <x v="0"/>
    <n v="1"/>
    <n v="1"/>
    <n v="1"/>
    <x v="1"/>
    <x v="64"/>
    <n v="5000000"/>
  </r>
  <r>
    <n v="549"/>
    <x v="237"/>
    <x v="3"/>
    <s v="Phòng Đào tạo"/>
    <s v="Giảng viên"/>
    <s v="Vũ Thị Bích"/>
    <d v="1990-08-03T00:00:00"/>
    <n v="30"/>
    <s v="Nữ"/>
    <s v="HV ngân hàng"/>
    <s v="Đại học"/>
    <s v="Hà Nội"/>
    <x v="0"/>
    <x v="3"/>
    <x v="0"/>
    <x v="0"/>
    <n v="1"/>
    <m/>
    <m/>
    <x v="0"/>
    <x v="0"/>
    <m/>
  </r>
  <r>
    <n v="550"/>
    <x v="238"/>
    <x v="4"/>
    <s v="Phòng kinh doanh"/>
    <s v="NV kinh doanh"/>
    <s v="Lương Thị Hương Liên"/>
    <d v="1991-12-22T00:00:00"/>
    <n v="28"/>
    <s v="Nữ"/>
    <s v="ĐH Văn Hóa"/>
    <s v="Đại học"/>
    <s v="Hà Nội"/>
    <x v="1"/>
    <x v="1"/>
    <x v="2"/>
    <x v="4"/>
    <n v="1"/>
    <n v="1"/>
    <n v="1"/>
    <x v="1"/>
    <x v="65"/>
    <n v="200000"/>
  </r>
  <r>
    <n v="551"/>
    <x v="239"/>
    <x v="0"/>
    <s v="Phòng kinh doanh"/>
    <s v="NV kinh doanh"/>
    <s v="Nguyễn Thị Xuân Hạnh"/>
    <d v="1993-02-21T00:00:00"/>
    <n v="27"/>
    <s v="Nữ"/>
    <s v="FTU"/>
    <s v="Cao học"/>
    <s v="Hà Nội"/>
    <x v="1"/>
    <x v="1"/>
    <x v="2"/>
    <x v="5"/>
    <n v="1"/>
    <n v="1"/>
    <n v="1"/>
    <x v="1"/>
    <x v="66"/>
    <m/>
  </r>
  <r>
    <n v="552"/>
    <x v="240"/>
    <x v="2"/>
    <s v="Phòng kinh doanh"/>
    <s v="NV kinh doanh"/>
    <s v="Quản Thị Thùy Dương"/>
    <d v="1993-11-22T00:00:00"/>
    <n v="26"/>
    <s v="Nữ"/>
    <s v="FTU"/>
    <s v="Đại học"/>
    <s v="Hà Nội"/>
    <x v="1"/>
    <x v="5"/>
    <x v="0"/>
    <x v="0"/>
    <n v="1"/>
    <m/>
    <m/>
    <x v="0"/>
    <x v="0"/>
    <m/>
  </r>
  <r>
    <n v="553"/>
    <x v="241"/>
    <x v="3"/>
    <s v="Phòng Đào tạo"/>
    <s v="Giảng viên"/>
    <s v="Phạm Thị Hà"/>
    <d v="1993-05-29T00:00:00"/>
    <n v="27"/>
    <s v="Nữ"/>
    <s v="HV tài chính"/>
    <s v="Cao học"/>
    <s v="Hà Nội"/>
    <x v="1"/>
    <x v="2"/>
    <x v="3"/>
    <x v="0"/>
    <n v="1"/>
    <m/>
    <m/>
    <x v="0"/>
    <x v="0"/>
    <m/>
  </r>
  <r>
    <n v="554"/>
    <x v="241"/>
    <x v="1"/>
    <s v="Phòng Marketing"/>
    <s v="Nhân viên thiết kế"/>
    <s v="Trịnh Văn Mạnh"/>
    <d v="1990-05-23T00:00:00"/>
    <n v="30"/>
    <s v="Nữ"/>
    <s v="Ngoại ngữ QG"/>
    <s v="Đại học"/>
    <s v="Hà Nội"/>
    <x v="1"/>
    <x v="1"/>
    <x v="2"/>
    <x v="6"/>
    <n v="1"/>
    <n v="1"/>
    <m/>
    <x v="0"/>
    <x v="0"/>
    <n v="150000"/>
  </r>
  <r>
    <n v="555"/>
    <x v="242"/>
    <x v="1"/>
    <s v="Phòng Marketing"/>
    <s v="Nhân viên thiết kế"/>
    <s v="Trần Gia Mạnh"/>
    <d v="1994-02-19T00:00:00"/>
    <n v="26"/>
    <s v="Nam"/>
    <s v="KTQD"/>
    <s v="Đại học"/>
    <s v="Nam Định"/>
    <x v="1"/>
    <x v="1"/>
    <x v="2"/>
    <x v="2"/>
    <n v="1"/>
    <n v="1"/>
    <m/>
    <x v="0"/>
    <x v="0"/>
    <n v="200000"/>
  </r>
  <r>
    <n v="556"/>
    <x v="242"/>
    <x v="1"/>
    <s v="Phòng Marketing"/>
    <s v="Nhân viên thiết kế"/>
    <s v="Nguyễn Thị Thanh Hằng"/>
    <d v="1992-03-04T00:00:00"/>
    <n v="28"/>
    <s v="Nữ"/>
    <s v="FTU"/>
    <s v="Đại học"/>
    <s v="Bắc Giang"/>
    <x v="1"/>
    <x v="1"/>
    <x v="2"/>
    <x v="6"/>
    <n v="1"/>
    <n v="1"/>
    <m/>
    <x v="0"/>
    <x v="0"/>
    <n v="150000"/>
  </r>
  <r>
    <n v="557"/>
    <x v="243"/>
    <x v="2"/>
    <s v="Phòng kinh doanh"/>
    <s v="NV kinh doanh"/>
    <s v="Phạm Thị Thanh Mai"/>
    <d v="1993-09-19T00:00:00"/>
    <n v="26"/>
    <s v="Nữ"/>
    <s v="KTQD"/>
    <s v="Đại học"/>
    <s v="Hà Nội"/>
    <x v="1"/>
    <x v="2"/>
    <x v="3"/>
    <x v="0"/>
    <n v="1"/>
    <m/>
    <m/>
    <x v="0"/>
    <x v="0"/>
    <m/>
  </r>
  <r>
    <n v="558"/>
    <x v="243"/>
    <x v="2"/>
    <s v="Phòng kinh doanh"/>
    <s v="NV kinh doanh"/>
    <s v="Trương Thanh Hằng"/>
    <d v="1995-11-05T00:00:00"/>
    <n v="24"/>
    <s v="Nữ"/>
    <s v="Đại Nam"/>
    <s v="Đại học"/>
    <s v="Hà Nội"/>
    <x v="1"/>
    <x v="2"/>
    <x v="3"/>
    <x v="0"/>
    <n v="1"/>
    <n v="1"/>
    <m/>
    <x v="0"/>
    <x v="0"/>
    <n v="100000"/>
  </r>
  <r>
    <n v="559"/>
    <x v="243"/>
    <x v="4"/>
    <s v="Phòng kinh doanh"/>
    <s v="NV kinh doanh"/>
    <s v="Nguyễn Mai Liên"/>
    <d v="1989-03-22T00:00:00"/>
    <n v="31"/>
    <s v="Nữ"/>
    <s v="Thương mại"/>
    <s v="Cao học"/>
    <s v="Hà Nội"/>
    <x v="1"/>
    <x v="1"/>
    <x v="1"/>
    <x v="1"/>
    <n v="1"/>
    <n v="1"/>
    <n v="1"/>
    <x v="1"/>
    <x v="67"/>
    <m/>
  </r>
  <r>
    <n v="560"/>
    <x v="244"/>
    <x v="3"/>
    <s v="Phòng Đào tạo"/>
    <s v="Giảng viên"/>
    <s v="Trịnh Văn Mạnh"/>
    <d v="1992-08-24T00:00:00"/>
    <n v="28"/>
    <s v="Nam"/>
    <s v="ĐH Kinh tế QG"/>
    <s v="Đại học"/>
    <s v="Thanh Hóa"/>
    <x v="1"/>
    <x v="4"/>
    <x v="0"/>
    <x v="0"/>
    <n v="1"/>
    <n v="1"/>
    <m/>
    <x v="0"/>
    <x v="0"/>
    <m/>
  </r>
  <r>
    <n v="561"/>
    <x v="244"/>
    <x v="0"/>
    <s v="Phòng kinh doanh"/>
    <s v="NV kinh doanh"/>
    <s v="Nguyễn Thị Kiều"/>
    <d v="1991-06-20T00:00:00"/>
    <n v="29"/>
    <s v="Nữ"/>
    <s v="FTU"/>
    <s v="Đại học"/>
    <s v="Hà Nội"/>
    <x v="1"/>
    <x v="1"/>
    <x v="2"/>
    <x v="4"/>
    <n v="1"/>
    <m/>
    <m/>
    <x v="0"/>
    <x v="0"/>
    <n v="200000"/>
  </r>
  <r>
    <n v="562"/>
    <x v="244"/>
    <x v="1"/>
    <s v="Phòng Marketing"/>
    <s v="Nhân viên thiết kế"/>
    <s v="Nguyễn Thị Trang"/>
    <d v="1990-09-28T00:00:00"/>
    <n v="29"/>
    <s v="Nữ"/>
    <s v="FTU"/>
    <s v="Đại học"/>
    <s v="Nam Định"/>
    <x v="0"/>
    <x v="0"/>
    <x v="0"/>
    <x v="0"/>
    <n v="1"/>
    <n v="1"/>
    <n v="1"/>
    <x v="1"/>
    <x v="68"/>
    <n v="500000"/>
  </r>
  <r>
    <n v="563"/>
    <x v="245"/>
    <x v="4"/>
    <s v="Phòng kinh doanh"/>
    <s v="NV kinh doanh"/>
    <s v="Dương Thị Tuyết"/>
    <d v="1992-09-21T00:00:00"/>
    <n v="27"/>
    <s v="Nữ"/>
    <s v="HV tài chính"/>
    <s v="Cao đẳng"/>
    <s v="Hà Nội"/>
    <x v="0"/>
    <x v="3"/>
    <x v="0"/>
    <x v="0"/>
    <n v="1"/>
    <m/>
    <m/>
    <x v="0"/>
    <x v="0"/>
    <m/>
  </r>
  <r>
    <n v="564"/>
    <x v="245"/>
    <x v="0"/>
    <s v="Phòng kinh doanh"/>
    <s v="NV kinh doanh"/>
    <s v="Đoàn Hoàng Linh"/>
    <d v="1991-07-10T00:00:00"/>
    <n v="29"/>
    <s v="Nam"/>
    <s v="Mỏ địa chất"/>
    <s v="Đại học"/>
    <s v="Hà Nội"/>
    <x v="0"/>
    <x v="0"/>
    <x v="0"/>
    <x v="0"/>
    <n v="1"/>
    <m/>
    <m/>
    <x v="0"/>
    <x v="0"/>
    <m/>
  </r>
  <r>
    <n v="565"/>
    <x v="245"/>
    <x v="1"/>
    <s v="Phòng Marketing"/>
    <s v="Nhân viên thiết kế"/>
    <s v="Nguyễn Thu Hằng"/>
    <d v="1990-05-03T00:00:00"/>
    <n v="30"/>
    <s v="Nữ"/>
    <s v="ĐH Quốc gia"/>
    <s v="Đại học"/>
    <s v="Hà Nội"/>
    <x v="0"/>
    <x v="0"/>
    <x v="0"/>
    <x v="0"/>
    <n v="1"/>
    <n v="1"/>
    <m/>
    <x v="0"/>
    <x v="0"/>
    <m/>
  </r>
  <r>
    <n v="566"/>
    <x v="245"/>
    <x v="4"/>
    <s v="Phòng kinh doanh"/>
    <s v="NV kinh doanh"/>
    <s v="Dương Thị Tuyết"/>
    <d v="1992-09-21T00:00:00"/>
    <n v="27"/>
    <s v="Nữ"/>
    <s v="HV tài chính"/>
    <s v="Cao đẳng"/>
    <s v="Hà Nội"/>
    <x v="0"/>
    <x v="3"/>
    <x v="0"/>
    <x v="0"/>
    <n v="1"/>
    <m/>
    <m/>
    <x v="0"/>
    <x v="0"/>
    <m/>
  </r>
  <r>
    <n v="567"/>
    <x v="245"/>
    <x v="1"/>
    <s v="Phòng Marketing"/>
    <s v="Nhân viên thiết kế"/>
    <s v="Nguyễn Thu Hằng"/>
    <d v="1990-05-03T00:00:00"/>
    <n v="30"/>
    <s v="Nữ"/>
    <s v="ĐH Quốc gia"/>
    <s v="Đại học"/>
    <s v="Hà Nội"/>
    <x v="0"/>
    <x v="0"/>
    <x v="0"/>
    <x v="0"/>
    <n v="1"/>
    <n v="1"/>
    <m/>
    <x v="0"/>
    <x v="0"/>
    <m/>
  </r>
  <r>
    <n v="568"/>
    <x v="245"/>
    <x v="2"/>
    <s v="Phòng kinh doanh"/>
    <s v="NV kinh doanh"/>
    <s v="Nguyễn Song Toàn"/>
    <d v="1990-02-15T00:00:00"/>
    <n v="30"/>
    <s v="Nam"/>
    <s v="Thương mại"/>
    <s v="Cao đẳng"/>
    <s v="Hà Nội"/>
    <x v="1"/>
    <x v="1"/>
    <x v="1"/>
    <x v="7"/>
    <n v="1"/>
    <n v="1"/>
    <m/>
    <x v="0"/>
    <x v="0"/>
    <n v="150000"/>
  </r>
  <r>
    <n v="569"/>
    <x v="245"/>
    <x v="4"/>
    <s v="Phòng kinh doanh"/>
    <s v="NV kinh doanh"/>
    <s v="Nguyễn Quỳnh Trang"/>
    <d v="1991-03-05T00:00:00"/>
    <n v="29"/>
    <s v="Nữ"/>
    <s v="HV ngân hàng"/>
    <s v="Cao đẳng"/>
    <s v="Hưng Yên"/>
    <x v="1"/>
    <x v="1"/>
    <x v="2"/>
    <x v="4"/>
    <n v="1"/>
    <n v="1"/>
    <n v="1"/>
    <x v="1"/>
    <x v="66"/>
    <n v="200000"/>
  </r>
  <r>
    <n v="570"/>
    <x v="246"/>
    <x v="3"/>
    <s v="Phòng Đào tạo"/>
    <s v="Giảng viên"/>
    <s v="Phan Thị Liễu"/>
    <d v="1989-03-22T00:00:00"/>
    <n v="31"/>
    <s v="Nữ"/>
    <s v="FTU"/>
    <s v="Đại học"/>
    <s v="Hà Nội"/>
    <x v="1"/>
    <x v="4"/>
    <x v="0"/>
    <x v="0"/>
    <n v="1"/>
    <m/>
    <m/>
    <x v="0"/>
    <x v="0"/>
    <m/>
  </r>
  <r>
    <n v="571"/>
    <x v="246"/>
    <x v="1"/>
    <s v="Phòng Marketing"/>
    <s v="Nhân viên thiết kế"/>
    <s v="Hoàng Thị Thanh Huyền"/>
    <d v="1994-11-14T00:00:00"/>
    <n v="25"/>
    <s v="Nữ"/>
    <s v="KTQD"/>
    <s v="Cao đẳng"/>
    <s v="Hà Nội"/>
    <x v="1"/>
    <x v="1"/>
    <x v="2"/>
    <x v="2"/>
    <n v="1"/>
    <m/>
    <m/>
    <x v="0"/>
    <x v="0"/>
    <n v="120000"/>
  </r>
  <r>
    <n v="572"/>
    <x v="247"/>
    <x v="4"/>
    <s v="Phòng kinh doanh"/>
    <s v="NV kinh doanh"/>
    <s v="Trần Gia Mạnh"/>
    <d v="1986-05-21T00:00:00"/>
    <n v="34"/>
    <s v="Nữ"/>
    <s v="FTU"/>
    <s v="Cao đẳng"/>
    <s v="Hà Nội"/>
    <x v="0"/>
    <x v="3"/>
    <x v="0"/>
    <x v="0"/>
    <n v="1"/>
    <m/>
    <m/>
    <x v="0"/>
    <x v="0"/>
    <m/>
  </r>
  <r>
    <n v="573"/>
    <x v="248"/>
    <x v="0"/>
    <s v="Phòng kinh doanh"/>
    <s v="NV kinh doanh"/>
    <s v="Trương Thanh Hằng"/>
    <d v="1991-06-20T00:00:00"/>
    <n v="29"/>
    <s v="Nữ"/>
    <s v="ĐH Quốc gia"/>
    <s v="Cao học"/>
    <s v="Hưng Yên"/>
    <x v="0"/>
    <x v="3"/>
    <x v="0"/>
    <x v="0"/>
    <n v="1"/>
    <m/>
    <m/>
    <x v="0"/>
    <x v="0"/>
    <m/>
  </r>
  <r>
    <n v="574"/>
    <x v="249"/>
    <x v="4"/>
    <s v="Phòng Đào tạo"/>
    <s v="Giảng viên"/>
    <s v="Lê Thị Hương Giang"/>
    <d v="1991-06-20T00:00:00"/>
    <n v="29"/>
    <s v="Nữ"/>
    <s v="FTU"/>
    <s v="Cao học"/>
    <s v="Nghệ An"/>
    <x v="0"/>
    <x v="0"/>
    <x v="0"/>
    <x v="0"/>
    <n v="1"/>
    <m/>
    <m/>
    <x v="0"/>
    <x v="0"/>
    <m/>
  </r>
  <r>
    <n v="575"/>
    <x v="249"/>
    <x v="1"/>
    <s v="Phòng Marketing"/>
    <s v="Nhân viên quay dựng"/>
    <s v="Phạm Thị Cẩm Trà"/>
    <d v="1990-05-23T00:00:00"/>
    <n v="30"/>
    <s v="Nữ"/>
    <s v="Kinh doanh công nghệ"/>
    <s v="Đại học"/>
    <s v="Nghệ An"/>
    <x v="1"/>
    <x v="1"/>
    <x v="1"/>
    <x v="1"/>
    <n v="1"/>
    <m/>
    <m/>
    <x v="0"/>
    <x v="0"/>
    <m/>
  </r>
  <r>
    <n v="576"/>
    <x v="250"/>
    <x v="2"/>
    <s v="Phòng Đào tạo"/>
    <s v="Giảng viên"/>
    <s v="Nguyễn Thu Hiền"/>
    <d v="1991-03-30T00:00:00"/>
    <n v="29"/>
    <s v="Nữ"/>
    <s v="FTU"/>
    <s v="Đại học"/>
    <s v="Hà Nội"/>
    <x v="1"/>
    <x v="1"/>
    <x v="1"/>
    <x v="1"/>
    <n v="1"/>
    <n v="1"/>
    <n v="1"/>
    <x v="1"/>
    <x v="69"/>
    <m/>
  </r>
  <r>
    <n v="577"/>
    <x v="250"/>
    <x v="2"/>
    <s v="Phòng Đào tạo"/>
    <s v="Giảng viên"/>
    <s v="Nguyễn Thu Hiền"/>
    <d v="1991-03-30T00:00:00"/>
    <n v="29"/>
    <s v="Nữ"/>
    <s v="FTU"/>
    <s v="Đại học"/>
    <s v="Hà Nội"/>
    <x v="1"/>
    <x v="1"/>
    <x v="1"/>
    <x v="1"/>
    <n v="1"/>
    <n v="1"/>
    <n v="1"/>
    <x v="0"/>
    <x v="0"/>
    <m/>
  </r>
  <r>
    <n v="578"/>
    <x v="250"/>
    <x v="3"/>
    <s v="Admin"/>
    <s v="Tạp vụ"/>
    <s v="Đặng Thị Thu Hương"/>
    <d v="1990-05-03T00:00:00"/>
    <n v="30"/>
    <s v="Nữ"/>
    <s v="Thương mại"/>
    <s v="Đại học"/>
    <s v="Hà Nội"/>
    <x v="1"/>
    <x v="2"/>
    <x v="3"/>
    <x v="0"/>
    <n v="1"/>
    <n v="1"/>
    <n v="1"/>
    <x v="1"/>
    <x v="70"/>
    <n v="150000"/>
  </r>
  <r>
    <n v="579"/>
    <x v="251"/>
    <x v="3"/>
    <s v="Admin"/>
    <s v="Tạp vụ"/>
    <s v="Nguyễn Mai Liên"/>
    <d v="1990-06-17T00:00:00"/>
    <n v="30"/>
    <s v="Nữ"/>
    <s v="Thương mại"/>
    <s v="Đại học"/>
    <s v="Hà Nội"/>
    <x v="1"/>
    <x v="2"/>
    <x v="3"/>
    <x v="0"/>
    <n v="1"/>
    <n v="1"/>
    <m/>
    <x v="0"/>
    <x v="0"/>
    <n v="100000"/>
  </r>
  <r>
    <n v="580"/>
    <x v="252"/>
    <x v="2"/>
    <s v="Phòng kinh doanh"/>
    <s v="NV kinh doanh"/>
    <s v="Lê Thùy Linh"/>
    <d v="1990-09-16T00:00:00"/>
    <n v="29"/>
    <s v="Nữ"/>
    <s v="FTU"/>
    <s v="Đại học"/>
    <s v="Nam Định"/>
    <x v="1"/>
    <x v="5"/>
    <x v="0"/>
    <x v="0"/>
    <n v="1"/>
    <m/>
    <m/>
    <x v="0"/>
    <x v="0"/>
    <m/>
  </r>
  <r>
    <n v="581"/>
    <x v="252"/>
    <x v="1"/>
    <s v="Phòng Marketing"/>
    <s v="Nhân viên quay dựng"/>
    <s v="Nguyễn Ngọc Quỳnh"/>
    <d v="1990-09-28T00:00:00"/>
    <n v="29"/>
    <s v="Nữ"/>
    <s v="Thương mại"/>
    <s v="Cao học"/>
    <s v="Hà Nội"/>
    <x v="1"/>
    <x v="1"/>
    <x v="2"/>
    <x v="2"/>
    <n v="1"/>
    <m/>
    <m/>
    <x v="0"/>
    <x v="0"/>
    <n v="200000"/>
  </r>
  <r>
    <n v="582"/>
    <x v="253"/>
    <x v="2"/>
    <s v="Phòng kinh doanh"/>
    <s v="NV kinh doanh"/>
    <s v="Nguyễn Thị Kiều"/>
    <d v="1990-02-15T00:00:00"/>
    <n v="30"/>
    <s v="Nữ"/>
    <s v="ĐH Công nghiệp HCM"/>
    <s v="Đại học"/>
    <s v="Vĩnh Phúc"/>
    <x v="1"/>
    <x v="2"/>
    <x v="3"/>
    <x v="0"/>
    <n v="1"/>
    <m/>
    <m/>
    <x v="0"/>
    <x v="0"/>
    <n v="100000"/>
  </r>
  <r>
    <n v="583"/>
    <x v="254"/>
    <x v="4"/>
    <s v="Phòng Đào tạo"/>
    <s v="Giảng viên"/>
    <s v="Lê Mai Linh"/>
    <d v="1993-08-14T00:00:00"/>
    <n v="27"/>
    <s v="Nữ"/>
    <s v="FTU"/>
    <s v="Đại học"/>
    <s v="Hà Nội"/>
    <x v="1"/>
    <x v="2"/>
    <x v="3"/>
    <x v="0"/>
    <n v="1"/>
    <n v="1"/>
    <m/>
    <x v="0"/>
    <x v="0"/>
    <n v="100000"/>
  </r>
  <r>
    <n v="584"/>
    <x v="254"/>
    <x v="3"/>
    <s v="Admin"/>
    <s v="Tạp vụ"/>
    <s v="Nguyễn Thu Hằng"/>
    <d v="1989-03-22T00:00:00"/>
    <n v="31"/>
    <s v="Nữ"/>
    <s v="Thăng Long"/>
    <s v="Cao học"/>
    <s v="Hà Nội"/>
    <x v="1"/>
    <x v="2"/>
    <x v="3"/>
    <x v="0"/>
    <n v="1"/>
    <n v="1"/>
    <n v="1"/>
    <x v="0"/>
    <x v="0"/>
    <n v="100000"/>
  </r>
  <r>
    <n v="585"/>
    <x v="254"/>
    <x v="4"/>
    <s v="Phòng Đào tạo"/>
    <s v="Giảng viên"/>
    <s v="Lê Mai Linh"/>
    <d v="1993-08-14T00:00:00"/>
    <n v="27"/>
    <s v="Nữ"/>
    <s v="FTU"/>
    <s v="Đại học"/>
    <s v="Hà Nội"/>
    <x v="1"/>
    <x v="2"/>
    <x v="3"/>
    <x v="0"/>
    <n v="1"/>
    <n v="1"/>
    <m/>
    <x v="0"/>
    <x v="0"/>
    <n v="100000"/>
  </r>
  <r>
    <n v="586"/>
    <x v="255"/>
    <x v="2"/>
    <s v="Phòng kinh doanh"/>
    <s v="NV kinh doanh"/>
    <s v="Lê Hà Linh"/>
    <d v="1991-08-26T00:00:00"/>
    <n v="29"/>
    <s v="Nữ"/>
    <s v="ĐH Mở"/>
    <s v="Đại học"/>
    <s v="Hà Nội"/>
    <x v="1"/>
    <x v="1"/>
    <x v="2"/>
    <x v="2"/>
    <n v="1"/>
    <n v="1"/>
    <n v="1"/>
    <x v="0"/>
    <x v="0"/>
    <n v="200000"/>
  </r>
  <r>
    <n v="587"/>
    <x v="256"/>
    <x v="0"/>
    <s v="Phòng kinh doanh"/>
    <s v="NV kinh doanh"/>
    <s v="Phạm Minh Trang"/>
    <d v="1990-06-17T00:00:00"/>
    <n v="30"/>
    <s v="Nữ"/>
    <s v="FTU"/>
    <s v="Đại học"/>
    <s v="Bắc Giang"/>
    <x v="1"/>
    <x v="1"/>
    <x v="1"/>
    <x v="4"/>
    <n v="1"/>
    <m/>
    <m/>
    <x v="0"/>
    <x v="0"/>
    <n v="150000"/>
  </r>
  <r>
    <n v="588"/>
    <x v="256"/>
    <x v="0"/>
    <s v="Phòng kinh doanh"/>
    <s v="NV kinh doanh"/>
    <s v="Đào Thị Lan"/>
    <d v="1989-02-19T00:00:00"/>
    <n v="31"/>
    <s v="Nữ"/>
    <s v="HV ngân hàng"/>
    <s v="Đại học"/>
    <s v="Hải Dương"/>
    <x v="1"/>
    <x v="1"/>
    <x v="1"/>
    <x v="3"/>
    <n v="1"/>
    <n v="1"/>
    <n v="1"/>
    <x v="1"/>
    <x v="71"/>
    <m/>
  </r>
  <r>
    <n v="589"/>
    <x v="257"/>
    <x v="2"/>
    <s v="Phòng Đào tạo"/>
    <s v="Giảng viên"/>
    <s v="Vũ Thị Thư"/>
    <d v="1991-12-01T00:00:00"/>
    <n v="28"/>
    <s v="Nữ"/>
    <s v="HV tài chính"/>
    <s v="Đại học"/>
    <s v="Hà Nội"/>
    <x v="1"/>
    <x v="4"/>
    <x v="0"/>
    <x v="0"/>
    <n v="1"/>
    <n v="1"/>
    <n v="1"/>
    <x v="0"/>
    <x v="0"/>
    <n v="5000000"/>
  </r>
  <r>
    <n v="590"/>
    <x v="258"/>
    <x v="1"/>
    <s v="Phòng Marketing"/>
    <s v="Nhân viên quay dựng"/>
    <s v="Vũ Thị Bích"/>
    <d v="1990-08-03T00:00:00"/>
    <n v="30"/>
    <s v="Nữ"/>
    <s v="HV ngân hàng"/>
    <s v="Đại học"/>
    <s v="Hà Nội"/>
    <x v="0"/>
    <x v="3"/>
    <x v="0"/>
    <x v="0"/>
    <n v="1"/>
    <m/>
    <m/>
    <x v="0"/>
    <x v="0"/>
    <m/>
  </r>
  <r>
    <n v="591"/>
    <x v="259"/>
    <x v="2"/>
    <s v="Phòng Đào tạo"/>
    <s v="Giảng viên"/>
    <s v="Lương Thị Hương Liên"/>
    <d v="1991-12-22T00:00:00"/>
    <n v="28"/>
    <s v="Nữ"/>
    <s v="ĐH Văn Hóa"/>
    <s v="Đại học"/>
    <s v="Hà Nội"/>
    <x v="1"/>
    <x v="1"/>
    <x v="1"/>
    <x v="4"/>
    <n v="1"/>
    <n v="1"/>
    <m/>
    <x v="0"/>
    <x v="0"/>
    <n v="150000"/>
  </r>
  <r>
    <n v="592"/>
    <x v="260"/>
    <x v="2"/>
    <s v="Phòng Đào tạo"/>
    <s v="Giảng viên"/>
    <s v="Nguyễn Thị Xuân Hạnh"/>
    <d v="1993-02-21T00:00:00"/>
    <n v="27"/>
    <s v="Nữ"/>
    <s v="FTU"/>
    <s v="Cao học"/>
    <s v="Hà Nội"/>
    <x v="1"/>
    <x v="1"/>
    <x v="2"/>
    <x v="5"/>
    <n v="1"/>
    <n v="1"/>
    <n v="1"/>
    <x v="1"/>
    <x v="72"/>
    <m/>
  </r>
  <r>
    <n v="593"/>
    <x v="261"/>
    <x v="2"/>
    <s v="Phòng kinh doanh"/>
    <s v="NV kinh doanh"/>
    <s v="Quản Thị Thùy Dương"/>
    <d v="1993-11-22T00:00:00"/>
    <n v="26"/>
    <s v="Nữ"/>
    <s v="FTU"/>
    <s v="Đại học"/>
    <s v="Hà Nội"/>
    <x v="1"/>
    <x v="5"/>
    <x v="0"/>
    <x v="0"/>
    <n v="1"/>
    <m/>
    <m/>
    <x v="0"/>
    <x v="0"/>
    <m/>
  </r>
  <r>
    <n v="594"/>
    <x v="261"/>
    <x v="1"/>
    <s v="Phòng Marketing"/>
    <s v="Nhân viên quay dựng"/>
    <s v="Đỗ Bích Liên"/>
    <d v="1990-06-17T00:00:00"/>
    <n v="30"/>
    <s v="Nữ"/>
    <s v="Thăng Long"/>
    <s v="Cao đẳng"/>
    <s v="Hà Nội"/>
    <x v="0"/>
    <x v="3"/>
    <x v="0"/>
    <x v="0"/>
    <n v="1"/>
    <n v="1"/>
    <m/>
    <x v="0"/>
    <x v="0"/>
    <m/>
  </r>
  <r>
    <n v="595"/>
    <x v="262"/>
    <x v="3"/>
    <s v="Admin"/>
    <s v="Tạp vụ"/>
    <s v="Phạm Thị Hà"/>
    <d v="1993-05-29T00:00:00"/>
    <n v="27"/>
    <s v="Nữ"/>
    <s v="HV tài chính"/>
    <s v="Cao học"/>
    <s v="Hà Nội"/>
    <x v="1"/>
    <x v="2"/>
    <x v="3"/>
    <x v="0"/>
    <n v="1"/>
    <m/>
    <m/>
    <x v="0"/>
    <x v="0"/>
    <n v="100000"/>
  </r>
  <r>
    <n v="596"/>
    <x v="262"/>
    <x v="0"/>
    <s v="Phòng kinh doanh"/>
    <s v="NV kinh doanh"/>
    <s v="Trịnh Văn Mạnh"/>
    <d v="1990-05-23T00:00:00"/>
    <n v="30"/>
    <s v="Nữ"/>
    <s v="Ngoại ngữ QG"/>
    <s v="Đại học"/>
    <s v="Hà Nội"/>
    <x v="1"/>
    <x v="1"/>
    <x v="2"/>
    <x v="6"/>
    <n v="1"/>
    <n v="1"/>
    <m/>
    <x v="0"/>
    <x v="0"/>
    <n v="120000"/>
  </r>
  <r>
    <n v="597"/>
    <x v="263"/>
    <x v="1"/>
    <s v="Phòng Marketing"/>
    <s v="Nhân viên quay dựng"/>
    <s v="Lê Thị Hương Giang"/>
    <d v="1989-03-22T00:00:00"/>
    <n v="31"/>
    <s v="Nữ"/>
    <s v="Ngoại ngữ QG"/>
    <s v="Đại học"/>
    <s v="Hà Nội"/>
    <x v="0"/>
    <x v="3"/>
    <x v="0"/>
    <x v="0"/>
    <n v="1"/>
    <m/>
    <m/>
    <x v="0"/>
    <x v="0"/>
    <m/>
  </r>
  <r>
    <n v="598"/>
    <x v="263"/>
    <x v="0"/>
    <s v="Phòng kinh doanh"/>
    <s v="NV kinh doanh"/>
    <s v="Đinh Thị Kim Huệ"/>
    <d v="1991-03-05T00:00:00"/>
    <n v="29"/>
    <s v="Nam"/>
    <s v="FTU"/>
    <s v="Cao đẳng"/>
    <s v="Bắc Giang"/>
    <x v="1"/>
    <x v="1"/>
    <x v="2"/>
    <x v="4"/>
    <n v="1"/>
    <n v="1"/>
    <m/>
    <x v="0"/>
    <x v="0"/>
    <n v="150000"/>
  </r>
  <r>
    <n v="599"/>
    <x v="263"/>
    <x v="0"/>
    <s v="Phòng kinh doanh"/>
    <s v="NV kinh doanh"/>
    <s v="Trần Gia Mạnh"/>
    <d v="1994-02-19T00:00:00"/>
    <n v="26"/>
    <s v="Nam"/>
    <s v="KTQD"/>
    <s v="Đại học"/>
    <s v="Nam Định"/>
    <x v="1"/>
    <x v="1"/>
    <x v="1"/>
    <x v="1"/>
    <n v="1"/>
    <n v="1"/>
    <m/>
    <x v="0"/>
    <x v="0"/>
    <m/>
  </r>
  <r>
    <n v="600"/>
    <x v="263"/>
    <x v="2"/>
    <s v="Phòng kinh doanh"/>
    <s v="NV kinh doanh"/>
    <s v="Nguyễn Thị Thanh Hằng"/>
    <d v="1992-03-04T00:00:00"/>
    <n v="28"/>
    <s v="Nữ"/>
    <s v="FTU"/>
    <s v="Đại học"/>
    <s v="Bắc Giang"/>
    <x v="1"/>
    <x v="1"/>
    <x v="2"/>
    <x v="6"/>
    <n v="1"/>
    <n v="1"/>
    <m/>
    <x v="0"/>
    <x v="0"/>
    <n v="150000"/>
  </r>
  <r>
    <n v="601"/>
    <x v="264"/>
    <x v="2"/>
    <s v="Phòng Đào tạo"/>
    <s v="Giảng viên"/>
    <s v="Nguyễn Thị Xuân Hạnh"/>
    <d v="1990-09-28T00:00:00"/>
    <n v="29"/>
    <s v="Nam"/>
    <s v="FTU"/>
    <s v="Đại học"/>
    <s v="Bắc Giang"/>
    <x v="1"/>
    <x v="5"/>
    <x v="0"/>
    <x v="0"/>
    <n v="1"/>
    <m/>
    <m/>
    <x v="0"/>
    <x v="0"/>
    <m/>
  </r>
  <r>
    <n v="602"/>
    <x v="264"/>
    <x v="3"/>
    <s v="Admin"/>
    <s v="Tạp vụ"/>
    <s v="Phạm Thị Thanh Mai"/>
    <d v="1993-09-19T00:00:00"/>
    <n v="26"/>
    <s v="Nữ"/>
    <s v="KTQD"/>
    <s v="Đại học"/>
    <s v="Hà Nội"/>
    <x v="1"/>
    <x v="2"/>
    <x v="3"/>
    <x v="0"/>
    <n v="1"/>
    <m/>
    <m/>
    <x v="0"/>
    <x v="0"/>
    <m/>
  </r>
  <r>
    <n v="603"/>
    <x v="264"/>
    <x v="4"/>
    <s v="Phòng Đào tạo"/>
    <s v="Giảng viên"/>
    <s v="Trương Thanh Hằng"/>
    <d v="1995-11-05T00:00:00"/>
    <n v="24"/>
    <s v="Nữ"/>
    <s v="Đại Nam"/>
    <s v="Đại học"/>
    <s v="Hà Nội"/>
    <x v="1"/>
    <x v="2"/>
    <x v="3"/>
    <x v="0"/>
    <n v="1"/>
    <n v="1"/>
    <n v="1"/>
    <x v="0"/>
    <x v="0"/>
    <n v="100000"/>
  </r>
  <r>
    <n v="604"/>
    <x v="264"/>
    <x v="2"/>
    <s v="Phòng kinh doanh"/>
    <s v="NV kinh doanh"/>
    <s v="Nguyễn Mai Liên"/>
    <d v="1989-03-22T00:00:00"/>
    <n v="31"/>
    <s v="Nữ"/>
    <s v="Thương mại"/>
    <s v="Cao học"/>
    <s v="Hà Nội"/>
    <x v="1"/>
    <x v="1"/>
    <x v="1"/>
    <x v="1"/>
    <n v="1"/>
    <n v="1"/>
    <n v="1"/>
    <x v="1"/>
    <x v="73"/>
    <m/>
  </r>
  <r>
    <n v="605"/>
    <x v="265"/>
    <x v="2"/>
    <s v="Phòng Đào tạo"/>
    <s v="Giảng viên"/>
    <s v="Bùi Thị Quế"/>
    <d v="1991-06-20T00:00:00"/>
    <n v="29"/>
    <s v="Nữ"/>
    <s v="HV ngân hàng"/>
    <s v="Cao đẳng"/>
    <s v="Nam Định"/>
    <x v="1"/>
    <x v="1"/>
    <x v="2"/>
    <x v="4"/>
    <n v="1"/>
    <m/>
    <m/>
    <x v="0"/>
    <x v="0"/>
    <n v="150000"/>
  </r>
  <r>
    <n v="606"/>
    <x v="266"/>
    <x v="3"/>
    <s v="Admin"/>
    <s v="Tạp vụ"/>
    <s v="Lê Thùy Linh"/>
    <d v="1990-05-03T00:00:00"/>
    <n v="30"/>
    <s v="Nữ"/>
    <s v="HV tài chính"/>
    <s v="Cao đẳng"/>
    <s v="Hà Nội"/>
    <x v="0"/>
    <x v="0"/>
    <x v="0"/>
    <x v="0"/>
    <n v="1"/>
    <n v="1"/>
    <m/>
    <x v="0"/>
    <x v="0"/>
    <m/>
  </r>
  <r>
    <n v="607"/>
    <x v="266"/>
    <x v="3"/>
    <s v="Admin"/>
    <s v="Tạp vụ"/>
    <s v="Nguyễn Thị Kiều"/>
    <d v="1991-06-20T00:00:00"/>
    <n v="29"/>
    <s v="Nữ"/>
    <s v="FTU"/>
    <s v="Đại học"/>
    <s v="Hà Nội"/>
    <x v="0"/>
    <x v="0"/>
    <x v="0"/>
    <x v="0"/>
    <n v="1"/>
    <m/>
    <m/>
    <x v="0"/>
    <x v="0"/>
    <m/>
  </r>
  <r>
    <n v="608"/>
    <x v="266"/>
    <x v="0"/>
    <s v="Phòng kinh doanh"/>
    <s v="NV kinh doanh"/>
    <s v="Trịnh Văn Mạnh"/>
    <d v="1992-08-24T00:00:00"/>
    <n v="28"/>
    <s v="Nam"/>
    <s v="ĐH Kinh tế QG"/>
    <s v="Đại học"/>
    <s v="Thanh Hóa"/>
    <x v="1"/>
    <x v="4"/>
    <x v="0"/>
    <x v="0"/>
    <n v="1"/>
    <n v="1"/>
    <m/>
    <x v="0"/>
    <x v="0"/>
    <m/>
  </r>
  <r>
    <n v="609"/>
    <x v="266"/>
    <x v="1"/>
    <s v="Phòng Marketing"/>
    <s v="Nhân viên quay dựng"/>
    <s v="Nguyễn Thị Trang"/>
    <d v="1990-09-28T00:00:00"/>
    <n v="29"/>
    <s v="Nữ"/>
    <s v="FTU"/>
    <s v="Đại học"/>
    <s v="Nam Định"/>
    <x v="0"/>
    <x v="0"/>
    <x v="0"/>
    <x v="0"/>
    <n v="1"/>
    <n v="1"/>
    <n v="1"/>
    <x v="1"/>
    <x v="70"/>
    <n v="500000"/>
  </r>
  <r>
    <n v="610"/>
    <x v="267"/>
    <x v="1"/>
    <s v="Phòng Marketing"/>
    <s v="Nhân viên quay dựng"/>
    <s v="Dương Thị Tuyết"/>
    <d v="1992-09-21T00:00:00"/>
    <n v="27"/>
    <s v="Nữ"/>
    <s v="HV tài chính"/>
    <s v="Cao đẳng"/>
    <s v="Hà Nội"/>
    <x v="0"/>
    <x v="3"/>
    <x v="0"/>
    <x v="0"/>
    <n v="1"/>
    <m/>
    <m/>
    <x v="0"/>
    <x v="0"/>
    <m/>
  </r>
  <r>
    <n v="611"/>
    <x v="267"/>
    <x v="1"/>
    <s v="Phòng Marketing"/>
    <s v="Nhân viên quay dựng"/>
    <s v="Đoàn Hoàng Linh"/>
    <d v="1991-07-10T00:00:00"/>
    <n v="29"/>
    <s v="Nam"/>
    <s v="Mỏ địa chất"/>
    <s v="Đại học"/>
    <s v="Hà Nội"/>
    <x v="0"/>
    <x v="0"/>
    <x v="0"/>
    <x v="0"/>
    <n v="1"/>
    <n v="1"/>
    <m/>
    <x v="0"/>
    <x v="0"/>
    <m/>
  </r>
  <r>
    <n v="612"/>
    <x v="267"/>
    <x v="4"/>
    <s v="Phòng Đào tạo"/>
    <s v="Giảng viên"/>
    <s v="Nguyễn Thu Hằng"/>
    <d v="1990-05-03T00:00:00"/>
    <n v="30"/>
    <s v="Nữ"/>
    <s v="ĐH Quốc gia"/>
    <s v="Đại học"/>
    <s v="Hà Nội"/>
    <x v="0"/>
    <x v="0"/>
    <x v="0"/>
    <x v="0"/>
    <n v="1"/>
    <n v="1"/>
    <m/>
    <x v="0"/>
    <x v="0"/>
    <m/>
  </r>
  <r>
    <n v="613"/>
    <x v="267"/>
    <x v="1"/>
    <s v="Phòng Marketing"/>
    <s v="Nhân viên quay dựng"/>
    <s v="Dương Thị Tuyết"/>
    <d v="1992-09-21T00:00:00"/>
    <n v="27"/>
    <s v="Nữ"/>
    <s v="HV tài chính"/>
    <s v="Cao đẳng"/>
    <s v="Hà Nội"/>
    <x v="0"/>
    <x v="3"/>
    <x v="0"/>
    <x v="0"/>
    <n v="1"/>
    <m/>
    <m/>
    <x v="0"/>
    <x v="0"/>
    <m/>
  </r>
  <r>
    <n v="614"/>
    <x v="267"/>
    <x v="1"/>
    <s v="Phòng Marketing"/>
    <s v="Nhân viên quay dựng"/>
    <s v="Đoàn Hoàng Linh"/>
    <d v="1991-07-10T00:00:00"/>
    <n v="29"/>
    <s v="Nam"/>
    <s v="Mỏ địa chất"/>
    <s v="Đại học"/>
    <s v="Hà Nội"/>
    <x v="0"/>
    <x v="0"/>
    <x v="0"/>
    <x v="0"/>
    <n v="1"/>
    <n v="1"/>
    <m/>
    <x v="0"/>
    <x v="0"/>
    <m/>
  </r>
  <r>
    <n v="615"/>
    <x v="267"/>
    <x v="4"/>
    <s v="Phòng Đào tạo"/>
    <s v="Giảng viên"/>
    <s v="Nguyễn Thu Hằng"/>
    <d v="1990-05-03T00:00:00"/>
    <n v="30"/>
    <s v="Nữ"/>
    <s v="ĐH Quốc gia"/>
    <s v="Đại học"/>
    <s v="Hà Nội"/>
    <x v="0"/>
    <x v="0"/>
    <x v="0"/>
    <x v="0"/>
    <n v="1"/>
    <n v="1"/>
    <m/>
    <x v="0"/>
    <x v="0"/>
    <m/>
  </r>
  <r>
    <n v="616"/>
    <x v="267"/>
    <x v="2"/>
    <s v="Phòng Đào tạo"/>
    <s v="Giảng viên"/>
    <s v="Nguyễn Song Toàn"/>
    <d v="1990-02-15T00:00:00"/>
    <n v="30"/>
    <s v="Nam"/>
    <s v="Thương mại"/>
    <s v="Cao đẳng"/>
    <s v="Hà Nội"/>
    <x v="1"/>
    <x v="1"/>
    <x v="1"/>
    <x v="7"/>
    <n v="1"/>
    <n v="1"/>
    <m/>
    <x v="0"/>
    <x v="0"/>
    <m/>
  </r>
  <r>
    <n v="617"/>
    <x v="267"/>
    <x v="1"/>
    <s v="Phòng Marketing"/>
    <s v="Nhân viên quay dựng"/>
    <s v="Nguyễn Quỳnh Trang"/>
    <d v="1991-03-05T00:00:00"/>
    <n v="29"/>
    <s v="Nữ"/>
    <s v="HV ngân hàng"/>
    <s v="Cao đẳng"/>
    <s v="Hưng Yên"/>
    <x v="1"/>
    <x v="1"/>
    <x v="2"/>
    <x v="4"/>
    <n v="1"/>
    <n v="1"/>
    <n v="1"/>
    <x v="1"/>
    <x v="74"/>
    <n v="200000"/>
  </r>
  <r>
    <n v="618"/>
    <x v="268"/>
    <x v="2"/>
    <s v="Phòng kinh doanh"/>
    <s v="NV kinh doanh"/>
    <s v="Phan Thị Liễu"/>
    <d v="1989-03-22T00:00:00"/>
    <n v="31"/>
    <s v="Nữ"/>
    <s v="FTU"/>
    <s v="Đại học"/>
    <s v="Hà Nội"/>
    <x v="1"/>
    <x v="4"/>
    <x v="0"/>
    <x v="0"/>
    <n v="1"/>
    <m/>
    <m/>
    <x v="0"/>
    <x v="0"/>
    <m/>
  </r>
  <r>
    <n v="619"/>
    <x v="268"/>
    <x v="2"/>
    <s v="Phòng Đào tạo"/>
    <s v="Giảng viên"/>
    <s v="Hoàng Thị Thanh Huyền"/>
    <d v="1994-11-14T00:00:00"/>
    <n v="25"/>
    <s v="Nữ"/>
    <s v="KTQD"/>
    <s v="Cao đẳng"/>
    <s v="Hà Nội"/>
    <x v="1"/>
    <x v="1"/>
    <x v="2"/>
    <x v="2"/>
    <n v="1"/>
    <m/>
    <m/>
    <x v="0"/>
    <x v="0"/>
    <n v="100000"/>
  </r>
  <r>
    <n v="620"/>
    <x v="269"/>
    <x v="4"/>
    <s v="Phòng Đào tạo"/>
    <s v="Giảng viên"/>
    <s v="Vũ Thị Bích"/>
    <d v="1990-05-23T00:00:00"/>
    <n v="30"/>
    <s v="Nữ"/>
    <s v="ĐH Công nghiệp HCM"/>
    <s v="Cao học"/>
    <s v="Bắc Giang"/>
    <x v="1"/>
    <x v="2"/>
    <x v="3"/>
    <x v="0"/>
    <n v="1"/>
    <n v="1"/>
    <m/>
    <x v="0"/>
    <x v="0"/>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8274C-EB02-4AA3-992C-ABF3EBEE9BC8}" name="Chi phí CN" cacheId="110" applyNumberFormats="0" applyBorderFormats="0" applyFontFormats="0" applyPatternFormats="0" applyAlignmentFormats="0" applyWidthHeightFormats="1" dataCaption="Values" updatedVersion="7" minRefreshableVersion="3" useAutoFormatting="1" itemPrintTitles="1" createdVersion="6" indent="0" outline="1" outlineData="1" multipleFieldFilters="0" chartFormat="8">
  <location ref="A46:C52" firstHeaderRow="0" firstDataRow="1" firstDataCol="1" rowPageCount="1" colPageCount="1"/>
  <pivotFields count="24">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items count="6">
        <item x="3"/>
        <item x="4"/>
        <item x="0"/>
        <item x="2"/>
        <item x="1"/>
        <item t="default"/>
      </items>
    </pivotField>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axis="axisPage" dataField="1" showAll="0">
      <items count="3">
        <item x="0"/>
        <item x="1"/>
        <item t="default"/>
      </items>
    </pivotField>
    <pivotField showAll="0">
      <items count="369">
        <item x="0"/>
        <item x="367"/>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t="default"/>
      </items>
    </pivotField>
    <pivotField dataField="1" showAll="0"/>
    <pivotField showAll="0">
      <items count="15">
        <item x="0"/>
        <item x="1"/>
        <item x="2"/>
        <item x="3"/>
        <item x="4"/>
        <item x="5"/>
        <item x="6"/>
        <item x="7"/>
        <item x="8"/>
        <item x="9"/>
        <item x="10"/>
        <item x="11"/>
        <item x="12"/>
        <item x="13"/>
        <item t="default"/>
      </items>
    </pivotField>
    <pivotField showAll="0">
      <items count="15">
        <item x="0"/>
        <item x="1"/>
        <item x="2"/>
        <item x="3"/>
        <item x="4"/>
        <item x="5"/>
        <item x="6"/>
        <item x="7"/>
        <item x="8"/>
        <item x="9"/>
        <item x="10"/>
        <item x="11"/>
        <item x="12"/>
        <item x="13"/>
        <item t="default"/>
      </items>
    </pivotField>
  </pivotFields>
  <rowFields count="1">
    <field x="2"/>
  </rowFields>
  <rowItems count="6">
    <i>
      <x/>
    </i>
    <i>
      <x v="1"/>
    </i>
    <i>
      <x v="2"/>
    </i>
    <i>
      <x v="3"/>
    </i>
    <i>
      <x v="4"/>
    </i>
    <i t="grand">
      <x/>
    </i>
  </rowItems>
  <colFields count="1">
    <field x="-2"/>
  </colFields>
  <colItems count="2">
    <i>
      <x/>
    </i>
    <i i="1">
      <x v="1"/>
    </i>
  </colItems>
  <pageFields count="1">
    <pageField fld="19" hier="-1"/>
  </pageFields>
  <dataFields count="2">
    <dataField name=" Chi phí" fld="21" baseField="0" baseItem="0" numFmtId="165"/>
    <dataField name="Số CV" fld="19" subtotal="count" baseField="0" baseItem="0"/>
  </dataFields>
  <chartFormats count="4">
    <chartFormat chart="1" format="2" series="1">
      <pivotArea type="data" outline="0" fieldPosition="0">
        <references count="1">
          <reference field="4294967294" count="1" selected="0">
            <x v="0"/>
          </reference>
        </references>
      </pivotArea>
    </chartFormat>
    <chartFormat chart="1" format="5" series="1">
      <pivotArea type="data" outline="0" fieldPosition="0">
        <references count="1">
          <reference field="4294967294" count="1" selected="0">
            <x v="1"/>
          </reference>
        </references>
      </pivotArea>
    </chartFormat>
    <chartFormat chart="7" format="12" series="1">
      <pivotArea type="data" outline="0" fieldPosition="0">
        <references count="1">
          <reference field="4294967294" count="1" selected="0">
            <x v="0"/>
          </reference>
        </references>
      </pivotArea>
    </chartFormat>
    <chartFormat chart="7" format="1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B72263B-3CF2-4E44-9EA2-A73309C62BD6}" name="Tổng CV, chi phí theo tháng" cacheId="110" applyNumberFormats="0" applyBorderFormats="0" applyFontFormats="0" applyPatternFormats="0" applyAlignmentFormats="0" applyWidthHeightFormats="1" dataCaption="Values" updatedVersion="7" minRefreshableVersion="3" itemPrintTitles="1" createdVersion="6" indent="0" outline="1" outlineData="1" multipleFieldFilters="0" chartFormat="10">
  <location ref="A77:C90" firstHeaderRow="0" firstDataRow="1" firstDataCol="1"/>
  <pivotFields count="24">
    <pivotField showAll="0"/>
    <pivotField axis="axisRow"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6">
        <item x="3"/>
        <item x="4"/>
        <item x="2"/>
        <item x="0"/>
        <item x="1"/>
        <item t="default"/>
      </items>
    </pivotField>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items count="369">
        <item x="0"/>
        <item x="367"/>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t="default"/>
      </items>
    </pivotField>
    <pivotField dataField="1" showAll="0"/>
    <pivotField showAll="0">
      <items count="15">
        <item x="0"/>
        <item x="1"/>
        <item x="2"/>
        <item x="3"/>
        <item x="4"/>
        <item x="5"/>
        <item x="6"/>
        <item x="7"/>
        <item x="8"/>
        <item x="9"/>
        <item x="10"/>
        <item x="11"/>
        <item x="12"/>
        <item x="13"/>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2">
    <field x="23"/>
    <field x="1"/>
  </rowFields>
  <rowItems count="13">
    <i>
      <x v="1"/>
    </i>
    <i>
      <x v="2"/>
    </i>
    <i>
      <x v="3"/>
    </i>
    <i>
      <x v="4"/>
    </i>
    <i>
      <x v="5"/>
    </i>
    <i>
      <x v="6"/>
    </i>
    <i>
      <x v="7"/>
    </i>
    <i>
      <x v="8"/>
    </i>
    <i>
      <x v="9"/>
    </i>
    <i>
      <x v="10"/>
    </i>
    <i>
      <x v="11"/>
    </i>
    <i>
      <x v="12"/>
    </i>
    <i t="grand">
      <x/>
    </i>
  </rowItems>
  <colFields count="1">
    <field x="-2"/>
  </colFields>
  <colItems count="2">
    <i>
      <x/>
    </i>
    <i i="1">
      <x v="1"/>
    </i>
  </colItems>
  <dataFields count="2">
    <dataField name="CV " fld="19" subtotal="count" baseField="0" baseItem="0"/>
    <dataField name=" Chi phí" fld="21" baseField="0" baseItem="0" numFmtId="165"/>
  </dataFields>
  <chartFormats count="8">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9" format="8" series="1">
      <pivotArea type="data" outline="0" fieldPosition="0">
        <references count="1">
          <reference field="4294967294" count="1" selected="0">
            <x v="0"/>
          </reference>
        </references>
      </pivotArea>
    </chartFormat>
    <chartFormat chart="9"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A714426-5CBE-4866-91A4-2A1BD07396E6}" name="Tổng chi phí" cacheId="110" applyNumberFormats="0" applyBorderFormats="0" applyFontFormats="0" applyPatternFormats="0" applyAlignmentFormats="0" applyWidthHeightFormats="1" dataCaption="Values" updatedVersion="7" minRefreshableVersion="3" useAutoFormatting="1" itemPrintTitles="1" createdVersion="6" indent="0" outline="1" outlineData="1" multipleFieldFilters="0">
  <location ref="A2:A3" firstHeaderRow="1" firstDataRow="1" firstDataCol="0"/>
  <pivotFields count="24">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6">
        <item x="3"/>
        <item x="4"/>
        <item x="2"/>
        <item x="0"/>
        <item x="1"/>
        <item t="default"/>
      </items>
    </pivotField>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69">
        <item x="0"/>
        <item x="367"/>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t="default"/>
      </items>
    </pivotField>
    <pivotField dataField="1" showAll="0"/>
    <pivotField showAll="0">
      <items count="15">
        <item x="0"/>
        <item x="1"/>
        <item x="2"/>
        <item x="3"/>
        <item x="4"/>
        <item x="5"/>
        <item x="6"/>
        <item x="7"/>
        <item x="8"/>
        <item x="9"/>
        <item x="10"/>
        <item x="11"/>
        <item x="12"/>
        <item x="13"/>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 Chi phí" fld="21"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8D069AA-2908-48AA-9CC5-93FF03B9A592}" name="Nhận việc theo tháng vs CN" cacheId="110" dataOnRows="1" applyNumberFormats="0" applyBorderFormats="0" applyFontFormats="0" applyPatternFormats="0" applyAlignmentFormats="0" applyWidthHeightFormats="1" dataCaption="Values" updatedVersion="7" minRefreshableVersion="3" itemPrintTitles="1" createdVersion="6" indent="0" outline="1" outlineData="1" multipleFieldFilters="0" chartFormat="5">
  <location ref="A94:G108" firstHeaderRow="1" firstDataRow="2" firstDataCol="1"/>
  <pivotFields count="24">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Col" showAll="0">
      <items count="6">
        <item x="3"/>
        <item x="4"/>
        <item x="2"/>
        <item x="0"/>
        <item x="1"/>
        <item t="default"/>
      </items>
    </pivotField>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dataField="1" multipleItemSelectionAllowed="1" showAll="0"/>
    <pivotField showAll="0">
      <items count="369">
        <item x="0"/>
        <item x="367"/>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t="default"/>
      </items>
    </pivotField>
    <pivotField showAll="0"/>
    <pivotField showAll="0">
      <items count="15">
        <item sd="0" x="0"/>
        <item sd="0" x="1"/>
        <item sd="0" x="2"/>
        <item sd="0" x="3"/>
        <item sd="0" x="4"/>
        <item sd="0" x="5"/>
        <item sd="0" x="6"/>
        <item sd="0" x="7"/>
        <item sd="0" x="8"/>
        <item sd="0" x="9"/>
        <item sd="0" x="10"/>
        <item sd="0" x="11"/>
        <item sd="0" x="12"/>
        <item sd="0" x="13"/>
        <item t="default"/>
      </items>
    </pivotField>
    <pivotField axis="axisRow" showAll="0">
      <items count="15">
        <item x="0"/>
        <item x="1"/>
        <item x="2"/>
        <item x="3"/>
        <item x="4"/>
        <item x="5"/>
        <item x="6"/>
        <item x="7"/>
        <item x="8"/>
        <item x="9"/>
        <item x="10"/>
        <item x="11"/>
        <item x="12"/>
        <item x="13"/>
        <item t="default"/>
      </items>
    </pivotField>
  </pivotFields>
  <rowFields count="1">
    <field x="23"/>
  </rowFields>
  <rowItems count="13">
    <i>
      <x v="1"/>
    </i>
    <i>
      <x v="2"/>
    </i>
    <i>
      <x v="3"/>
    </i>
    <i>
      <x v="4"/>
    </i>
    <i>
      <x v="5"/>
    </i>
    <i>
      <x v="6"/>
    </i>
    <i>
      <x v="7"/>
    </i>
    <i>
      <x v="8"/>
    </i>
    <i>
      <x v="9"/>
    </i>
    <i>
      <x v="10"/>
    </i>
    <i>
      <x v="11"/>
    </i>
    <i>
      <x v="12"/>
    </i>
    <i t="grand">
      <x/>
    </i>
  </rowItems>
  <colFields count="1">
    <field x="2"/>
  </colFields>
  <colItems count="6">
    <i>
      <x/>
    </i>
    <i>
      <x v="1"/>
    </i>
    <i>
      <x v="2"/>
    </i>
    <i>
      <x v="3"/>
    </i>
    <i>
      <x v="4"/>
    </i>
    <i t="grand">
      <x/>
    </i>
  </colItems>
  <dataFields count="1">
    <dataField name="Số nhận việc" fld="19" subtotal="count" baseField="0" baseItem="0"/>
  </dataFields>
  <chartFormats count="10">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2">
          <reference field="4294967294" count="1" selected="0">
            <x v="0"/>
          </reference>
          <reference field="2" count="1" selected="0">
            <x v="2"/>
          </reference>
        </references>
      </pivotArea>
    </chartFormat>
    <chartFormat chart="0" format="3" series="1">
      <pivotArea type="data" outline="0" fieldPosition="0">
        <references count="2">
          <reference field="4294967294" count="1" selected="0">
            <x v="0"/>
          </reference>
          <reference field="2" count="1" selected="0">
            <x v="3"/>
          </reference>
        </references>
      </pivotArea>
    </chartFormat>
    <chartFormat chart="0" format="4" series="1">
      <pivotArea type="data" outline="0" fieldPosition="0">
        <references count="2">
          <reference field="4294967294" count="1" selected="0">
            <x v="0"/>
          </reference>
          <reference field="2" count="1" selected="0">
            <x v="4"/>
          </reference>
        </references>
      </pivotArea>
    </chartFormat>
    <chartFormat chart="4" format="20" series="1">
      <pivotArea type="data" outline="0" fieldPosition="0">
        <references count="2">
          <reference field="4294967294" count="1" selected="0">
            <x v="0"/>
          </reference>
          <reference field="2" count="1" selected="0">
            <x v="0"/>
          </reference>
        </references>
      </pivotArea>
    </chartFormat>
    <chartFormat chart="4" format="21" series="1">
      <pivotArea type="data" outline="0" fieldPosition="0">
        <references count="2">
          <reference field="4294967294" count="1" selected="0">
            <x v="0"/>
          </reference>
          <reference field="2" count="1" selected="0">
            <x v="1"/>
          </reference>
        </references>
      </pivotArea>
    </chartFormat>
    <chartFormat chart="4" format="22" series="1">
      <pivotArea type="data" outline="0" fieldPosition="0">
        <references count="2">
          <reference field="4294967294" count="1" selected="0">
            <x v="0"/>
          </reference>
          <reference field="2" count="1" selected="0">
            <x v="2"/>
          </reference>
        </references>
      </pivotArea>
    </chartFormat>
    <chartFormat chart="4" format="23" series="1">
      <pivotArea type="data" outline="0" fieldPosition="0">
        <references count="2">
          <reference field="4294967294" count="1" selected="0">
            <x v="0"/>
          </reference>
          <reference field="2" count="1" selected="0">
            <x v="3"/>
          </reference>
        </references>
      </pivotArea>
    </chartFormat>
    <chartFormat chart="4" format="24" series="1">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188E294-A9CE-4D90-8D86-3967AFA9A2B1}" name="Số nhận việc" cacheId="110" dataOnRows="1" applyNumberFormats="0" applyBorderFormats="0" applyFontFormats="0" applyPatternFormats="0" applyAlignmentFormats="0" applyWidthHeightFormats="1" dataCaption="Values" updatedVersion="7" minRefreshableVersion="3" itemPrintTitles="1" createdVersion="6" indent="0" outline="1" outlineData="1" multipleFieldFilters="0">
  <location ref="E6:E7" firstHeaderRow="1" firstDataRow="1" firstDataCol="0"/>
  <pivotFields count="24">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6">
        <item x="3"/>
        <item x="4"/>
        <item x="2"/>
        <item x="0"/>
        <item x="1"/>
        <item t="default"/>
      </items>
    </pivotField>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dataField="1" multipleItemSelectionAllowed="1" showAll="0"/>
    <pivotField showAll="0">
      <items count="369">
        <item x="0"/>
        <item x="367"/>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t="default"/>
      </items>
    </pivotField>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ố nhận việc" fld="19"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272481D-1189-4A8C-9AB7-F831EFF7A3EB}" name="Hồ sơ" cacheId="110" dataOnRows="1" applyNumberFormats="0" applyBorderFormats="0" applyFontFormats="0" applyPatternFormats="0" applyAlignmentFormats="0" applyWidthHeightFormats="1" dataCaption="Values" updatedVersion="7" minRefreshableVersion="3" useAutoFormatting="1" itemPrintTitles="1" createdVersion="6" indent="0" outline="1" outlineData="1" multipleFieldFilters="0">
  <location ref="A5:B8" firstHeaderRow="1" firstDataRow="1" firstDataCol="1"/>
  <pivotFields count="24">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6">
        <item x="3"/>
        <item x="4"/>
        <item x="2"/>
        <item x="0"/>
        <item x="1"/>
        <item t="default"/>
      </items>
    </pivotField>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showAll="0"/>
    <pivotField showAll="0">
      <items count="369">
        <item x="0"/>
        <item x="367"/>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t="default"/>
      </items>
    </pivotField>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15">
        <item x="0"/>
        <item x="1"/>
        <item x="2"/>
        <item x="3"/>
        <item x="4"/>
        <item x="5"/>
        <item x="6"/>
        <item x="7"/>
        <item x="8"/>
        <item x="9"/>
        <item x="10"/>
        <item x="11"/>
        <item x="12"/>
        <item x="13"/>
        <item t="default"/>
      </items>
    </pivotField>
  </pivotFields>
  <rowFields count="1">
    <field x="-2"/>
  </rowFields>
  <rowItems count="3">
    <i>
      <x/>
    </i>
    <i i="1">
      <x v="1"/>
    </i>
    <i i="2">
      <x v="2"/>
    </i>
  </rowItems>
  <colItems count="1">
    <i/>
  </colItems>
  <dataFields count="3">
    <dataField name=" Số lượng  hồ sơ" fld="16" baseField="0" baseItem="0"/>
    <dataField name=" Vượt qua vòng 1" fld="17" baseField="0" baseItem="0"/>
    <dataField name=" Vượt qua vòng 2" fld="1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1CA67EA-FA03-48A0-9430-0802D7230387}" name="CV, nhận việc theo tháng" cacheId="110" applyNumberFormats="0" applyBorderFormats="0" applyFontFormats="0" applyPatternFormats="0" applyAlignmentFormats="0" applyWidthHeightFormats="1" dataCaption="Values" updatedVersion="7" minRefreshableVersion="3" itemPrintTitles="1" createdVersion="6" indent="0" outline="1" outlineData="1" multipleFieldFilters="0" chartFormat="9">
  <location ref="A57:D71" firstHeaderRow="1" firstDataRow="2" firstDataCol="1"/>
  <pivotFields count="24">
    <pivotField showAll="0"/>
    <pivotField axis="axisRow"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6">
        <item x="3"/>
        <item x="4"/>
        <item x="2"/>
        <item x="0"/>
        <item x="1"/>
        <item t="default"/>
      </items>
    </pivotField>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dataField="1" showAll="0"/>
    <pivotField showAll="0"/>
    <pivotField showAll="0"/>
    <pivotField axis="axisCol" showAll="0">
      <items count="3">
        <item n="Chưa đạt" x="0"/>
        <item n="Nhận việc" x="1"/>
        <item t="default"/>
      </items>
    </pivotField>
    <pivotField showAll="0">
      <items count="369">
        <item x="0"/>
        <item x="367"/>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t="default"/>
      </items>
    </pivotField>
    <pivotField showAll="0"/>
    <pivotField showAll="0">
      <items count="15">
        <item x="0"/>
        <item x="1"/>
        <item x="2"/>
        <item x="3"/>
        <item x="4"/>
        <item x="5"/>
        <item x="6"/>
        <item x="7"/>
        <item x="8"/>
        <item x="9"/>
        <item x="10"/>
        <item x="11"/>
        <item x="12"/>
        <item x="13"/>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2">
    <field x="23"/>
    <field x="1"/>
  </rowFields>
  <rowItems count="13">
    <i>
      <x v="1"/>
    </i>
    <i>
      <x v="2"/>
    </i>
    <i>
      <x v="3"/>
    </i>
    <i>
      <x v="4"/>
    </i>
    <i>
      <x v="5"/>
    </i>
    <i>
      <x v="6"/>
    </i>
    <i>
      <x v="7"/>
    </i>
    <i>
      <x v="8"/>
    </i>
    <i>
      <x v="9"/>
    </i>
    <i>
      <x v="10"/>
    </i>
    <i>
      <x v="11"/>
    </i>
    <i>
      <x v="12"/>
    </i>
    <i t="grand">
      <x/>
    </i>
  </rowItems>
  <colFields count="1">
    <field x="19"/>
  </colFields>
  <colItems count="3">
    <i>
      <x/>
    </i>
    <i>
      <x v="1"/>
    </i>
    <i t="grand">
      <x/>
    </i>
  </colItems>
  <dataFields count="1">
    <dataField name=" Số lượng  hồ sơ" fld="16" baseField="0" baseItem="0"/>
  </dataFields>
  <chartFormats count="4">
    <chartFormat chart="4" format="2" series="1">
      <pivotArea type="data" outline="0" fieldPosition="0">
        <references count="2">
          <reference field="4294967294" count="1" selected="0">
            <x v="0"/>
          </reference>
          <reference field="19" count="1" selected="0">
            <x v="0"/>
          </reference>
        </references>
      </pivotArea>
    </chartFormat>
    <chartFormat chart="4" format="3" series="1">
      <pivotArea type="data" outline="0" fieldPosition="0">
        <references count="2">
          <reference field="4294967294" count="1" selected="0">
            <x v="0"/>
          </reference>
          <reference field="19" count="1" selected="0">
            <x v="1"/>
          </reference>
        </references>
      </pivotArea>
    </chartFormat>
    <chartFormat chart="8" format="10" series="1">
      <pivotArea type="data" outline="0" fieldPosition="0">
        <references count="2">
          <reference field="4294967294" count="1" selected="0">
            <x v="0"/>
          </reference>
          <reference field="19" count="1" selected="0">
            <x v="0"/>
          </reference>
        </references>
      </pivotArea>
    </chartFormat>
    <chartFormat chart="8" format="11" series="1">
      <pivotArea type="data" outline="0" fieldPosition="0">
        <references count="2">
          <reference field="4294967294" count="1" selected="0">
            <x v="0"/>
          </reference>
          <reference field="1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C32DF4E-1E91-448F-8AE2-E41B3AA7AC4F}" name="Chi phí, CV kênh" cacheId="110" applyNumberFormats="0" applyBorderFormats="0" applyFontFormats="0" applyPatternFormats="0" applyAlignmentFormats="0" applyWidthHeightFormats="1" dataCaption="Values" updatedVersion="7" minRefreshableVersion="3" itemPrintTitles="1" createdVersion="6" indent="0" outline="1" outlineData="1" multipleFieldFilters="0" chartFormat="13">
  <location ref="A15:C43" firstHeaderRow="0" firstDataRow="1" firstDataCol="1"/>
  <pivotFields count="24">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6">
        <item x="3"/>
        <item x="4"/>
        <item x="2"/>
        <item x="0"/>
        <item x="1"/>
        <item t="default"/>
      </items>
    </pivotField>
    <pivotField showAll="0"/>
    <pivotField showAll="0"/>
    <pivotField showAll="0"/>
    <pivotField numFmtId="14" showAll="0"/>
    <pivotField showAll="0"/>
    <pivotField showAll="0"/>
    <pivotField showAll="0"/>
    <pivotField showAll="0"/>
    <pivotField showAll="0"/>
    <pivotField axis="axisRow" showAll="0" sortType="ascending">
      <items count="3">
        <item x="1"/>
        <item x="0"/>
        <item t="default"/>
      </items>
      <autoSortScope>
        <pivotArea dataOnly="0" outline="0" fieldPosition="0">
          <references count="1">
            <reference field="4294967294" count="1" selected="0">
              <x v="0"/>
            </reference>
          </references>
        </pivotArea>
      </autoSortScope>
    </pivotField>
    <pivotField axis="axisRow" showAll="0" sortType="ascending">
      <items count="7">
        <item x="0"/>
        <item x="4"/>
        <item x="5"/>
        <item x="3"/>
        <item x="2"/>
        <item x="1"/>
        <item t="default"/>
      </items>
      <autoSortScope>
        <pivotArea dataOnly="0" outline="0" fieldPosition="0">
          <references count="1">
            <reference field="4294967294" count="1" selected="0">
              <x v="0"/>
            </reference>
          </references>
        </pivotArea>
      </autoSortScope>
    </pivotField>
    <pivotField axis="axisRow" showAll="0">
      <items count="5">
        <item x="1"/>
        <item x="3"/>
        <item x="2"/>
        <item n="()" sd="0" x="0"/>
        <item t="default"/>
      </items>
    </pivotField>
    <pivotField axis="axisRow" showAll="0">
      <items count="11">
        <item x="4"/>
        <item x="1"/>
        <item x="7"/>
        <item x="9"/>
        <item x="6"/>
        <item x="8"/>
        <item x="2"/>
        <item x="5"/>
        <item x="3"/>
        <item n="()" x="0"/>
        <item t="default"/>
      </items>
    </pivotField>
    <pivotField showAll="0"/>
    <pivotField showAll="0"/>
    <pivotField showAll="0"/>
    <pivotField dataField="1" showAll="0"/>
    <pivotField showAll="0">
      <items count="369">
        <item x="0"/>
        <item x="367"/>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t="default"/>
      </items>
    </pivotField>
    <pivotField dataField="1" showAll="0"/>
    <pivotField showAll="0">
      <items count="15">
        <item x="0"/>
        <item x="1"/>
        <item x="2"/>
        <item x="3"/>
        <item x="4"/>
        <item x="5"/>
        <item x="6"/>
        <item x="7"/>
        <item x="8"/>
        <item x="9"/>
        <item x="10"/>
        <item x="11"/>
        <item x="12"/>
        <item x="13"/>
        <item t="default"/>
      </items>
    </pivotField>
    <pivotField showAll="0">
      <items count="15">
        <item x="0"/>
        <item x="1"/>
        <item x="2"/>
        <item x="3"/>
        <item x="4"/>
        <item x="5"/>
        <item x="6"/>
        <item x="7"/>
        <item x="8"/>
        <item x="9"/>
        <item x="10"/>
        <item x="11"/>
        <item x="12"/>
        <item x="13"/>
        <item t="default"/>
      </items>
    </pivotField>
  </pivotFields>
  <rowFields count="4">
    <field x="12"/>
    <field x="13"/>
    <field x="14"/>
    <field x="15"/>
  </rowFields>
  <rowItems count="28">
    <i>
      <x v="1"/>
    </i>
    <i r="1">
      <x v="3"/>
    </i>
    <i r="2">
      <x v="3"/>
    </i>
    <i r="1">
      <x/>
    </i>
    <i r="2">
      <x v="3"/>
    </i>
    <i>
      <x/>
    </i>
    <i r="1">
      <x v="2"/>
    </i>
    <i r="2">
      <x v="3"/>
    </i>
    <i r="1">
      <x v="4"/>
    </i>
    <i r="2">
      <x v="1"/>
    </i>
    <i r="3">
      <x v="9"/>
    </i>
    <i r="1">
      <x v="5"/>
    </i>
    <i r="2">
      <x/>
    </i>
    <i r="3">
      <x/>
    </i>
    <i r="3">
      <x v="1"/>
    </i>
    <i r="3">
      <x v="2"/>
    </i>
    <i r="3">
      <x v="3"/>
    </i>
    <i r="3">
      <x v="8"/>
    </i>
    <i r="2">
      <x v="2"/>
    </i>
    <i r="3">
      <x/>
    </i>
    <i r="3">
      <x v="3"/>
    </i>
    <i r="3">
      <x v="4"/>
    </i>
    <i r="3">
      <x v="5"/>
    </i>
    <i r="3">
      <x v="6"/>
    </i>
    <i r="3">
      <x v="7"/>
    </i>
    <i r="1">
      <x v="1"/>
    </i>
    <i r="2">
      <x v="3"/>
    </i>
    <i t="grand">
      <x/>
    </i>
  </rowItems>
  <colFields count="1">
    <field x="-2"/>
  </colFields>
  <colItems count="2">
    <i>
      <x/>
    </i>
    <i i="1">
      <x v="1"/>
    </i>
  </colItems>
  <dataFields count="2">
    <dataField name=" Chi phí" fld="21" baseField="0" baseItem="0" numFmtId="165"/>
    <dataField name="Số nhận việc" fld="19" subtotal="count" baseField="0" baseItem="0"/>
  </dataFields>
  <chartFormats count="4">
    <chartFormat chart="7"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1"/>
          </reference>
        </references>
      </pivotArea>
    </chartFormat>
    <chartFormat chart="12" format="8" series="1">
      <pivotArea type="data" outline="0" fieldPosition="0">
        <references count="1">
          <reference field="4294967294" count="1" selected="0">
            <x v="1"/>
          </reference>
        </references>
      </pivotArea>
    </chartFormat>
    <chartFormat chart="12" format="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Đơn_vị___Chi_nhánh" xr10:uid="{D71C09AE-E3FB-4405-923C-F285E1F5B05F}" sourceName="Đơn vị / Chi nhánh">
  <pivotTables>
    <pivotTable tabId="3" name="Tổng chi phí"/>
    <pivotTable tabId="3" name="Hồ sơ"/>
    <pivotTable tabId="3" name="Chi phí, CV kênh"/>
    <pivotTable tabId="3" name="Chi phí CN"/>
    <pivotTable tabId="3" name="CV, nhận việc theo tháng"/>
    <pivotTable tabId="3" name="Tổng CV, chi phí theo tháng"/>
    <pivotTable tabId="3" name="Số nhận việc"/>
    <pivotTable tabId="3" name="Nhận việc theo tháng vs CN"/>
  </pivotTables>
  <data>
    <tabular pivotCacheId="344256863">
      <items count="5">
        <i x="3" s="1"/>
        <i x="4" s="1"/>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2" xr10:uid="{49C8404C-807F-4C22-B510-B738B913CA9B}" sourceName="Months2">
  <pivotTables>
    <pivotTable tabId="3" name="Hồ sơ"/>
    <pivotTable tabId="3" name="CV, nhận việc theo tháng"/>
    <pivotTable tabId="3" name="Chi phí CN"/>
    <pivotTable tabId="3" name="Chi phí, CV kênh"/>
    <pivotTable tabId="3" name="Nhận việc theo tháng vs CN"/>
    <pivotTable tabId="3" name="Số nhận việc"/>
    <pivotTable tabId="3" name="Tổng CV, chi phí theo tháng"/>
    <pivotTable tabId="3" name="Tổng chi phí"/>
  </pivotTables>
  <data>
    <tabular pivotCacheId="344256863">
      <items count="14">
        <i x="1" s="1"/>
        <i x="2" s="1"/>
        <i x="3" s="1"/>
        <i x="4" s="1"/>
        <i x="5" s="1"/>
        <i x="6" s="1"/>
        <i x="7" s="1"/>
        <i x="8" s="1"/>
        <i x="9" s="1"/>
        <i x="10" s="1"/>
        <i x="11" s="1"/>
        <i x="12" s="1"/>
        <i x="0" s="1" nd="1"/>
        <i x="13"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2" xr10:uid="{0BEB9AF5-CB0A-492F-BCD2-363498C1151C}" cache="Slicer_Months2" caption="Tháng" columnCount="2" rowHeight="3240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Đơn vị / Chi nhánh 1" xr10:uid="{71DEF478-FDCB-4810-939D-3AF84D3A232B}" cache="Slicer_Đơn_vị___Chi_nhánh" caption="Chi nhánh" style="SlicerStyleDark5 2" rowHeight="396000"/>
  <slicer name="Months2 2" xr10:uid="{DA299085-6F34-4949-AA81-8F7849635174}" cache="Slicer_Months2" caption="Tháng" columnCount="2" style="SlicerStyleDark5 2" rowHeight="324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FD90E2-1684-462B-9789-EB4AC250F26E}" name="Data_TD" displayName="Data_TD" ref="A1:V631" totalsRowShown="0" headerRowDxfId="25" headerRowBorderDxfId="24" tableBorderDxfId="23" totalsRowBorderDxfId="22">
  <autoFilter ref="A1:V631" xr:uid="{00000000-0009-0000-0000-000000000000}"/>
  <tableColumns count="22">
    <tableColumn id="1" xr3:uid="{E0B8BD8A-02EF-4A4F-9219-7D1DB21666FB}" name="STT" dataDxfId="21"/>
    <tableColumn id="2" xr3:uid="{3657854D-83E6-41F1-B09B-9588780AE5BD}" name="Ngày nhận hồ sơ" dataDxfId="20"/>
    <tableColumn id="6" xr3:uid="{D66FF4CC-9E57-4D61-BADA-5BCDCA21FE76}" name="Đơn vị / Chi nhánh" dataDxfId="19"/>
    <tableColumn id="7" xr3:uid="{3C5D199E-914E-4DA5-9718-A3EACD8DDDA4}" name="Phòng ban/Bộ phận" dataDxfId="18"/>
    <tableColumn id="8" xr3:uid="{05F1681E-95F6-4000-9A24-FBE0E9BFB0CB}" name="Vị trí" dataDxfId="17"/>
    <tableColumn id="9" xr3:uid="{55AA3406-217B-4D1F-81AC-031DE60594B1}" name="Họ và tên" dataDxfId="16"/>
    <tableColumn id="10" xr3:uid="{FAB98B75-5F90-4ECC-AFD2-5D9CA3354933}" name="Ngày tháng năm sinh" dataDxfId="15"/>
    <tableColumn id="11" xr3:uid="{8FA7126E-D8E5-4AB4-AA4A-E8EC81D22B69}" name="Tuổi" dataDxfId="14"/>
    <tableColumn id="12" xr3:uid="{DF63E227-FF17-42DE-A886-839C44F6AAFF}" name="Giới tính" dataDxfId="13"/>
    <tableColumn id="13" xr3:uid="{F13B7248-76C8-4816-A661-03F2B14DF174}" name="Tốt nghiệp trường" dataDxfId="12"/>
    <tableColumn id="14" xr3:uid="{91713B0B-059F-4A34-84E6-84436C73636A}" name="Trình độ cao nhất" dataDxfId="11"/>
    <tableColumn id="15" xr3:uid="{E89F119A-370B-4A72-B3DA-C252FE668FFD}" name="Quê quán" dataDxfId="10"/>
    <tableColumn id="16" xr3:uid="{DD905FB1-0C25-4AB9-9FF8-DF1F8D7FFB19}" name="Nguồn" dataDxfId="9"/>
    <tableColumn id="17" xr3:uid="{FC19A897-45C7-4618-B17A-0652A33EC501}" name="Hình thức" dataDxfId="8"/>
    <tableColumn id="18" xr3:uid="{D3C6EA68-C059-48B2-A698-87E29208E45C}" name="Kênh" dataDxfId="7"/>
    <tableColumn id="19" xr3:uid="{B2A7E46F-8B64-4C19-B6A7-71A3B9D5EE90}" name="Tại" dataDxfId="6"/>
    <tableColumn id="20" xr3:uid="{B82ED7FE-C5B5-42FF-9858-FF28A90841C6}" name="Số lượng  hồ sơ" dataDxfId="5"/>
    <tableColumn id="21" xr3:uid="{A08BFA60-6972-4BA0-89C7-537102F8EE88}" name="Vượt qua vòng 1" dataDxfId="4"/>
    <tableColumn id="22" xr3:uid="{ED277069-08CC-491A-B899-87623A1A4AE6}" name="Vượt qua vòng 2" dataDxfId="3"/>
    <tableColumn id="23" xr3:uid="{BAEFD1AA-F069-46EE-BDAB-2A4697DC226E}" name="Nhận việc" dataDxfId="2"/>
    <tableColumn id="24" xr3:uid="{CFA41E0E-D53D-431F-848D-D8FDB92B6E9F}" name="Thời gian hoàn thành" dataDxfId="1"/>
    <tableColumn id="25" xr3:uid="{459EC873-2F26-4891-9046-B88B1B148202}" name="Chi phí"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1.xml"/><Relationship Id="rId5" Type="http://schemas.openxmlformats.org/officeDocument/2006/relationships/pivotTable" Target="../pivotTables/pivotTable5.xml"/><Relationship Id="rId10" Type="http://schemas.openxmlformats.org/officeDocument/2006/relationships/drawing" Target="../drawings/drawing2.xml"/><Relationship Id="rId4" Type="http://schemas.openxmlformats.org/officeDocument/2006/relationships/pivotTable" Target="../pivotTables/pivotTable4.xml"/><Relationship Id="rId9"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61921F-D52C-4C5D-BD03-15314DB9A361}">
  <dimension ref="A2:Q11"/>
  <sheetViews>
    <sheetView workbookViewId="0">
      <pane ySplit="2" topLeftCell="A3" activePane="bottomLeft" state="frozen"/>
      <selection pane="bottomLeft" activeCell="D6" sqref="D6"/>
    </sheetView>
  </sheetViews>
  <sheetFormatPr defaultRowHeight="15" x14ac:dyDescent="0.25"/>
  <sheetData>
    <row r="2" spans="1:17" s="6" customFormat="1" ht="27.75" customHeight="1" x14ac:dyDescent="0.25">
      <c r="A2" s="30" t="s">
        <v>172</v>
      </c>
      <c r="B2" s="30"/>
      <c r="C2" s="30"/>
      <c r="D2" s="30"/>
      <c r="E2" s="30"/>
      <c r="F2" s="30"/>
      <c r="G2" s="30" t="s">
        <v>173</v>
      </c>
      <c r="H2" s="30"/>
      <c r="I2" s="30"/>
      <c r="J2" s="30"/>
      <c r="K2" s="30"/>
      <c r="L2" s="30"/>
      <c r="M2" s="30"/>
      <c r="N2" s="30" t="s">
        <v>174</v>
      </c>
      <c r="O2" s="30"/>
      <c r="P2" s="30"/>
      <c r="Q2" s="30"/>
    </row>
    <row r="3" spans="1:17" s="6" customFormat="1" ht="31.5" customHeight="1" x14ac:dyDescent="0.25">
      <c r="A3" s="31" t="s">
        <v>177</v>
      </c>
      <c r="B3" s="31"/>
      <c r="C3" s="31"/>
      <c r="D3" s="31"/>
      <c r="E3" s="31"/>
      <c r="F3" s="31"/>
      <c r="G3" s="31" t="s">
        <v>184</v>
      </c>
      <c r="H3" s="31"/>
      <c r="I3" s="31"/>
      <c r="J3" s="31"/>
      <c r="K3" s="31"/>
      <c r="L3" s="31"/>
      <c r="M3" s="31"/>
      <c r="N3" s="31" t="s">
        <v>175</v>
      </c>
      <c r="O3" s="31"/>
      <c r="P3" s="31"/>
      <c r="Q3" s="31"/>
    </row>
    <row r="4" spans="1:17" s="6" customFormat="1" ht="31.5" customHeight="1" x14ac:dyDescent="0.25">
      <c r="A4" s="31" t="s">
        <v>178</v>
      </c>
      <c r="B4" s="31"/>
      <c r="C4" s="31"/>
      <c r="D4" s="31"/>
      <c r="E4" s="31"/>
      <c r="F4" s="31"/>
      <c r="G4" s="31" t="s">
        <v>185</v>
      </c>
      <c r="H4" s="31"/>
      <c r="I4" s="31"/>
      <c r="J4" s="31"/>
      <c r="K4" s="31"/>
      <c r="L4" s="31"/>
      <c r="M4" s="31"/>
      <c r="N4" s="31" t="s">
        <v>189</v>
      </c>
      <c r="O4" s="31"/>
      <c r="P4" s="31"/>
      <c r="Q4" s="31"/>
    </row>
    <row r="5" spans="1:17" s="6" customFormat="1" ht="31.5" customHeight="1" x14ac:dyDescent="0.25">
      <c r="A5" s="31" t="s">
        <v>179</v>
      </c>
      <c r="B5" s="31"/>
      <c r="C5" s="31"/>
      <c r="D5" s="31"/>
      <c r="E5" s="31"/>
      <c r="F5" s="31"/>
      <c r="G5" s="31" t="s">
        <v>186</v>
      </c>
      <c r="H5" s="31"/>
      <c r="I5" s="31"/>
      <c r="J5" s="31"/>
      <c r="K5" s="31"/>
      <c r="L5" s="31"/>
      <c r="M5" s="31"/>
      <c r="O5" s="31"/>
      <c r="P5" s="31"/>
      <c r="Q5" s="31"/>
    </row>
    <row r="6" spans="1:17" s="6" customFormat="1" ht="31.5" customHeight="1" x14ac:dyDescent="0.25">
      <c r="A6" s="31" t="s">
        <v>180</v>
      </c>
      <c r="B6" s="31"/>
      <c r="C6" s="31"/>
      <c r="D6" s="31"/>
      <c r="E6" s="31"/>
      <c r="F6" s="31"/>
      <c r="G6" s="31" t="s">
        <v>187</v>
      </c>
      <c r="H6" s="31"/>
      <c r="I6" s="31"/>
      <c r="J6" s="31"/>
      <c r="K6" s="31"/>
      <c r="L6" s="31"/>
      <c r="M6" s="31"/>
      <c r="N6" s="31"/>
      <c r="O6" s="31"/>
      <c r="P6" s="31"/>
      <c r="Q6" s="31"/>
    </row>
    <row r="7" spans="1:17" s="6" customFormat="1" ht="31.5" customHeight="1" x14ac:dyDescent="0.25">
      <c r="A7" s="31" t="s">
        <v>181</v>
      </c>
      <c r="B7" s="31"/>
      <c r="C7" s="31"/>
      <c r="D7" s="31"/>
      <c r="E7" s="31"/>
      <c r="F7" s="31"/>
      <c r="G7" s="31" t="s">
        <v>188</v>
      </c>
      <c r="H7" s="31"/>
      <c r="I7" s="31"/>
      <c r="J7" s="31"/>
      <c r="K7" s="31"/>
      <c r="L7" s="31"/>
      <c r="M7" s="31"/>
      <c r="N7" s="31"/>
      <c r="O7" s="31"/>
      <c r="P7" s="31"/>
      <c r="Q7" s="31"/>
    </row>
    <row r="8" spans="1:17" ht="31.5" customHeight="1" x14ac:dyDescent="0.25">
      <c r="A8" s="31" t="s">
        <v>182</v>
      </c>
      <c r="B8" s="31"/>
      <c r="C8" s="31"/>
      <c r="D8" s="31"/>
      <c r="E8" s="31"/>
      <c r="F8" s="31"/>
      <c r="G8" s="31"/>
      <c r="H8" s="31"/>
      <c r="I8" s="31"/>
      <c r="J8" s="31"/>
      <c r="K8" s="31"/>
      <c r="L8" s="31"/>
      <c r="M8" s="31"/>
      <c r="N8" s="31"/>
      <c r="O8" s="31"/>
      <c r="P8" s="31"/>
      <c r="Q8" s="31"/>
    </row>
    <row r="9" spans="1:17" ht="31.5" customHeight="1" x14ac:dyDescent="0.25">
      <c r="A9" s="31" t="s">
        <v>183</v>
      </c>
      <c r="B9" s="31"/>
      <c r="C9" s="31"/>
      <c r="D9" s="31"/>
      <c r="E9" s="31"/>
      <c r="F9" s="31"/>
      <c r="G9" s="31"/>
      <c r="H9" s="31"/>
      <c r="I9" s="31"/>
      <c r="J9" s="31"/>
      <c r="K9" s="31"/>
      <c r="L9" s="31"/>
      <c r="M9" s="31"/>
      <c r="N9" s="31"/>
      <c r="O9" s="31"/>
      <c r="P9" s="31"/>
      <c r="Q9" s="31"/>
    </row>
    <row r="10" spans="1:17" ht="31.5" customHeight="1" x14ac:dyDescent="0.25"/>
    <row r="11" spans="1:17" x14ac:dyDescent="0.25">
      <c r="A11" s="32" t="s">
        <v>176</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631"/>
  <sheetViews>
    <sheetView workbookViewId="0">
      <pane xSplit="2" ySplit="1" topLeftCell="M616" activePane="bottomRight" state="frozen"/>
      <selection pane="topRight" activeCell="C1" sqref="C1"/>
      <selection pane="bottomLeft" activeCell="A2" sqref="A2"/>
      <selection pane="bottomRight" activeCell="C618" sqref="C618"/>
    </sheetView>
  </sheetViews>
  <sheetFormatPr defaultRowHeight="15" x14ac:dyDescent="0.25"/>
  <cols>
    <col min="1" max="1" width="6.140625" style="5" customWidth="1"/>
    <col min="2" max="2" width="12.85546875" style="1" customWidth="1"/>
    <col min="3" max="3" width="19.7109375" customWidth="1"/>
    <col min="4" max="4" width="20.42578125" customWidth="1"/>
    <col min="5" max="5" width="16.28515625" customWidth="1"/>
    <col min="6" max="6" width="22.140625" bestFit="1" customWidth="1"/>
    <col min="7" max="7" width="15.42578125" style="1" bestFit="1" customWidth="1"/>
    <col min="8" max="8" width="9.42578125" bestFit="1" customWidth="1"/>
    <col min="9" max="9" width="13.5703125" bestFit="1" customWidth="1"/>
    <col min="10" max="10" width="20.7109375" bestFit="1" customWidth="1"/>
    <col min="11" max="11" width="13" bestFit="1" customWidth="1"/>
    <col min="12" max="12" width="14.140625" bestFit="1" customWidth="1"/>
    <col min="13" max="13" width="11.42578125" bestFit="1" customWidth="1"/>
    <col min="14" max="14" width="14.28515625" bestFit="1" customWidth="1"/>
    <col min="15" max="15" width="17" bestFit="1" customWidth="1"/>
    <col min="16" max="16" width="18.140625" bestFit="1" customWidth="1"/>
    <col min="17" max="17" width="17.140625" customWidth="1"/>
    <col min="18" max="19" width="17.85546875" customWidth="1"/>
    <col min="20" max="20" width="15.140625" customWidth="1"/>
    <col min="21" max="21" width="21.85546875" style="1" customWidth="1"/>
    <col min="22" max="22" width="9.28515625" customWidth="1"/>
  </cols>
  <sheetData>
    <row r="1" spans="1:22" s="4" customFormat="1" ht="34.5" customHeight="1" x14ac:dyDescent="0.25">
      <c r="A1" s="9" t="s">
        <v>0</v>
      </c>
      <c r="B1" s="10" t="s">
        <v>1</v>
      </c>
      <c r="C1" s="11" t="s">
        <v>2</v>
      </c>
      <c r="D1" s="11" t="s">
        <v>3</v>
      </c>
      <c r="E1" s="11" t="s">
        <v>4</v>
      </c>
      <c r="F1" s="11" t="s">
        <v>5</v>
      </c>
      <c r="G1" s="10" t="s">
        <v>6</v>
      </c>
      <c r="H1" s="11" t="s">
        <v>7</v>
      </c>
      <c r="I1" s="11" t="s">
        <v>8</v>
      </c>
      <c r="J1" s="11" t="s">
        <v>9</v>
      </c>
      <c r="K1" s="11" t="s">
        <v>10</v>
      </c>
      <c r="L1" s="11" t="s">
        <v>11</v>
      </c>
      <c r="M1" s="11" t="s">
        <v>12</v>
      </c>
      <c r="N1" s="11" t="s">
        <v>13</v>
      </c>
      <c r="O1" s="11" t="s">
        <v>14</v>
      </c>
      <c r="P1" s="11" t="s">
        <v>15</v>
      </c>
      <c r="Q1" s="11" t="s">
        <v>16</v>
      </c>
      <c r="R1" s="11" t="s">
        <v>17</v>
      </c>
      <c r="S1" s="11" t="s">
        <v>18</v>
      </c>
      <c r="T1" s="11" t="s">
        <v>19</v>
      </c>
      <c r="U1" s="10" t="s">
        <v>20</v>
      </c>
      <c r="V1" s="12" t="s">
        <v>21</v>
      </c>
    </row>
    <row r="2" spans="1:22" ht="15" customHeight="1" x14ac:dyDescent="0.25">
      <c r="A2" s="7">
        <v>1</v>
      </c>
      <c r="B2" s="3">
        <v>43466</v>
      </c>
      <c r="C2" s="2" t="s">
        <v>22</v>
      </c>
      <c r="D2" s="2" t="s">
        <v>23</v>
      </c>
      <c r="E2" s="2" t="s">
        <v>24</v>
      </c>
      <c r="F2" s="2" t="s">
        <v>25</v>
      </c>
      <c r="G2" s="3">
        <v>33409</v>
      </c>
      <c r="H2" s="2">
        <v>29</v>
      </c>
      <c r="I2" s="2" t="s">
        <v>26</v>
      </c>
      <c r="J2" s="2" t="s">
        <v>27</v>
      </c>
      <c r="K2" s="2" t="s">
        <v>28</v>
      </c>
      <c r="L2" s="2" t="s">
        <v>29</v>
      </c>
      <c r="M2" s="2" t="s">
        <v>30</v>
      </c>
      <c r="N2" s="2" t="s">
        <v>31</v>
      </c>
      <c r="O2" s="2"/>
      <c r="P2" s="2"/>
      <c r="Q2" s="2">
        <v>1</v>
      </c>
      <c r="R2" s="2"/>
      <c r="S2" s="2"/>
      <c r="T2" s="2"/>
      <c r="U2" s="3"/>
      <c r="V2" s="8">
        <v>120000</v>
      </c>
    </row>
    <row r="3" spans="1:22" ht="15" customHeight="1" x14ac:dyDescent="0.25">
      <c r="A3" s="7">
        <v>2</v>
      </c>
      <c r="B3" s="3">
        <v>43466</v>
      </c>
      <c r="C3" s="2" t="s">
        <v>32</v>
      </c>
      <c r="D3" s="2" t="s">
        <v>33</v>
      </c>
      <c r="E3" s="2" t="s">
        <v>34</v>
      </c>
      <c r="F3" s="2" t="s">
        <v>35</v>
      </c>
      <c r="G3" s="3">
        <v>33016</v>
      </c>
      <c r="H3" s="2">
        <v>30</v>
      </c>
      <c r="I3" s="2" t="s">
        <v>26</v>
      </c>
      <c r="J3" s="2" t="s">
        <v>36</v>
      </c>
      <c r="K3" s="2" t="s">
        <v>37</v>
      </c>
      <c r="L3" s="2" t="s">
        <v>29</v>
      </c>
      <c r="M3" s="2" t="s">
        <v>38</v>
      </c>
      <c r="N3" s="2" t="s">
        <v>39</v>
      </c>
      <c r="O3" s="2" t="s">
        <v>40</v>
      </c>
      <c r="P3" s="2" t="s">
        <v>41</v>
      </c>
      <c r="Q3" s="2">
        <v>1</v>
      </c>
      <c r="R3" s="2"/>
      <c r="S3" s="2"/>
      <c r="T3" s="2"/>
      <c r="U3" s="3"/>
      <c r="V3" s="8"/>
    </row>
    <row r="4" spans="1:22" ht="15" customHeight="1" x14ac:dyDescent="0.25">
      <c r="A4" s="7">
        <v>3</v>
      </c>
      <c r="B4" s="3">
        <v>43467</v>
      </c>
      <c r="C4" s="2" t="s">
        <v>32</v>
      </c>
      <c r="D4" s="2" t="s">
        <v>42</v>
      </c>
      <c r="E4" s="2" t="s">
        <v>43</v>
      </c>
      <c r="F4" s="2" t="s">
        <v>44</v>
      </c>
      <c r="G4" s="3">
        <v>33327</v>
      </c>
      <c r="H4" s="2">
        <v>29</v>
      </c>
      <c r="I4" s="2" t="s">
        <v>26</v>
      </c>
      <c r="J4" s="2" t="s">
        <v>27</v>
      </c>
      <c r="K4" s="2" t="s">
        <v>37</v>
      </c>
      <c r="L4" s="2" t="s">
        <v>45</v>
      </c>
      <c r="M4" s="2" t="s">
        <v>38</v>
      </c>
      <c r="N4" s="2" t="s">
        <v>39</v>
      </c>
      <c r="O4" s="2" t="s">
        <v>46</v>
      </c>
      <c r="P4" s="2" t="s">
        <v>47</v>
      </c>
      <c r="Q4" s="2">
        <v>1</v>
      </c>
      <c r="R4" s="2">
        <v>1</v>
      </c>
      <c r="S4" s="2">
        <v>1</v>
      </c>
      <c r="T4" s="2">
        <v>1</v>
      </c>
      <c r="U4" s="3">
        <v>43473</v>
      </c>
      <c r="V4" s="8">
        <v>500000</v>
      </c>
    </row>
    <row r="5" spans="1:22" ht="15" customHeight="1" x14ac:dyDescent="0.25">
      <c r="A5" s="7">
        <v>4</v>
      </c>
      <c r="B5" s="3">
        <v>43467</v>
      </c>
      <c r="C5" s="2" t="s">
        <v>48</v>
      </c>
      <c r="D5" s="2" t="s">
        <v>23</v>
      </c>
      <c r="E5" s="2" t="s">
        <v>24</v>
      </c>
      <c r="F5" s="2" t="s">
        <v>49</v>
      </c>
      <c r="G5" s="3">
        <v>32996</v>
      </c>
      <c r="H5" s="2">
        <v>30</v>
      </c>
      <c r="I5" s="2" t="s">
        <v>26</v>
      </c>
      <c r="J5" s="2" t="s">
        <v>50</v>
      </c>
      <c r="K5" s="2" t="s">
        <v>37</v>
      </c>
      <c r="L5" s="2" t="s">
        <v>45</v>
      </c>
      <c r="M5" s="2" t="s">
        <v>38</v>
      </c>
      <c r="N5" s="2" t="s">
        <v>39</v>
      </c>
      <c r="O5" s="2" t="s">
        <v>46</v>
      </c>
      <c r="P5" s="2" t="s">
        <v>47</v>
      </c>
      <c r="Q5" s="2">
        <v>1</v>
      </c>
      <c r="R5" s="2">
        <v>1</v>
      </c>
      <c r="S5" s="2">
        <v>1</v>
      </c>
      <c r="T5" s="2">
        <v>1</v>
      </c>
      <c r="U5" s="3">
        <v>43485</v>
      </c>
      <c r="V5" s="8">
        <v>500000</v>
      </c>
    </row>
    <row r="6" spans="1:22" ht="15" customHeight="1" x14ac:dyDescent="0.25">
      <c r="A6" s="7">
        <v>5</v>
      </c>
      <c r="B6" s="3">
        <v>43467</v>
      </c>
      <c r="C6" s="2" t="s">
        <v>32</v>
      </c>
      <c r="D6" s="2" t="s">
        <v>42</v>
      </c>
      <c r="E6" s="2" t="s">
        <v>43</v>
      </c>
      <c r="F6" s="2" t="s">
        <v>44</v>
      </c>
      <c r="G6" s="3">
        <v>33327</v>
      </c>
      <c r="H6" s="2">
        <v>29</v>
      </c>
      <c r="I6" s="2" t="s">
        <v>26</v>
      </c>
      <c r="J6" s="2" t="s">
        <v>27</v>
      </c>
      <c r="K6" s="2" t="s">
        <v>37</v>
      </c>
      <c r="L6" s="2" t="s">
        <v>45</v>
      </c>
      <c r="M6" s="2" t="s">
        <v>38</v>
      </c>
      <c r="N6" s="2" t="s">
        <v>39</v>
      </c>
      <c r="O6" s="2" t="s">
        <v>46</v>
      </c>
      <c r="P6" s="2" t="s">
        <v>47</v>
      </c>
      <c r="Q6" s="2">
        <v>1</v>
      </c>
      <c r="R6" s="2">
        <v>1</v>
      </c>
      <c r="S6" s="2">
        <v>1</v>
      </c>
      <c r="T6" s="2">
        <v>1</v>
      </c>
      <c r="U6" s="3">
        <v>43473</v>
      </c>
      <c r="V6" s="8">
        <v>500000</v>
      </c>
    </row>
    <row r="7" spans="1:22" ht="15" customHeight="1" x14ac:dyDescent="0.25">
      <c r="A7" s="7">
        <v>6</v>
      </c>
      <c r="B7" s="3">
        <v>43467</v>
      </c>
      <c r="C7" s="2" t="s">
        <v>48</v>
      </c>
      <c r="D7" s="2" t="s">
        <v>23</v>
      </c>
      <c r="E7" s="2" t="s">
        <v>24</v>
      </c>
      <c r="F7" s="2" t="s">
        <v>49</v>
      </c>
      <c r="G7" s="3">
        <v>32996</v>
      </c>
      <c r="H7" s="2">
        <v>30</v>
      </c>
      <c r="I7" s="2" t="s">
        <v>26</v>
      </c>
      <c r="J7" s="2" t="s">
        <v>50</v>
      </c>
      <c r="K7" s="2" t="s">
        <v>37</v>
      </c>
      <c r="L7" s="2" t="s">
        <v>45</v>
      </c>
      <c r="M7" s="2" t="s">
        <v>38</v>
      </c>
      <c r="N7" s="2" t="s">
        <v>39</v>
      </c>
      <c r="O7" s="2" t="s">
        <v>46</v>
      </c>
      <c r="P7" s="2" t="s">
        <v>47</v>
      </c>
      <c r="Q7" s="2">
        <v>1</v>
      </c>
      <c r="R7" s="2">
        <v>1</v>
      </c>
      <c r="S7" s="2">
        <v>1</v>
      </c>
      <c r="T7" s="2">
        <v>1</v>
      </c>
      <c r="U7" s="3">
        <v>43485</v>
      </c>
      <c r="V7" s="8">
        <v>500000</v>
      </c>
    </row>
    <row r="8" spans="1:22" ht="15" customHeight="1" x14ac:dyDescent="0.25">
      <c r="A8" s="7">
        <v>7</v>
      </c>
      <c r="B8" s="3">
        <v>43468</v>
      </c>
      <c r="C8" s="2" t="s">
        <v>48</v>
      </c>
      <c r="D8" s="2" t="s">
        <v>51</v>
      </c>
      <c r="E8" s="2" t="s">
        <v>52</v>
      </c>
      <c r="F8" s="2" t="s">
        <v>53</v>
      </c>
      <c r="G8" s="3">
        <v>33041</v>
      </c>
      <c r="H8" s="2">
        <v>30</v>
      </c>
      <c r="I8" s="2" t="s">
        <v>26</v>
      </c>
      <c r="J8" s="2" t="s">
        <v>50</v>
      </c>
      <c r="K8" s="2" t="s">
        <v>37</v>
      </c>
      <c r="L8" s="2" t="s">
        <v>45</v>
      </c>
      <c r="M8" s="2" t="s">
        <v>30</v>
      </c>
      <c r="N8" s="2" t="s">
        <v>31</v>
      </c>
      <c r="O8" s="2"/>
      <c r="P8" s="2"/>
      <c r="Q8" s="2">
        <v>1</v>
      </c>
      <c r="R8" s="2">
        <v>1</v>
      </c>
      <c r="S8" s="2"/>
      <c r="T8" s="2"/>
      <c r="U8" s="3"/>
      <c r="V8" s="8"/>
    </row>
    <row r="9" spans="1:22" ht="15" customHeight="1" x14ac:dyDescent="0.25">
      <c r="A9" s="7">
        <v>8</v>
      </c>
      <c r="B9" s="3">
        <v>43469</v>
      </c>
      <c r="C9" s="2" t="s">
        <v>57</v>
      </c>
      <c r="D9" s="2" t="s">
        <v>23</v>
      </c>
      <c r="E9" s="2" t="s">
        <v>24</v>
      </c>
      <c r="F9" s="2" t="s">
        <v>58</v>
      </c>
      <c r="G9" s="3">
        <v>33144</v>
      </c>
      <c r="H9" s="2">
        <v>29</v>
      </c>
      <c r="I9" s="2" t="s">
        <v>26</v>
      </c>
      <c r="J9" s="2" t="s">
        <v>50</v>
      </c>
      <c r="K9" s="2" t="s">
        <v>28</v>
      </c>
      <c r="L9" s="2" t="s">
        <v>45</v>
      </c>
      <c r="M9" s="2" t="s">
        <v>38</v>
      </c>
      <c r="N9" s="2" t="s">
        <v>39</v>
      </c>
      <c r="O9" s="2" t="s">
        <v>40</v>
      </c>
      <c r="P9" s="2" t="s">
        <v>41</v>
      </c>
      <c r="Q9" s="2">
        <v>1</v>
      </c>
      <c r="R9" s="2"/>
      <c r="S9" s="2"/>
      <c r="T9" s="2"/>
      <c r="U9" s="3"/>
      <c r="V9" s="8">
        <v>45000</v>
      </c>
    </row>
    <row r="10" spans="1:22" ht="15" customHeight="1" x14ac:dyDescent="0.25">
      <c r="A10" s="7">
        <v>9</v>
      </c>
      <c r="B10" s="3">
        <v>43470</v>
      </c>
      <c r="C10" s="2" t="s">
        <v>57</v>
      </c>
      <c r="D10" s="2" t="s">
        <v>51</v>
      </c>
      <c r="E10" s="2" t="s">
        <v>59</v>
      </c>
      <c r="F10" s="2" t="s">
        <v>60</v>
      </c>
      <c r="G10" s="3">
        <v>32919</v>
      </c>
      <c r="H10" s="2">
        <v>30</v>
      </c>
      <c r="I10" s="2" t="s">
        <v>26</v>
      </c>
      <c r="J10" s="2" t="s">
        <v>61</v>
      </c>
      <c r="K10" s="2" t="s">
        <v>37</v>
      </c>
      <c r="L10" s="2" t="s">
        <v>62</v>
      </c>
      <c r="M10" s="2" t="s">
        <v>38</v>
      </c>
      <c r="N10" s="2" t="s">
        <v>63</v>
      </c>
      <c r="O10" s="2" t="s">
        <v>64</v>
      </c>
      <c r="P10" s="2"/>
      <c r="Q10" s="2">
        <v>1</v>
      </c>
      <c r="R10" s="2"/>
      <c r="S10" s="2"/>
      <c r="T10" s="2"/>
      <c r="U10" s="3"/>
      <c r="V10" s="8">
        <v>61000</v>
      </c>
    </row>
    <row r="11" spans="1:22" ht="15" customHeight="1" x14ac:dyDescent="0.25">
      <c r="A11" s="7">
        <v>10</v>
      </c>
      <c r="B11" s="3">
        <v>43471</v>
      </c>
      <c r="C11" s="2" t="s">
        <v>48</v>
      </c>
      <c r="D11" s="2" t="s">
        <v>23</v>
      </c>
      <c r="E11" s="2" t="s">
        <v>24</v>
      </c>
      <c r="F11" s="2" t="s">
        <v>65</v>
      </c>
      <c r="G11" s="3">
        <v>34195</v>
      </c>
      <c r="H11" s="2">
        <v>27</v>
      </c>
      <c r="I11" s="2" t="s">
        <v>26</v>
      </c>
      <c r="J11" s="2" t="s">
        <v>27</v>
      </c>
      <c r="K11" s="2" t="s">
        <v>37</v>
      </c>
      <c r="L11" s="2" t="s">
        <v>45</v>
      </c>
      <c r="M11" s="2" t="s">
        <v>38</v>
      </c>
      <c r="N11" s="2" t="s">
        <v>39</v>
      </c>
      <c r="O11" s="2" t="s">
        <v>40</v>
      </c>
      <c r="P11" s="2" t="s">
        <v>41</v>
      </c>
      <c r="Q11" s="2">
        <v>1</v>
      </c>
      <c r="R11" s="2">
        <v>1</v>
      </c>
      <c r="S11" s="2"/>
      <c r="T11" s="2"/>
      <c r="U11" s="3"/>
      <c r="V11" s="8"/>
    </row>
    <row r="12" spans="1:22" ht="15" customHeight="1" x14ac:dyDescent="0.25">
      <c r="A12" s="7">
        <v>11</v>
      </c>
      <c r="B12" s="3">
        <v>43471</v>
      </c>
      <c r="C12" s="2" t="s">
        <v>66</v>
      </c>
      <c r="D12" s="2" t="s">
        <v>67</v>
      </c>
      <c r="E12" s="2" t="s">
        <v>68</v>
      </c>
      <c r="F12" s="2" t="s">
        <v>69</v>
      </c>
      <c r="G12" s="3">
        <v>32589</v>
      </c>
      <c r="H12" s="2">
        <v>31</v>
      </c>
      <c r="I12" s="2" t="s">
        <v>26</v>
      </c>
      <c r="J12" s="2" t="s">
        <v>70</v>
      </c>
      <c r="K12" s="2" t="s">
        <v>28</v>
      </c>
      <c r="L12" s="2" t="s">
        <v>45</v>
      </c>
      <c r="M12" s="2" t="s">
        <v>38</v>
      </c>
      <c r="N12" s="2" t="s">
        <v>63</v>
      </c>
      <c r="O12" s="2" t="s">
        <v>64</v>
      </c>
      <c r="P12" s="2"/>
      <c r="Q12" s="2">
        <v>1</v>
      </c>
      <c r="R12" s="2">
        <v>1</v>
      </c>
      <c r="S12" s="2">
        <v>1</v>
      </c>
      <c r="T12" s="2">
        <v>1</v>
      </c>
      <c r="U12" s="3">
        <v>43475</v>
      </c>
      <c r="V12" s="8">
        <v>100000</v>
      </c>
    </row>
    <row r="13" spans="1:22" ht="15" customHeight="1" x14ac:dyDescent="0.25">
      <c r="A13" s="7">
        <v>12</v>
      </c>
      <c r="B13" s="3">
        <v>43473</v>
      </c>
      <c r="C13" s="2" t="s">
        <v>32</v>
      </c>
      <c r="D13" s="2" t="s">
        <v>71</v>
      </c>
      <c r="E13" s="2" t="s">
        <v>59</v>
      </c>
      <c r="F13" s="2" t="s">
        <v>72</v>
      </c>
      <c r="G13" s="3">
        <v>33476</v>
      </c>
      <c r="H13" s="2">
        <v>29</v>
      </c>
      <c r="I13" s="2" t="s">
        <v>26</v>
      </c>
      <c r="J13" s="2" t="s">
        <v>73</v>
      </c>
      <c r="K13" s="2" t="s">
        <v>37</v>
      </c>
      <c r="L13" s="2" t="s">
        <v>45</v>
      </c>
      <c r="M13" s="2" t="s">
        <v>38</v>
      </c>
      <c r="N13" s="2" t="s">
        <v>39</v>
      </c>
      <c r="O13" s="2" t="s">
        <v>40</v>
      </c>
      <c r="P13" s="2" t="s">
        <v>41</v>
      </c>
      <c r="Q13" s="2">
        <v>1</v>
      </c>
      <c r="R13" s="2">
        <v>1</v>
      </c>
      <c r="S13" s="2">
        <v>1</v>
      </c>
      <c r="T13" s="2">
        <v>1</v>
      </c>
      <c r="U13" s="3">
        <v>43478</v>
      </c>
      <c r="V13" s="8">
        <v>100000</v>
      </c>
    </row>
    <row r="14" spans="1:22" ht="15" customHeight="1" x14ac:dyDescent="0.25">
      <c r="A14" s="7">
        <v>13</v>
      </c>
      <c r="B14" s="3">
        <v>43474</v>
      </c>
      <c r="C14" s="2" t="s">
        <v>32</v>
      </c>
      <c r="D14" s="2" t="s">
        <v>33</v>
      </c>
      <c r="E14" s="2" t="s">
        <v>34</v>
      </c>
      <c r="F14" s="2" t="s">
        <v>74</v>
      </c>
      <c r="G14" s="3">
        <v>32558</v>
      </c>
      <c r="H14" s="2">
        <v>31</v>
      </c>
      <c r="I14" s="2" t="s">
        <v>26</v>
      </c>
      <c r="J14" s="2" t="s">
        <v>75</v>
      </c>
      <c r="K14" s="2" t="s">
        <v>37</v>
      </c>
      <c r="L14" s="2" t="s">
        <v>76</v>
      </c>
      <c r="M14" s="2" t="s">
        <v>38</v>
      </c>
      <c r="N14" s="2" t="s">
        <v>39</v>
      </c>
      <c r="O14" s="2" t="s">
        <v>40</v>
      </c>
      <c r="P14" s="2" t="s">
        <v>77</v>
      </c>
      <c r="Q14" s="2">
        <v>1</v>
      </c>
      <c r="R14" s="2">
        <v>1</v>
      </c>
      <c r="S14" s="2">
        <v>1</v>
      </c>
      <c r="T14" s="2">
        <v>1</v>
      </c>
      <c r="U14" s="3">
        <v>43477</v>
      </c>
      <c r="V14" s="8"/>
    </row>
    <row r="15" spans="1:22" ht="15" customHeight="1" x14ac:dyDescent="0.25">
      <c r="A15" s="7">
        <v>14</v>
      </c>
      <c r="B15" s="3">
        <v>43475</v>
      </c>
      <c r="C15" s="2" t="s">
        <v>57</v>
      </c>
      <c r="D15" s="2" t="s">
        <v>67</v>
      </c>
      <c r="E15" s="2" t="s">
        <v>68</v>
      </c>
      <c r="F15" s="2" t="s">
        <v>78</v>
      </c>
      <c r="G15" s="3">
        <v>33573</v>
      </c>
      <c r="H15" s="2">
        <v>28</v>
      </c>
      <c r="I15" s="2" t="s">
        <v>26</v>
      </c>
      <c r="J15" s="2" t="s">
        <v>79</v>
      </c>
      <c r="K15" s="2" t="s">
        <v>37</v>
      </c>
      <c r="L15" s="2" t="s">
        <v>45</v>
      </c>
      <c r="M15" s="2" t="s">
        <v>38</v>
      </c>
      <c r="N15" s="2" t="s">
        <v>39</v>
      </c>
      <c r="O15" s="2" t="s">
        <v>40</v>
      </c>
      <c r="P15" s="2" t="s">
        <v>41</v>
      </c>
      <c r="Q15" s="2">
        <v>1</v>
      </c>
      <c r="R15" s="2">
        <v>1</v>
      </c>
      <c r="S15" s="2">
        <v>1</v>
      </c>
      <c r="T15" s="2">
        <v>1</v>
      </c>
      <c r="U15" s="3">
        <v>43481</v>
      </c>
      <c r="V15" s="8"/>
    </row>
    <row r="16" spans="1:22" ht="15" customHeight="1" x14ac:dyDescent="0.25">
      <c r="A16" s="7">
        <v>15</v>
      </c>
      <c r="B16" s="3">
        <v>43476</v>
      </c>
      <c r="C16" s="2" t="s">
        <v>32</v>
      </c>
      <c r="D16" s="2" t="s">
        <v>42</v>
      </c>
      <c r="E16" s="2" t="s">
        <v>43</v>
      </c>
      <c r="F16" s="2" t="s">
        <v>80</v>
      </c>
      <c r="G16" s="3">
        <v>33088</v>
      </c>
      <c r="H16" s="2">
        <v>30</v>
      </c>
      <c r="I16" s="2" t="s">
        <v>26</v>
      </c>
      <c r="J16" s="2" t="s">
        <v>75</v>
      </c>
      <c r="K16" s="2" t="s">
        <v>37</v>
      </c>
      <c r="L16" s="2" t="s">
        <v>45</v>
      </c>
      <c r="M16" s="2" t="s">
        <v>30</v>
      </c>
      <c r="N16" s="2" t="s">
        <v>81</v>
      </c>
      <c r="O16" s="2"/>
      <c r="P16" s="2"/>
      <c r="Q16" s="2">
        <v>1</v>
      </c>
      <c r="R16" s="2"/>
      <c r="S16" s="2"/>
      <c r="T16" s="2"/>
      <c r="U16" s="3"/>
      <c r="V16" s="8">
        <v>120000</v>
      </c>
    </row>
    <row r="17" spans="1:22" ht="15" customHeight="1" x14ac:dyDescent="0.25">
      <c r="A17" s="7">
        <v>16</v>
      </c>
      <c r="B17" s="3">
        <v>43477</v>
      </c>
      <c r="C17" s="2" t="s">
        <v>32</v>
      </c>
      <c r="D17" s="2" t="s">
        <v>71</v>
      </c>
      <c r="E17" s="2" t="s">
        <v>59</v>
      </c>
      <c r="F17" s="2" t="s">
        <v>82</v>
      </c>
      <c r="G17" s="3">
        <v>33594</v>
      </c>
      <c r="H17" s="2">
        <v>28</v>
      </c>
      <c r="I17" s="2" t="s">
        <v>26</v>
      </c>
      <c r="J17" s="2" t="s">
        <v>83</v>
      </c>
      <c r="K17" s="2" t="s">
        <v>37</v>
      </c>
      <c r="L17" s="2" t="s">
        <v>45</v>
      </c>
      <c r="M17" s="2" t="s">
        <v>38</v>
      </c>
      <c r="N17" s="2" t="s">
        <v>39</v>
      </c>
      <c r="O17" s="2" t="s">
        <v>40</v>
      </c>
      <c r="P17" s="2" t="s">
        <v>84</v>
      </c>
      <c r="Q17" s="2">
        <v>1</v>
      </c>
      <c r="R17" s="2"/>
      <c r="S17" s="2"/>
      <c r="T17" s="2"/>
      <c r="U17" s="3"/>
      <c r="V17" s="8">
        <v>121000</v>
      </c>
    </row>
    <row r="18" spans="1:22" ht="15" customHeight="1" x14ac:dyDescent="0.25">
      <c r="A18" s="7">
        <v>17</v>
      </c>
      <c r="B18" s="3">
        <v>43482</v>
      </c>
      <c r="C18" s="2" t="s">
        <v>48</v>
      </c>
      <c r="D18" s="2" t="s">
        <v>23</v>
      </c>
      <c r="E18" s="2" t="s">
        <v>85</v>
      </c>
      <c r="F18" s="2" t="s">
        <v>86</v>
      </c>
      <c r="G18" s="3">
        <v>34384</v>
      </c>
      <c r="H18" s="2">
        <v>26</v>
      </c>
      <c r="I18" s="2" t="s">
        <v>87</v>
      </c>
      <c r="J18" s="2" t="s">
        <v>88</v>
      </c>
      <c r="K18" s="2" t="s">
        <v>37</v>
      </c>
      <c r="L18" s="2" t="s">
        <v>55</v>
      </c>
      <c r="M18" s="2" t="s">
        <v>38</v>
      </c>
      <c r="N18" s="2" t="s">
        <v>89</v>
      </c>
      <c r="O18" s="2"/>
      <c r="P18" s="2"/>
      <c r="Q18" s="2">
        <v>1</v>
      </c>
      <c r="R18" s="2">
        <v>1</v>
      </c>
      <c r="S18" s="2"/>
      <c r="T18" s="2"/>
      <c r="U18" s="3"/>
      <c r="V18" s="8"/>
    </row>
    <row r="19" spans="1:22" ht="15" customHeight="1" x14ac:dyDescent="0.25">
      <c r="A19" s="7">
        <v>18</v>
      </c>
      <c r="B19" s="3">
        <v>43482</v>
      </c>
      <c r="C19" s="2" t="s">
        <v>57</v>
      </c>
      <c r="D19" s="2" t="s">
        <v>51</v>
      </c>
      <c r="E19" s="2" t="s">
        <v>59</v>
      </c>
      <c r="F19" s="2" t="s">
        <v>90</v>
      </c>
      <c r="G19" s="3">
        <v>33302</v>
      </c>
      <c r="H19" s="2">
        <v>29</v>
      </c>
      <c r="I19" s="2" t="s">
        <v>87</v>
      </c>
      <c r="J19" s="2" t="s">
        <v>27</v>
      </c>
      <c r="K19" s="2" t="s">
        <v>91</v>
      </c>
      <c r="L19" s="2" t="s">
        <v>92</v>
      </c>
      <c r="M19" s="2" t="s">
        <v>38</v>
      </c>
      <c r="N19" s="2" t="s">
        <v>39</v>
      </c>
      <c r="O19" s="2" t="s">
        <v>46</v>
      </c>
      <c r="P19" s="2" t="s">
        <v>118</v>
      </c>
      <c r="Q19" s="2">
        <v>1</v>
      </c>
      <c r="R19" s="2">
        <v>1</v>
      </c>
      <c r="S19" s="2"/>
      <c r="T19" s="2"/>
      <c r="U19" s="3"/>
      <c r="V19" s="8">
        <v>322000</v>
      </c>
    </row>
    <row r="20" spans="1:22" ht="15" customHeight="1" x14ac:dyDescent="0.25">
      <c r="A20" s="7">
        <v>19</v>
      </c>
      <c r="B20" s="3">
        <v>43482</v>
      </c>
      <c r="C20" s="2" t="s">
        <v>66</v>
      </c>
      <c r="D20" s="2" t="s">
        <v>67</v>
      </c>
      <c r="E20" s="2" t="s">
        <v>68</v>
      </c>
      <c r="F20" s="2" t="s">
        <v>25</v>
      </c>
      <c r="G20" s="3">
        <v>32589</v>
      </c>
      <c r="H20" s="2">
        <v>31</v>
      </c>
      <c r="I20" s="2" t="s">
        <v>26</v>
      </c>
      <c r="J20" s="2" t="s">
        <v>93</v>
      </c>
      <c r="K20" s="2" t="s">
        <v>37</v>
      </c>
      <c r="L20" s="2" t="s">
        <v>45</v>
      </c>
      <c r="M20" s="2" t="s">
        <v>30</v>
      </c>
      <c r="N20" s="2" t="s">
        <v>81</v>
      </c>
      <c r="O20" s="2"/>
      <c r="P20" s="2"/>
      <c r="Q20" s="2">
        <v>1</v>
      </c>
      <c r="R20" s="2"/>
      <c r="S20" s="2"/>
      <c r="T20" s="2"/>
      <c r="U20" s="3"/>
      <c r="V20" s="8">
        <v>150000</v>
      </c>
    </row>
    <row r="21" spans="1:22" ht="15" customHeight="1" x14ac:dyDescent="0.25">
      <c r="A21" s="7">
        <v>20</v>
      </c>
      <c r="B21" s="3">
        <v>43482</v>
      </c>
      <c r="C21" s="2" t="s">
        <v>66</v>
      </c>
      <c r="D21" s="2" t="s">
        <v>67</v>
      </c>
      <c r="E21" s="2" t="s">
        <v>68</v>
      </c>
      <c r="F21" s="2" t="s">
        <v>94</v>
      </c>
      <c r="G21" s="3">
        <v>33667</v>
      </c>
      <c r="H21" s="2">
        <v>28</v>
      </c>
      <c r="I21" s="2" t="s">
        <v>26</v>
      </c>
      <c r="J21" s="2" t="s">
        <v>27</v>
      </c>
      <c r="K21" s="2" t="s">
        <v>37</v>
      </c>
      <c r="L21" s="2" t="s">
        <v>92</v>
      </c>
      <c r="M21" s="2" t="s">
        <v>38</v>
      </c>
      <c r="N21" s="2" t="s">
        <v>39</v>
      </c>
      <c r="O21" s="2" t="s">
        <v>46</v>
      </c>
      <c r="P21" s="2" t="s">
        <v>95</v>
      </c>
      <c r="Q21" s="2">
        <v>1</v>
      </c>
      <c r="R21" s="2">
        <v>1</v>
      </c>
      <c r="S21" s="2"/>
      <c r="T21" s="2"/>
      <c r="U21" s="3"/>
      <c r="V21" s="8">
        <v>120000</v>
      </c>
    </row>
    <row r="22" spans="1:22" ht="15" customHeight="1" x14ac:dyDescent="0.25">
      <c r="A22" s="7">
        <v>21</v>
      </c>
      <c r="B22" s="3">
        <v>43483</v>
      </c>
      <c r="C22" s="2" t="s">
        <v>48</v>
      </c>
      <c r="D22" s="2" t="s">
        <v>23</v>
      </c>
      <c r="E22" s="2" t="s">
        <v>85</v>
      </c>
      <c r="F22" s="2" t="s">
        <v>96</v>
      </c>
      <c r="G22" s="3">
        <v>35008</v>
      </c>
      <c r="H22" s="2">
        <v>24</v>
      </c>
      <c r="I22" s="2" t="s">
        <v>26</v>
      </c>
      <c r="J22" s="2" t="s">
        <v>97</v>
      </c>
      <c r="K22" s="2" t="s">
        <v>37</v>
      </c>
      <c r="L22" s="2" t="s">
        <v>45</v>
      </c>
      <c r="M22" s="2" t="s">
        <v>38</v>
      </c>
      <c r="N22" s="2" t="s">
        <v>63</v>
      </c>
      <c r="O22" s="2" t="s">
        <v>64</v>
      </c>
      <c r="P22" s="2"/>
      <c r="Q22" s="2">
        <v>1</v>
      </c>
      <c r="R22" s="2">
        <v>1</v>
      </c>
      <c r="S22" s="2">
        <v>1</v>
      </c>
      <c r="T22" s="2"/>
      <c r="U22" s="3"/>
      <c r="V22" s="8">
        <v>22000</v>
      </c>
    </row>
    <row r="23" spans="1:22" ht="15" customHeight="1" x14ac:dyDescent="0.25">
      <c r="A23" s="7">
        <v>22</v>
      </c>
      <c r="B23" s="3">
        <v>43483</v>
      </c>
      <c r="C23" s="2" t="s">
        <v>22</v>
      </c>
      <c r="D23" s="2" t="s">
        <v>23</v>
      </c>
      <c r="E23" s="2" t="s">
        <v>24</v>
      </c>
      <c r="F23" s="2" t="s">
        <v>98</v>
      </c>
      <c r="G23" s="3">
        <v>34231</v>
      </c>
      <c r="H23" s="2">
        <v>26</v>
      </c>
      <c r="I23" s="2" t="s">
        <v>26</v>
      </c>
      <c r="J23" s="2" t="s">
        <v>88</v>
      </c>
      <c r="K23" s="2" t="s">
        <v>37</v>
      </c>
      <c r="L23" s="2" t="s">
        <v>45</v>
      </c>
      <c r="M23" s="2" t="s">
        <v>38</v>
      </c>
      <c r="N23" s="2" t="s">
        <v>63</v>
      </c>
      <c r="O23" s="2" t="s">
        <v>64</v>
      </c>
      <c r="P23" s="2"/>
      <c r="Q23" s="2">
        <v>1</v>
      </c>
      <c r="R23" s="2">
        <v>1</v>
      </c>
      <c r="S23" s="2">
        <v>1</v>
      </c>
      <c r="T23" s="2">
        <v>1</v>
      </c>
      <c r="U23" s="3">
        <v>43477</v>
      </c>
      <c r="V23" s="8">
        <v>500000</v>
      </c>
    </row>
    <row r="24" spans="1:22" ht="15" customHeight="1" x14ac:dyDescent="0.25">
      <c r="A24" s="7">
        <v>23</v>
      </c>
      <c r="B24" s="3">
        <v>43483</v>
      </c>
      <c r="C24" s="2" t="s">
        <v>48</v>
      </c>
      <c r="D24" s="2" t="s">
        <v>23</v>
      </c>
      <c r="E24" s="2" t="s">
        <v>85</v>
      </c>
      <c r="F24" s="2" t="s">
        <v>53</v>
      </c>
      <c r="G24" s="3">
        <v>32589</v>
      </c>
      <c r="H24" s="2">
        <v>31</v>
      </c>
      <c r="I24" s="2" t="s">
        <v>26</v>
      </c>
      <c r="J24" s="2" t="s">
        <v>50</v>
      </c>
      <c r="K24" s="2" t="s">
        <v>28</v>
      </c>
      <c r="L24" s="2" t="s">
        <v>45</v>
      </c>
      <c r="M24" s="2" t="s">
        <v>38</v>
      </c>
      <c r="N24" s="2" t="s">
        <v>89</v>
      </c>
      <c r="O24" s="2"/>
      <c r="P24" s="2"/>
      <c r="Q24" s="2">
        <v>1</v>
      </c>
      <c r="R24" s="2">
        <v>1</v>
      </c>
      <c r="S24" s="2">
        <v>1</v>
      </c>
      <c r="T24" s="2">
        <v>1</v>
      </c>
      <c r="U24" s="3">
        <v>43475</v>
      </c>
      <c r="V24" s="8">
        <v>10000000</v>
      </c>
    </row>
    <row r="25" spans="1:22" ht="15" customHeight="1" x14ac:dyDescent="0.25">
      <c r="A25" s="7">
        <v>24</v>
      </c>
      <c r="B25" s="3">
        <v>43483</v>
      </c>
      <c r="C25" s="2" t="s">
        <v>22</v>
      </c>
      <c r="D25" s="2" t="s">
        <v>23</v>
      </c>
      <c r="E25" s="2" t="s">
        <v>24</v>
      </c>
      <c r="F25" s="2" t="s">
        <v>98</v>
      </c>
      <c r="G25" s="3">
        <v>34231</v>
      </c>
      <c r="H25" s="2">
        <v>26</v>
      </c>
      <c r="I25" s="2" t="s">
        <v>26</v>
      </c>
      <c r="J25" s="2" t="s">
        <v>88</v>
      </c>
      <c r="K25" s="2" t="s">
        <v>37</v>
      </c>
      <c r="L25" s="2" t="s">
        <v>45</v>
      </c>
      <c r="M25" s="2" t="s">
        <v>38</v>
      </c>
      <c r="N25" s="2" t="s">
        <v>63</v>
      </c>
      <c r="O25" s="2" t="s">
        <v>64</v>
      </c>
      <c r="P25" s="2"/>
      <c r="Q25" s="2">
        <v>1</v>
      </c>
      <c r="R25" s="2">
        <v>1</v>
      </c>
      <c r="S25" s="2">
        <v>1</v>
      </c>
      <c r="T25" s="2">
        <v>1</v>
      </c>
      <c r="U25" s="3">
        <v>43477</v>
      </c>
      <c r="V25" s="8">
        <v>500000</v>
      </c>
    </row>
    <row r="26" spans="1:22" ht="15" customHeight="1" x14ac:dyDescent="0.25">
      <c r="A26" s="7">
        <v>25</v>
      </c>
      <c r="B26" s="3">
        <v>43483</v>
      </c>
      <c r="C26" s="2" t="s">
        <v>48</v>
      </c>
      <c r="D26" s="2" t="s">
        <v>23</v>
      </c>
      <c r="E26" s="2" t="s">
        <v>85</v>
      </c>
      <c r="F26" s="2" t="s">
        <v>53</v>
      </c>
      <c r="G26" s="3">
        <v>32589</v>
      </c>
      <c r="H26" s="2">
        <v>31</v>
      </c>
      <c r="I26" s="2" t="s">
        <v>26</v>
      </c>
      <c r="J26" s="2" t="s">
        <v>50</v>
      </c>
      <c r="K26" s="2" t="s">
        <v>28</v>
      </c>
      <c r="L26" s="2" t="s">
        <v>45</v>
      </c>
      <c r="M26" s="2" t="s">
        <v>38</v>
      </c>
      <c r="N26" s="2" t="s">
        <v>89</v>
      </c>
      <c r="O26" s="2"/>
      <c r="P26" s="2"/>
      <c r="Q26" s="2">
        <v>1</v>
      </c>
      <c r="R26" s="2">
        <v>1</v>
      </c>
      <c r="S26" s="2">
        <v>1</v>
      </c>
      <c r="T26" s="2">
        <v>1</v>
      </c>
      <c r="U26" s="3">
        <v>43475</v>
      </c>
      <c r="V26" s="8">
        <v>10000000</v>
      </c>
    </row>
    <row r="27" spans="1:22" ht="15" customHeight="1" x14ac:dyDescent="0.25">
      <c r="A27" s="7">
        <v>26</v>
      </c>
      <c r="B27" s="3">
        <v>43484</v>
      </c>
      <c r="C27" s="2" t="s">
        <v>32</v>
      </c>
      <c r="D27" s="2" t="s">
        <v>33</v>
      </c>
      <c r="E27" s="2" t="s">
        <v>34</v>
      </c>
      <c r="F27" s="2" t="s">
        <v>99</v>
      </c>
      <c r="G27" s="3">
        <v>33577</v>
      </c>
      <c r="H27" s="2">
        <v>28</v>
      </c>
      <c r="I27" s="2" t="s">
        <v>26</v>
      </c>
      <c r="J27" s="2" t="s">
        <v>27</v>
      </c>
      <c r="K27" s="2" t="s">
        <v>37</v>
      </c>
      <c r="L27" s="2" t="s">
        <v>92</v>
      </c>
      <c r="M27" s="2" t="s">
        <v>38</v>
      </c>
      <c r="N27" s="2" t="s">
        <v>63</v>
      </c>
      <c r="O27" s="2" t="s">
        <v>64</v>
      </c>
      <c r="P27" s="2"/>
      <c r="Q27" s="2">
        <v>1</v>
      </c>
      <c r="R27" s="2">
        <v>1</v>
      </c>
      <c r="S27" s="2">
        <v>1</v>
      </c>
      <c r="T27" s="2"/>
      <c r="U27" s="3"/>
      <c r="V27" s="8">
        <v>122000</v>
      </c>
    </row>
    <row r="28" spans="1:22" ht="15" customHeight="1" x14ac:dyDescent="0.25">
      <c r="A28" s="7">
        <v>27</v>
      </c>
      <c r="B28" s="3">
        <v>43484</v>
      </c>
      <c r="C28" s="2" t="s">
        <v>22</v>
      </c>
      <c r="D28" s="2" t="s">
        <v>23</v>
      </c>
      <c r="E28" s="2" t="s">
        <v>24</v>
      </c>
      <c r="F28" s="2" t="s">
        <v>100</v>
      </c>
      <c r="G28" s="3">
        <v>33409</v>
      </c>
      <c r="H28" s="2">
        <v>29</v>
      </c>
      <c r="I28" s="2" t="s">
        <v>26</v>
      </c>
      <c r="J28" s="2" t="s">
        <v>75</v>
      </c>
      <c r="K28" s="2" t="s">
        <v>91</v>
      </c>
      <c r="L28" s="2" t="s">
        <v>55</v>
      </c>
      <c r="M28" s="2" t="s">
        <v>38</v>
      </c>
      <c r="N28" s="2" t="s">
        <v>39</v>
      </c>
      <c r="O28" s="2" t="s">
        <v>46</v>
      </c>
      <c r="P28" s="2" t="s">
        <v>84</v>
      </c>
      <c r="Q28" s="2">
        <v>1</v>
      </c>
      <c r="R28" s="2"/>
      <c r="S28" s="2"/>
      <c r="T28" s="2"/>
      <c r="U28" s="3"/>
      <c r="V28" s="8">
        <v>121000</v>
      </c>
    </row>
    <row r="29" spans="1:22" ht="15" customHeight="1" x14ac:dyDescent="0.25">
      <c r="A29" s="7">
        <v>28</v>
      </c>
      <c r="B29" s="3">
        <v>43485</v>
      </c>
      <c r="C29" s="2" t="s">
        <v>57</v>
      </c>
      <c r="D29" s="2" t="s">
        <v>23</v>
      </c>
      <c r="E29" s="2" t="s">
        <v>24</v>
      </c>
      <c r="F29" s="2" t="s">
        <v>101</v>
      </c>
      <c r="G29" s="3">
        <v>33840</v>
      </c>
      <c r="H29" s="2">
        <v>28</v>
      </c>
      <c r="I29" s="2" t="s">
        <v>87</v>
      </c>
      <c r="J29" s="2" t="s">
        <v>102</v>
      </c>
      <c r="K29" s="2" t="s">
        <v>37</v>
      </c>
      <c r="L29" s="2" t="s">
        <v>103</v>
      </c>
      <c r="M29" s="2" t="s">
        <v>38</v>
      </c>
      <c r="N29" s="2" t="s">
        <v>89</v>
      </c>
      <c r="O29" s="2"/>
      <c r="P29" s="2"/>
      <c r="Q29" s="2">
        <v>1</v>
      </c>
      <c r="R29" s="2">
        <v>1</v>
      </c>
      <c r="S29" s="2"/>
      <c r="T29" s="2"/>
      <c r="U29" s="3"/>
      <c r="V29" s="8">
        <v>120000</v>
      </c>
    </row>
    <row r="30" spans="1:22" ht="15" customHeight="1" x14ac:dyDescent="0.25">
      <c r="A30" s="7">
        <v>29</v>
      </c>
      <c r="B30" s="3">
        <v>43485</v>
      </c>
      <c r="C30" s="2" t="s">
        <v>32</v>
      </c>
      <c r="D30" s="2" t="s">
        <v>42</v>
      </c>
      <c r="E30" s="2" t="s">
        <v>43</v>
      </c>
      <c r="F30" s="2" t="s">
        <v>104</v>
      </c>
      <c r="G30" s="3">
        <v>34542</v>
      </c>
      <c r="H30" s="2">
        <v>26</v>
      </c>
      <c r="I30" s="2" t="s">
        <v>26</v>
      </c>
      <c r="J30" s="2" t="s">
        <v>27</v>
      </c>
      <c r="K30" s="2" t="s">
        <v>91</v>
      </c>
      <c r="L30" s="2" t="s">
        <v>55</v>
      </c>
      <c r="M30" s="2" t="s">
        <v>38</v>
      </c>
      <c r="N30" s="2" t="s">
        <v>56</v>
      </c>
      <c r="O30" s="2"/>
      <c r="P30" s="2"/>
      <c r="Q30" s="2">
        <v>1</v>
      </c>
      <c r="R30" s="2">
        <v>1</v>
      </c>
      <c r="S30" s="2"/>
      <c r="T30" s="2"/>
      <c r="U30" s="3"/>
      <c r="V30" s="8">
        <v>122000</v>
      </c>
    </row>
    <row r="31" spans="1:22" ht="15" customHeight="1" x14ac:dyDescent="0.25">
      <c r="A31" s="7">
        <v>30</v>
      </c>
      <c r="B31" s="3">
        <v>43485</v>
      </c>
      <c r="C31" s="2" t="s">
        <v>57</v>
      </c>
      <c r="D31" s="2" t="s">
        <v>23</v>
      </c>
      <c r="E31" s="2" t="s">
        <v>24</v>
      </c>
      <c r="F31" s="2" t="s">
        <v>60</v>
      </c>
      <c r="G31" s="3">
        <v>33409</v>
      </c>
      <c r="H31" s="2">
        <v>29</v>
      </c>
      <c r="I31" s="2" t="s">
        <v>26</v>
      </c>
      <c r="J31" s="2" t="s">
        <v>27</v>
      </c>
      <c r="K31" s="2" t="s">
        <v>37</v>
      </c>
      <c r="L31" s="2" t="s">
        <v>45</v>
      </c>
      <c r="M31" s="2" t="s">
        <v>30</v>
      </c>
      <c r="N31" s="2" t="s">
        <v>31</v>
      </c>
      <c r="O31" s="2"/>
      <c r="P31" s="2"/>
      <c r="Q31" s="2">
        <v>1</v>
      </c>
      <c r="R31" s="2"/>
      <c r="S31" s="2"/>
      <c r="T31" s="2"/>
      <c r="U31" s="3"/>
      <c r="V31" s="8">
        <v>445000</v>
      </c>
    </row>
    <row r="32" spans="1:22" ht="15" customHeight="1" x14ac:dyDescent="0.25">
      <c r="A32" s="7">
        <v>31</v>
      </c>
      <c r="B32" s="3">
        <v>43485</v>
      </c>
      <c r="C32" s="2" t="s">
        <v>57</v>
      </c>
      <c r="D32" s="2" t="s">
        <v>51</v>
      </c>
      <c r="E32" s="2" t="s">
        <v>59</v>
      </c>
      <c r="F32" s="2" t="s">
        <v>105</v>
      </c>
      <c r="G32" s="3">
        <v>33144</v>
      </c>
      <c r="H32" s="2">
        <v>29</v>
      </c>
      <c r="I32" s="2" t="s">
        <v>26</v>
      </c>
      <c r="J32" s="2" t="s">
        <v>27</v>
      </c>
      <c r="K32" s="2" t="s">
        <v>37</v>
      </c>
      <c r="L32" s="2" t="s">
        <v>55</v>
      </c>
      <c r="M32" s="2" t="s">
        <v>30</v>
      </c>
      <c r="N32" s="2" t="s">
        <v>31</v>
      </c>
      <c r="O32" s="2"/>
      <c r="P32" s="2"/>
      <c r="Q32" s="2">
        <v>1</v>
      </c>
      <c r="R32" s="2">
        <v>1</v>
      </c>
      <c r="S32" s="2">
        <v>1</v>
      </c>
      <c r="T32" s="2">
        <v>1</v>
      </c>
      <c r="U32" s="3">
        <v>43485</v>
      </c>
      <c r="V32" s="8">
        <v>150000</v>
      </c>
    </row>
    <row r="33" spans="1:22" ht="15" customHeight="1" x14ac:dyDescent="0.25">
      <c r="A33" s="7">
        <v>32</v>
      </c>
      <c r="B33" s="3">
        <v>43485</v>
      </c>
      <c r="C33" s="2" t="s">
        <v>32</v>
      </c>
      <c r="D33" s="2" t="s">
        <v>42</v>
      </c>
      <c r="E33" s="2" t="s">
        <v>43</v>
      </c>
      <c r="F33" s="2" t="s">
        <v>54</v>
      </c>
      <c r="G33" s="3">
        <v>32996</v>
      </c>
      <c r="H33" s="2">
        <v>30</v>
      </c>
      <c r="I33" s="2" t="s">
        <v>26</v>
      </c>
      <c r="J33" s="2" t="s">
        <v>79</v>
      </c>
      <c r="K33" s="2" t="s">
        <v>91</v>
      </c>
      <c r="L33" s="2" t="s">
        <v>45</v>
      </c>
      <c r="M33" s="2" t="s">
        <v>30</v>
      </c>
      <c r="N33" s="2" t="s">
        <v>31</v>
      </c>
      <c r="O33" s="2"/>
      <c r="P33" s="2"/>
      <c r="Q33" s="2">
        <v>1</v>
      </c>
      <c r="R33" s="2">
        <v>1</v>
      </c>
      <c r="S33" s="2">
        <v>1</v>
      </c>
      <c r="T33" s="2">
        <v>1</v>
      </c>
      <c r="U33" s="3">
        <v>43477</v>
      </c>
      <c r="V33" s="8">
        <v>500000</v>
      </c>
    </row>
    <row r="34" spans="1:22" ht="15" customHeight="1" x14ac:dyDescent="0.25">
      <c r="A34" s="7">
        <v>33</v>
      </c>
      <c r="B34" s="3">
        <v>43486</v>
      </c>
      <c r="C34" s="2" t="s">
        <v>57</v>
      </c>
      <c r="D34" s="2" t="s">
        <v>67</v>
      </c>
      <c r="E34" s="2" t="s">
        <v>68</v>
      </c>
      <c r="F34" s="2" t="s">
        <v>106</v>
      </c>
      <c r="G34" s="3">
        <v>33868</v>
      </c>
      <c r="H34" s="2">
        <v>27</v>
      </c>
      <c r="I34" s="2" t="s">
        <v>26</v>
      </c>
      <c r="J34" s="2" t="s">
        <v>79</v>
      </c>
      <c r="K34" s="2" t="s">
        <v>91</v>
      </c>
      <c r="L34" s="2" t="s">
        <v>45</v>
      </c>
      <c r="M34" s="2" t="s">
        <v>30</v>
      </c>
      <c r="N34" s="2" t="s">
        <v>31</v>
      </c>
      <c r="O34" s="2"/>
      <c r="P34" s="2"/>
      <c r="Q34" s="2">
        <v>1</v>
      </c>
      <c r="R34" s="2"/>
      <c r="S34" s="2"/>
      <c r="T34" s="2"/>
      <c r="U34" s="3"/>
      <c r="V34" s="8"/>
    </row>
    <row r="35" spans="1:22" ht="15" customHeight="1" x14ac:dyDescent="0.25">
      <c r="A35" s="7">
        <v>34</v>
      </c>
      <c r="B35" s="3">
        <v>43486</v>
      </c>
      <c r="C35" s="2" t="s">
        <v>32</v>
      </c>
      <c r="D35" s="2" t="s">
        <v>71</v>
      </c>
      <c r="E35" s="2" t="s">
        <v>59</v>
      </c>
      <c r="F35" s="2" t="s">
        <v>107</v>
      </c>
      <c r="G35" s="3">
        <v>33429</v>
      </c>
      <c r="H35" s="2">
        <v>29</v>
      </c>
      <c r="I35" s="2" t="s">
        <v>87</v>
      </c>
      <c r="J35" s="2" t="s">
        <v>108</v>
      </c>
      <c r="K35" s="2" t="s">
        <v>37</v>
      </c>
      <c r="L35" s="2" t="s">
        <v>45</v>
      </c>
      <c r="M35" s="2" t="s">
        <v>30</v>
      </c>
      <c r="N35" s="2" t="s">
        <v>31</v>
      </c>
      <c r="O35" s="2"/>
      <c r="P35" s="2"/>
      <c r="Q35" s="2">
        <v>1</v>
      </c>
      <c r="R35" s="2">
        <v>1</v>
      </c>
      <c r="S35" s="2"/>
      <c r="T35" s="2"/>
      <c r="U35" s="3"/>
      <c r="V35" s="8"/>
    </row>
    <row r="36" spans="1:22" ht="15" customHeight="1" x14ac:dyDescent="0.25">
      <c r="A36" s="7">
        <v>35</v>
      </c>
      <c r="B36" s="3">
        <v>43486</v>
      </c>
      <c r="C36" s="2" t="s">
        <v>32</v>
      </c>
      <c r="D36" s="2" t="s">
        <v>71</v>
      </c>
      <c r="E36" s="2" t="s">
        <v>59</v>
      </c>
      <c r="F36" s="2" t="s">
        <v>109</v>
      </c>
      <c r="G36" s="3">
        <v>33302</v>
      </c>
      <c r="H36" s="2">
        <v>29</v>
      </c>
      <c r="I36" s="2" t="s">
        <v>26</v>
      </c>
      <c r="J36" s="2" t="s">
        <v>75</v>
      </c>
      <c r="K36" s="2" t="s">
        <v>91</v>
      </c>
      <c r="L36" s="2" t="s">
        <v>45</v>
      </c>
      <c r="M36" s="2" t="s">
        <v>30</v>
      </c>
      <c r="N36" s="2" t="s">
        <v>31</v>
      </c>
      <c r="O36" s="2"/>
      <c r="P36" s="2"/>
      <c r="Q36" s="2">
        <v>1</v>
      </c>
      <c r="R36" s="2"/>
      <c r="S36" s="2"/>
      <c r="T36" s="2"/>
      <c r="U36" s="3"/>
      <c r="V36" s="8"/>
    </row>
    <row r="37" spans="1:22" ht="15" customHeight="1" x14ac:dyDescent="0.25">
      <c r="A37" s="7">
        <v>36</v>
      </c>
      <c r="B37" s="3">
        <v>43486</v>
      </c>
      <c r="C37" s="2" t="s">
        <v>48</v>
      </c>
      <c r="D37" s="2" t="s">
        <v>51</v>
      </c>
      <c r="E37" s="2" t="s">
        <v>52</v>
      </c>
      <c r="F37" s="2" t="s">
        <v>65</v>
      </c>
      <c r="G37" s="3">
        <v>33302</v>
      </c>
      <c r="H37" s="2">
        <v>29</v>
      </c>
      <c r="I37" s="2" t="s">
        <v>26</v>
      </c>
      <c r="J37" s="2" t="s">
        <v>83</v>
      </c>
      <c r="K37" s="2" t="s">
        <v>91</v>
      </c>
      <c r="L37" s="2" t="s">
        <v>45</v>
      </c>
      <c r="M37" s="2" t="s">
        <v>30</v>
      </c>
      <c r="N37" s="2" t="s">
        <v>81</v>
      </c>
      <c r="O37" s="2"/>
      <c r="P37" s="2"/>
      <c r="Q37" s="2">
        <v>1</v>
      </c>
      <c r="R37" s="2">
        <v>1</v>
      </c>
      <c r="S37" s="2"/>
      <c r="T37" s="2"/>
      <c r="U37" s="3"/>
      <c r="V37" s="8"/>
    </row>
    <row r="38" spans="1:22" ht="15" customHeight="1" x14ac:dyDescent="0.25">
      <c r="A38" s="7">
        <v>37</v>
      </c>
      <c r="B38" s="3">
        <v>43486</v>
      </c>
      <c r="C38" s="2" t="s">
        <v>57</v>
      </c>
      <c r="D38" s="2" t="s">
        <v>67</v>
      </c>
      <c r="E38" s="2" t="s">
        <v>68</v>
      </c>
      <c r="F38" s="2" t="s">
        <v>106</v>
      </c>
      <c r="G38" s="3">
        <v>33868</v>
      </c>
      <c r="H38" s="2">
        <v>27</v>
      </c>
      <c r="I38" s="2" t="s">
        <v>26</v>
      </c>
      <c r="J38" s="2" t="s">
        <v>79</v>
      </c>
      <c r="K38" s="2" t="s">
        <v>91</v>
      </c>
      <c r="L38" s="2" t="s">
        <v>45</v>
      </c>
      <c r="M38" s="2" t="s">
        <v>30</v>
      </c>
      <c r="N38" s="2" t="s">
        <v>31</v>
      </c>
      <c r="O38" s="2"/>
      <c r="P38" s="2"/>
      <c r="Q38" s="2">
        <v>1</v>
      </c>
      <c r="R38" s="2"/>
      <c r="S38" s="2"/>
      <c r="T38" s="2"/>
      <c r="U38" s="3"/>
      <c r="V38" s="8"/>
    </row>
    <row r="39" spans="1:22" ht="15" customHeight="1" x14ac:dyDescent="0.25">
      <c r="A39" s="7">
        <v>38</v>
      </c>
      <c r="B39" s="3">
        <v>43486</v>
      </c>
      <c r="C39" s="2" t="s">
        <v>32</v>
      </c>
      <c r="D39" s="2" t="s">
        <v>71</v>
      </c>
      <c r="E39" s="2" t="s">
        <v>59</v>
      </c>
      <c r="F39" s="2" t="s">
        <v>107</v>
      </c>
      <c r="G39" s="3">
        <v>33429</v>
      </c>
      <c r="H39" s="2">
        <v>29</v>
      </c>
      <c r="I39" s="2" t="s">
        <v>87</v>
      </c>
      <c r="J39" s="2" t="s">
        <v>108</v>
      </c>
      <c r="K39" s="2" t="s">
        <v>37</v>
      </c>
      <c r="L39" s="2" t="s">
        <v>45</v>
      </c>
      <c r="M39" s="2" t="s">
        <v>30</v>
      </c>
      <c r="N39" s="2" t="s">
        <v>31</v>
      </c>
      <c r="O39" s="2"/>
      <c r="P39" s="2"/>
      <c r="Q39" s="2">
        <v>1</v>
      </c>
      <c r="R39" s="2">
        <v>1</v>
      </c>
      <c r="S39" s="2"/>
      <c r="T39" s="2"/>
      <c r="U39" s="3"/>
      <c r="V39" s="8"/>
    </row>
    <row r="40" spans="1:22" ht="15" customHeight="1" x14ac:dyDescent="0.25">
      <c r="A40" s="7">
        <v>39</v>
      </c>
      <c r="B40" s="3">
        <v>43486</v>
      </c>
      <c r="C40" s="2" t="s">
        <v>32</v>
      </c>
      <c r="D40" s="2" t="s">
        <v>71</v>
      </c>
      <c r="E40" s="2" t="s">
        <v>59</v>
      </c>
      <c r="F40" s="2" t="s">
        <v>109</v>
      </c>
      <c r="G40" s="3">
        <v>33302</v>
      </c>
      <c r="H40" s="2">
        <v>29</v>
      </c>
      <c r="I40" s="2" t="s">
        <v>26</v>
      </c>
      <c r="J40" s="2" t="s">
        <v>75</v>
      </c>
      <c r="K40" s="2" t="s">
        <v>91</v>
      </c>
      <c r="L40" s="2" t="s">
        <v>45</v>
      </c>
      <c r="M40" s="2" t="s">
        <v>30</v>
      </c>
      <c r="N40" s="2" t="s">
        <v>31</v>
      </c>
      <c r="O40" s="2"/>
      <c r="P40" s="2"/>
      <c r="Q40" s="2">
        <v>1</v>
      </c>
      <c r="R40" s="2"/>
      <c r="S40" s="2"/>
      <c r="T40" s="2"/>
      <c r="U40" s="3"/>
      <c r="V40" s="8"/>
    </row>
    <row r="41" spans="1:22" ht="15" customHeight="1" x14ac:dyDescent="0.25">
      <c r="A41" s="7">
        <v>40</v>
      </c>
      <c r="B41" s="3">
        <v>43486</v>
      </c>
      <c r="C41" s="2" t="s">
        <v>48</v>
      </c>
      <c r="D41" s="2" t="s">
        <v>51</v>
      </c>
      <c r="E41" s="2" t="s">
        <v>52</v>
      </c>
      <c r="F41" s="2" t="s">
        <v>65</v>
      </c>
      <c r="G41" s="3">
        <v>33302</v>
      </c>
      <c r="H41" s="2">
        <v>29</v>
      </c>
      <c r="I41" s="2" t="s">
        <v>26</v>
      </c>
      <c r="J41" s="2" t="s">
        <v>83</v>
      </c>
      <c r="K41" s="2" t="s">
        <v>91</v>
      </c>
      <c r="L41" s="2" t="s">
        <v>45</v>
      </c>
      <c r="M41" s="2" t="s">
        <v>30</v>
      </c>
      <c r="N41" s="2" t="s">
        <v>81</v>
      </c>
      <c r="O41" s="2"/>
      <c r="P41" s="2"/>
      <c r="Q41" s="2">
        <v>1</v>
      </c>
      <c r="R41" s="2">
        <v>1</v>
      </c>
      <c r="S41" s="2"/>
      <c r="T41" s="2"/>
      <c r="U41" s="3"/>
      <c r="V41" s="8"/>
    </row>
    <row r="42" spans="1:22" ht="15" customHeight="1" x14ac:dyDescent="0.25">
      <c r="A42" s="7">
        <v>41</v>
      </c>
      <c r="B42" s="3">
        <v>43486</v>
      </c>
      <c r="C42" s="2" t="s">
        <v>57</v>
      </c>
      <c r="D42" s="2" t="s">
        <v>67</v>
      </c>
      <c r="E42" s="2" t="s">
        <v>68</v>
      </c>
      <c r="F42" s="2" t="s">
        <v>69</v>
      </c>
      <c r="G42" s="3">
        <v>32996</v>
      </c>
      <c r="H42" s="2">
        <v>30</v>
      </c>
      <c r="I42" s="2" t="s">
        <v>26</v>
      </c>
      <c r="J42" s="2" t="s">
        <v>110</v>
      </c>
      <c r="K42" s="2" t="s">
        <v>37</v>
      </c>
      <c r="L42" s="2" t="s">
        <v>45</v>
      </c>
      <c r="M42" s="2" t="s">
        <v>30</v>
      </c>
      <c r="N42" s="2" t="s">
        <v>31</v>
      </c>
      <c r="O42" s="2"/>
      <c r="P42" s="2"/>
      <c r="Q42" s="2">
        <v>1</v>
      </c>
      <c r="R42" s="2">
        <v>1</v>
      </c>
      <c r="S42" s="2"/>
      <c r="T42" s="2"/>
      <c r="U42" s="3"/>
      <c r="V42" s="8">
        <v>261000</v>
      </c>
    </row>
    <row r="43" spans="1:22" ht="15" customHeight="1" x14ac:dyDescent="0.25">
      <c r="A43" s="7">
        <v>42</v>
      </c>
      <c r="B43" s="3">
        <v>43486</v>
      </c>
      <c r="C43" s="2" t="s">
        <v>66</v>
      </c>
      <c r="D43" s="2" t="s">
        <v>67</v>
      </c>
      <c r="E43" s="2" t="s">
        <v>68</v>
      </c>
      <c r="F43" s="2" t="s">
        <v>111</v>
      </c>
      <c r="G43" s="3">
        <v>32919</v>
      </c>
      <c r="H43" s="2">
        <v>30</v>
      </c>
      <c r="I43" s="2" t="s">
        <v>87</v>
      </c>
      <c r="J43" s="2" t="s">
        <v>50</v>
      </c>
      <c r="K43" s="2" t="s">
        <v>91</v>
      </c>
      <c r="L43" s="2" t="s">
        <v>45</v>
      </c>
      <c r="M43" s="2" t="s">
        <v>38</v>
      </c>
      <c r="N43" s="2" t="s">
        <v>39</v>
      </c>
      <c r="O43" s="2" t="s">
        <v>40</v>
      </c>
      <c r="P43" s="2" t="s">
        <v>112</v>
      </c>
      <c r="Q43" s="2">
        <v>1</v>
      </c>
      <c r="R43" s="2">
        <v>1</v>
      </c>
      <c r="S43" s="2"/>
      <c r="T43" s="2"/>
      <c r="U43" s="3"/>
      <c r="V43" s="8">
        <v>120000</v>
      </c>
    </row>
    <row r="44" spans="1:22" ht="15" customHeight="1" x14ac:dyDescent="0.25">
      <c r="A44" s="7">
        <v>43</v>
      </c>
      <c r="B44" s="3">
        <v>43486</v>
      </c>
      <c r="C44" s="2" t="s">
        <v>48</v>
      </c>
      <c r="D44" s="2" t="s">
        <v>23</v>
      </c>
      <c r="E44" s="2" t="s">
        <v>24</v>
      </c>
      <c r="F44" s="2" t="s">
        <v>113</v>
      </c>
      <c r="G44" s="3">
        <v>33302</v>
      </c>
      <c r="H44" s="2">
        <v>29</v>
      </c>
      <c r="I44" s="2" t="s">
        <v>26</v>
      </c>
      <c r="J44" s="2" t="s">
        <v>75</v>
      </c>
      <c r="K44" s="2" t="s">
        <v>91</v>
      </c>
      <c r="L44" s="2" t="s">
        <v>114</v>
      </c>
      <c r="M44" s="2" t="s">
        <v>38</v>
      </c>
      <c r="N44" s="2" t="s">
        <v>39</v>
      </c>
      <c r="O44" s="2" t="s">
        <v>46</v>
      </c>
      <c r="P44" s="2" t="s">
        <v>84</v>
      </c>
      <c r="Q44" s="2">
        <v>1</v>
      </c>
      <c r="R44" s="2">
        <v>1</v>
      </c>
      <c r="S44" s="2">
        <v>1</v>
      </c>
      <c r="T44" s="2">
        <v>1</v>
      </c>
      <c r="U44" s="3">
        <v>43476</v>
      </c>
      <c r="V44" s="8">
        <v>150000</v>
      </c>
    </row>
    <row r="45" spans="1:22" ht="15" customHeight="1" x14ac:dyDescent="0.25">
      <c r="A45" s="7">
        <v>44</v>
      </c>
      <c r="B45" s="3">
        <v>43487</v>
      </c>
      <c r="C45" s="2" t="s">
        <v>22</v>
      </c>
      <c r="D45" s="2" t="s">
        <v>23</v>
      </c>
      <c r="E45" s="2" t="s">
        <v>24</v>
      </c>
      <c r="F45" s="2" t="s">
        <v>115</v>
      </c>
      <c r="G45" s="3">
        <v>32589</v>
      </c>
      <c r="H45" s="2">
        <v>31</v>
      </c>
      <c r="I45" s="2" t="s">
        <v>26</v>
      </c>
      <c r="J45" s="2" t="s">
        <v>27</v>
      </c>
      <c r="K45" s="2" t="s">
        <v>37</v>
      </c>
      <c r="L45" s="2" t="s">
        <v>45</v>
      </c>
      <c r="M45" s="2" t="s">
        <v>38</v>
      </c>
      <c r="N45" s="2" t="s">
        <v>89</v>
      </c>
      <c r="O45" s="2"/>
      <c r="P45" s="2"/>
      <c r="Q45" s="2">
        <v>1</v>
      </c>
      <c r="R45" s="2"/>
      <c r="S45" s="2"/>
      <c r="T45" s="2"/>
      <c r="U45" s="3"/>
      <c r="V45" s="8">
        <v>121000</v>
      </c>
    </row>
    <row r="46" spans="1:22" ht="15" customHeight="1" x14ac:dyDescent="0.25">
      <c r="A46" s="7">
        <v>45</v>
      </c>
      <c r="B46" s="3">
        <v>43487</v>
      </c>
      <c r="C46" s="2" t="s">
        <v>48</v>
      </c>
      <c r="D46" s="2" t="s">
        <v>51</v>
      </c>
      <c r="E46" s="2" t="s">
        <v>52</v>
      </c>
      <c r="F46" s="2" t="s">
        <v>116</v>
      </c>
      <c r="G46" s="3">
        <v>34652</v>
      </c>
      <c r="H46" s="2">
        <v>25</v>
      </c>
      <c r="I46" s="2" t="s">
        <v>26</v>
      </c>
      <c r="J46" s="2" t="s">
        <v>88</v>
      </c>
      <c r="K46" s="2" t="s">
        <v>91</v>
      </c>
      <c r="L46" s="2" t="s">
        <v>45</v>
      </c>
      <c r="M46" s="2" t="s">
        <v>38</v>
      </c>
      <c r="N46" s="2" t="s">
        <v>39</v>
      </c>
      <c r="O46" s="2" t="s">
        <v>46</v>
      </c>
      <c r="P46" s="2" t="s">
        <v>47</v>
      </c>
      <c r="Q46" s="2">
        <v>1</v>
      </c>
      <c r="R46" s="2"/>
      <c r="S46" s="2"/>
      <c r="T46" s="2"/>
      <c r="U46" s="3"/>
      <c r="V46" s="8">
        <v>120000</v>
      </c>
    </row>
    <row r="47" spans="1:22" ht="15" customHeight="1" x14ac:dyDescent="0.25">
      <c r="A47" s="7">
        <v>46</v>
      </c>
      <c r="B47" s="3">
        <v>43488</v>
      </c>
      <c r="C47" s="2" t="s">
        <v>57</v>
      </c>
      <c r="D47" s="2" t="s">
        <v>51</v>
      </c>
      <c r="E47" s="2" t="s">
        <v>59</v>
      </c>
      <c r="F47" s="2" t="s">
        <v>117</v>
      </c>
      <c r="G47" s="3">
        <v>34021</v>
      </c>
      <c r="H47" s="2">
        <v>27</v>
      </c>
      <c r="I47" s="2" t="s">
        <v>26</v>
      </c>
      <c r="J47" s="2" t="s">
        <v>27</v>
      </c>
      <c r="K47" s="2" t="s">
        <v>28</v>
      </c>
      <c r="L47" s="2" t="s">
        <v>45</v>
      </c>
      <c r="M47" s="2" t="s">
        <v>38</v>
      </c>
      <c r="N47" s="2" t="s">
        <v>39</v>
      </c>
      <c r="O47" s="2" t="s">
        <v>46</v>
      </c>
      <c r="P47" s="2" t="s">
        <v>118</v>
      </c>
      <c r="Q47" s="2">
        <v>1</v>
      </c>
      <c r="R47" s="2">
        <v>1</v>
      </c>
      <c r="S47" s="2">
        <v>1</v>
      </c>
      <c r="T47" s="2">
        <v>1</v>
      </c>
      <c r="U47" s="3">
        <v>43474</v>
      </c>
      <c r="V47" s="8">
        <v>150000</v>
      </c>
    </row>
    <row r="48" spans="1:22" ht="15" customHeight="1" x14ac:dyDescent="0.25">
      <c r="A48" s="7">
        <v>47</v>
      </c>
      <c r="B48" s="3">
        <v>43488</v>
      </c>
      <c r="C48" s="2" t="s">
        <v>32</v>
      </c>
      <c r="D48" s="2" t="s">
        <v>33</v>
      </c>
      <c r="E48" s="2" t="s">
        <v>34</v>
      </c>
      <c r="F48" s="2" t="s">
        <v>86</v>
      </c>
      <c r="G48" s="3">
        <v>31553</v>
      </c>
      <c r="H48" s="2">
        <v>34</v>
      </c>
      <c r="I48" s="2" t="s">
        <v>26</v>
      </c>
      <c r="J48" s="2" t="s">
        <v>27</v>
      </c>
      <c r="K48" s="2" t="s">
        <v>91</v>
      </c>
      <c r="L48" s="2" t="s">
        <v>45</v>
      </c>
      <c r="M48" s="2" t="s">
        <v>30</v>
      </c>
      <c r="N48" s="2" t="s">
        <v>81</v>
      </c>
      <c r="O48" s="2"/>
      <c r="P48" s="2"/>
      <c r="Q48" s="2">
        <v>1</v>
      </c>
      <c r="R48" s="2"/>
      <c r="S48" s="2">
        <v>1</v>
      </c>
      <c r="T48" s="2">
        <v>1</v>
      </c>
      <c r="U48" s="3">
        <v>43472</v>
      </c>
      <c r="V48" s="8">
        <v>645000</v>
      </c>
    </row>
    <row r="49" spans="1:22" ht="15" customHeight="1" x14ac:dyDescent="0.25">
      <c r="A49" s="7">
        <v>48</v>
      </c>
      <c r="B49" s="3">
        <v>43488</v>
      </c>
      <c r="C49" s="2" t="s">
        <v>57</v>
      </c>
      <c r="D49" s="2" t="s">
        <v>51</v>
      </c>
      <c r="E49" s="2" t="s">
        <v>59</v>
      </c>
      <c r="F49" s="2" t="s">
        <v>117</v>
      </c>
      <c r="G49" s="3">
        <v>34021</v>
      </c>
      <c r="H49" s="2">
        <v>27</v>
      </c>
      <c r="I49" s="2" t="s">
        <v>26</v>
      </c>
      <c r="J49" s="2" t="s">
        <v>27</v>
      </c>
      <c r="K49" s="2" t="s">
        <v>28</v>
      </c>
      <c r="L49" s="2" t="s">
        <v>45</v>
      </c>
      <c r="M49" s="2" t="s">
        <v>38</v>
      </c>
      <c r="N49" s="2" t="s">
        <v>39</v>
      </c>
      <c r="O49" s="2" t="s">
        <v>46</v>
      </c>
      <c r="P49" s="2" t="s">
        <v>118</v>
      </c>
      <c r="Q49" s="2">
        <v>1</v>
      </c>
      <c r="R49" s="2">
        <v>1</v>
      </c>
      <c r="S49" s="2">
        <v>1</v>
      </c>
      <c r="T49" s="2">
        <v>1</v>
      </c>
      <c r="U49" s="3">
        <v>43474</v>
      </c>
      <c r="V49" s="8">
        <v>150000</v>
      </c>
    </row>
    <row r="50" spans="1:22" ht="15" customHeight="1" x14ac:dyDescent="0.25">
      <c r="A50" s="7">
        <v>49</v>
      </c>
      <c r="B50" s="3">
        <v>43488</v>
      </c>
      <c r="C50" s="2" t="s">
        <v>32</v>
      </c>
      <c r="D50" s="2" t="s">
        <v>33</v>
      </c>
      <c r="E50" s="2" t="s">
        <v>34</v>
      </c>
      <c r="F50" s="2" t="s">
        <v>86</v>
      </c>
      <c r="G50" s="3">
        <v>31553</v>
      </c>
      <c r="H50" s="2">
        <v>34</v>
      </c>
      <c r="I50" s="2" t="s">
        <v>26</v>
      </c>
      <c r="J50" s="2" t="s">
        <v>27</v>
      </c>
      <c r="K50" s="2" t="s">
        <v>91</v>
      </c>
      <c r="L50" s="2" t="s">
        <v>45</v>
      </c>
      <c r="M50" s="2" t="s">
        <v>30</v>
      </c>
      <c r="N50" s="2" t="s">
        <v>81</v>
      </c>
      <c r="O50" s="2"/>
      <c r="P50" s="2"/>
      <c r="Q50" s="2">
        <v>1</v>
      </c>
      <c r="R50" s="2"/>
      <c r="S50" s="2">
        <v>1</v>
      </c>
      <c r="T50" s="2">
        <v>1</v>
      </c>
      <c r="U50" s="3">
        <v>43472</v>
      </c>
      <c r="V50" s="8">
        <v>645000</v>
      </c>
    </row>
    <row r="51" spans="1:22" ht="15" customHeight="1" x14ac:dyDescent="0.25">
      <c r="A51" s="7">
        <v>50</v>
      </c>
      <c r="B51" s="3">
        <v>43489</v>
      </c>
      <c r="C51" s="2" t="s">
        <v>32</v>
      </c>
      <c r="D51" s="2" t="s">
        <v>42</v>
      </c>
      <c r="E51" s="2" t="s">
        <v>43</v>
      </c>
      <c r="F51" s="2" t="s">
        <v>96</v>
      </c>
      <c r="G51" s="3">
        <v>33409</v>
      </c>
      <c r="H51" s="2">
        <v>29</v>
      </c>
      <c r="I51" s="2" t="s">
        <v>26</v>
      </c>
      <c r="J51" s="2" t="s">
        <v>110</v>
      </c>
      <c r="K51" s="2" t="s">
        <v>28</v>
      </c>
      <c r="L51" s="2" t="s">
        <v>114</v>
      </c>
      <c r="M51" s="2" t="s">
        <v>30</v>
      </c>
      <c r="N51" s="2" t="s">
        <v>81</v>
      </c>
      <c r="O51" s="2"/>
      <c r="P51" s="2"/>
      <c r="Q51" s="2">
        <v>1</v>
      </c>
      <c r="R51" s="2"/>
      <c r="S51" s="2"/>
      <c r="T51" s="2"/>
      <c r="U51" s="3"/>
      <c r="V51" s="8"/>
    </row>
    <row r="52" spans="1:22" ht="15" customHeight="1" x14ac:dyDescent="0.25">
      <c r="A52" s="7">
        <v>51</v>
      </c>
      <c r="B52" s="3">
        <v>43490</v>
      </c>
      <c r="C52" s="2" t="s">
        <v>48</v>
      </c>
      <c r="D52" s="2" t="s">
        <v>23</v>
      </c>
      <c r="E52" s="2" t="s">
        <v>24</v>
      </c>
      <c r="F52" s="2" t="s">
        <v>119</v>
      </c>
      <c r="G52" s="3">
        <v>34295</v>
      </c>
      <c r="H52" s="2">
        <v>26</v>
      </c>
      <c r="I52" s="2" t="s">
        <v>26</v>
      </c>
      <c r="J52" s="2" t="s">
        <v>27</v>
      </c>
      <c r="K52" s="2" t="s">
        <v>37</v>
      </c>
      <c r="L52" s="2" t="s">
        <v>45</v>
      </c>
      <c r="M52" s="2" t="s">
        <v>38</v>
      </c>
      <c r="N52" s="2" t="s">
        <v>56</v>
      </c>
      <c r="O52" s="2"/>
      <c r="P52" s="2"/>
      <c r="Q52" s="2">
        <v>1</v>
      </c>
      <c r="R52" s="2"/>
      <c r="S52" s="2"/>
      <c r="T52" s="2"/>
      <c r="U52" s="3"/>
      <c r="V52" s="8">
        <v>150000</v>
      </c>
    </row>
    <row r="53" spans="1:22" ht="15" customHeight="1" x14ac:dyDescent="0.25">
      <c r="A53" s="7">
        <v>52</v>
      </c>
      <c r="B53" s="3">
        <v>43491</v>
      </c>
      <c r="C53" s="2" t="s">
        <v>32</v>
      </c>
      <c r="D53" s="2" t="s">
        <v>71</v>
      </c>
      <c r="E53" s="2" t="s">
        <v>59</v>
      </c>
      <c r="F53" s="2" t="s">
        <v>101</v>
      </c>
      <c r="G53" s="3">
        <v>33016</v>
      </c>
      <c r="H53" s="2">
        <v>30</v>
      </c>
      <c r="I53" s="2" t="s">
        <v>26</v>
      </c>
      <c r="J53" s="2" t="s">
        <v>93</v>
      </c>
      <c r="K53" s="2" t="s">
        <v>37</v>
      </c>
      <c r="L53" s="2" t="s">
        <v>45</v>
      </c>
      <c r="M53" s="2" t="s">
        <v>30</v>
      </c>
      <c r="N53" s="2" t="s">
        <v>31</v>
      </c>
      <c r="O53" s="2"/>
      <c r="P53" s="2"/>
      <c r="Q53" s="2">
        <v>1</v>
      </c>
      <c r="R53" s="2">
        <v>1</v>
      </c>
      <c r="S53" s="2"/>
      <c r="T53" s="2"/>
      <c r="U53" s="3"/>
      <c r="V53" s="8"/>
    </row>
    <row r="54" spans="1:22" ht="15" customHeight="1" x14ac:dyDescent="0.25">
      <c r="A54" s="7">
        <v>53</v>
      </c>
      <c r="B54" s="3">
        <v>43491</v>
      </c>
      <c r="C54" s="2" t="s">
        <v>48</v>
      </c>
      <c r="D54" s="2" t="s">
        <v>23</v>
      </c>
      <c r="E54" s="2" t="s">
        <v>85</v>
      </c>
      <c r="F54" s="2" t="s">
        <v>120</v>
      </c>
      <c r="G54" s="3">
        <v>34118</v>
      </c>
      <c r="H54" s="2">
        <v>27</v>
      </c>
      <c r="I54" s="2" t="s">
        <v>26</v>
      </c>
      <c r="J54" s="2" t="s">
        <v>79</v>
      </c>
      <c r="K54" s="2" t="s">
        <v>28</v>
      </c>
      <c r="L54" s="2" t="s">
        <v>45</v>
      </c>
      <c r="M54" s="2" t="s">
        <v>38</v>
      </c>
      <c r="N54" s="2" t="s">
        <v>63</v>
      </c>
      <c r="O54" s="2" t="s">
        <v>64</v>
      </c>
      <c r="P54" s="2"/>
      <c r="Q54" s="2">
        <v>1</v>
      </c>
      <c r="R54" s="2"/>
      <c r="S54" s="2"/>
      <c r="T54" s="2"/>
      <c r="U54" s="3"/>
      <c r="V54" s="8">
        <v>120000</v>
      </c>
    </row>
    <row r="55" spans="1:22" ht="15" customHeight="1" x14ac:dyDescent="0.25">
      <c r="A55" s="7">
        <v>54</v>
      </c>
      <c r="B55" s="3">
        <v>43492</v>
      </c>
      <c r="C55" s="2" t="s">
        <v>57</v>
      </c>
      <c r="D55" s="2" t="s">
        <v>23</v>
      </c>
      <c r="E55" s="2" t="s">
        <v>24</v>
      </c>
      <c r="F55" s="2" t="s">
        <v>80</v>
      </c>
      <c r="G55" s="3">
        <v>33016</v>
      </c>
      <c r="H55" s="2">
        <v>30</v>
      </c>
      <c r="I55" s="2" t="s">
        <v>26</v>
      </c>
      <c r="J55" s="2" t="s">
        <v>61</v>
      </c>
      <c r="K55" s="2" t="s">
        <v>28</v>
      </c>
      <c r="L55" s="2" t="s">
        <v>92</v>
      </c>
      <c r="M55" s="2" t="s">
        <v>38</v>
      </c>
      <c r="N55" s="2" t="s">
        <v>63</v>
      </c>
      <c r="O55" s="2" t="s">
        <v>64</v>
      </c>
      <c r="P55" s="2"/>
      <c r="Q55" s="2">
        <v>1</v>
      </c>
      <c r="R55" s="2">
        <v>1</v>
      </c>
      <c r="S55" s="2">
        <v>1</v>
      </c>
      <c r="T55" s="2">
        <v>1</v>
      </c>
      <c r="U55" s="3">
        <v>43475</v>
      </c>
      <c r="V55" s="8">
        <v>121000</v>
      </c>
    </row>
    <row r="56" spans="1:22" ht="15" customHeight="1" x14ac:dyDescent="0.25">
      <c r="A56" s="7">
        <v>55</v>
      </c>
      <c r="B56" s="3">
        <v>43493</v>
      </c>
      <c r="C56" s="2" t="s">
        <v>48</v>
      </c>
      <c r="D56" s="2" t="s">
        <v>51</v>
      </c>
      <c r="E56" s="2" t="s">
        <v>52</v>
      </c>
      <c r="F56" s="2" t="s">
        <v>121</v>
      </c>
      <c r="G56" s="3">
        <v>33041</v>
      </c>
      <c r="H56" s="2">
        <v>30</v>
      </c>
      <c r="I56" s="2" t="s">
        <v>26</v>
      </c>
      <c r="J56" s="2" t="s">
        <v>70</v>
      </c>
      <c r="K56" s="2" t="s">
        <v>91</v>
      </c>
      <c r="L56" s="2" t="s">
        <v>45</v>
      </c>
      <c r="M56" s="2" t="s">
        <v>30</v>
      </c>
      <c r="N56" s="2" t="s">
        <v>31</v>
      </c>
      <c r="O56" s="2"/>
      <c r="P56" s="2"/>
      <c r="Q56" s="2">
        <v>1</v>
      </c>
      <c r="R56" s="2">
        <v>1</v>
      </c>
      <c r="S56" s="2"/>
      <c r="T56" s="2"/>
      <c r="U56" s="3"/>
      <c r="V56" s="8"/>
    </row>
    <row r="57" spans="1:22" ht="15" customHeight="1" x14ac:dyDescent="0.25">
      <c r="A57" s="7">
        <v>56</v>
      </c>
      <c r="B57" s="3">
        <v>43494</v>
      </c>
      <c r="C57" s="2" t="s">
        <v>48</v>
      </c>
      <c r="D57" s="2" t="s">
        <v>23</v>
      </c>
      <c r="E57" s="2" t="s">
        <v>24</v>
      </c>
      <c r="F57" s="2" t="s">
        <v>117</v>
      </c>
      <c r="G57" s="3">
        <v>33144</v>
      </c>
      <c r="H57" s="2">
        <v>29</v>
      </c>
      <c r="I57" s="2" t="s">
        <v>87</v>
      </c>
      <c r="J57" s="2" t="s">
        <v>27</v>
      </c>
      <c r="K57" s="2" t="s">
        <v>37</v>
      </c>
      <c r="L57" s="2" t="s">
        <v>92</v>
      </c>
      <c r="M57" s="2" t="s">
        <v>38</v>
      </c>
      <c r="N57" s="2" t="s">
        <v>56</v>
      </c>
      <c r="O57" s="2"/>
      <c r="P57" s="2"/>
      <c r="Q57" s="2">
        <v>1</v>
      </c>
      <c r="R57" s="2"/>
      <c r="S57" s="2"/>
      <c r="T57" s="2"/>
      <c r="U57" s="3"/>
      <c r="V57" s="8">
        <v>150000</v>
      </c>
    </row>
    <row r="58" spans="1:22" ht="15" customHeight="1" x14ac:dyDescent="0.25">
      <c r="A58" s="7">
        <v>57</v>
      </c>
      <c r="B58" s="3">
        <v>43494</v>
      </c>
      <c r="C58" s="2" t="s">
        <v>57</v>
      </c>
      <c r="D58" s="2" t="s">
        <v>67</v>
      </c>
      <c r="E58" s="2" t="s">
        <v>68</v>
      </c>
      <c r="F58" s="2" t="s">
        <v>122</v>
      </c>
      <c r="G58" s="3">
        <v>33041</v>
      </c>
      <c r="H58" s="2">
        <v>30</v>
      </c>
      <c r="I58" s="2" t="s">
        <v>26</v>
      </c>
      <c r="J58" s="2" t="s">
        <v>27</v>
      </c>
      <c r="K58" s="2" t="s">
        <v>37</v>
      </c>
      <c r="L58" s="2" t="s">
        <v>92</v>
      </c>
      <c r="M58" s="2" t="s">
        <v>38</v>
      </c>
      <c r="N58" s="2" t="s">
        <v>39</v>
      </c>
      <c r="O58" s="2" t="s">
        <v>40</v>
      </c>
      <c r="P58" s="2" t="s">
        <v>84</v>
      </c>
      <c r="Q58" s="2">
        <v>1</v>
      </c>
      <c r="R58" s="2"/>
      <c r="S58" s="2"/>
      <c r="T58" s="2"/>
      <c r="U58" s="3"/>
      <c r="V58" s="8">
        <v>122000</v>
      </c>
    </row>
    <row r="59" spans="1:22" ht="15" customHeight="1" x14ac:dyDescent="0.25">
      <c r="A59" s="7">
        <v>58</v>
      </c>
      <c r="B59" s="3">
        <v>43497</v>
      </c>
      <c r="C59" s="2" t="s">
        <v>32</v>
      </c>
      <c r="D59" s="2" t="s">
        <v>33</v>
      </c>
      <c r="E59" s="2" t="s">
        <v>34</v>
      </c>
      <c r="F59" s="2" t="s">
        <v>35</v>
      </c>
      <c r="G59" s="3">
        <v>33016</v>
      </c>
      <c r="H59" s="2">
        <v>30</v>
      </c>
      <c r="I59" s="2" t="s">
        <v>26</v>
      </c>
      <c r="J59" s="2" t="s">
        <v>36</v>
      </c>
      <c r="K59" s="2" t="s">
        <v>37</v>
      </c>
      <c r="L59" s="2" t="s">
        <v>29</v>
      </c>
      <c r="M59" s="2" t="s">
        <v>38</v>
      </c>
      <c r="N59" s="2" t="s">
        <v>39</v>
      </c>
      <c r="O59" s="2" t="s">
        <v>40</v>
      </c>
      <c r="P59" s="2" t="s">
        <v>41</v>
      </c>
      <c r="Q59" s="2">
        <v>1</v>
      </c>
      <c r="R59" s="2"/>
      <c r="S59" s="2"/>
      <c r="T59" s="2"/>
      <c r="U59" s="3"/>
      <c r="V59" s="8">
        <v>400000</v>
      </c>
    </row>
    <row r="60" spans="1:22" ht="15" customHeight="1" x14ac:dyDescent="0.25">
      <c r="A60" s="7">
        <v>59</v>
      </c>
      <c r="B60" s="3">
        <v>43497</v>
      </c>
      <c r="C60" s="2" t="s">
        <v>22</v>
      </c>
      <c r="D60" s="2" t="s">
        <v>23</v>
      </c>
      <c r="E60" s="2" t="s">
        <v>24</v>
      </c>
      <c r="F60" s="2" t="s">
        <v>25</v>
      </c>
      <c r="G60" s="3">
        <v>33409</v>
      </c>
      <c r="H60" s="2">
        <v>29</v>
      </c>
      <c r="I60" s="2" t="s">
        <v>26</v>
      </c>
      <c r="J60" s="2" t="s">
        <v>27</v>
      </c>
      <c r="K60" s="2" t="s">
        <v>28</v>
      </c>
      <c r="L60" s="2" t="s">
        <v>29</v>
      </c>
      <c r="M60" s="2" t="s">
        <v>38</v>
      </c>
      <c r="N60" s="2" t="s">
        <v>39</v>
      </c>
      <c r="O60" s="2" t="s">
        <v>40</v>
      </c>
      <c r="P60" s="2" t="s">
        <v>77</v>
      </c>
      <c r="Q60" s="2">
        <v>1</v>
      </c>
      <c r="R60" s="2"/>
      <c r="S60" s="2"/>
      <c r="T60" s="2"/>
      <c r="U60" s="3"/>
      <c r="V60" s="8"/>
    </row>
    <row r="61" spans="1:22" ht="15" customHeight="1" x14ac:dyDescent="0.25">
      <c r="A61" s="7">
        <v>60</v>
      </c>
      <c r="B61" s="3">
        <v>43498</v>
      </c>
      <c r="C61" s="2" t="s">
        <v>32</v>
      </c>
      <c r="D61" s="2" t="s">
        <v>42</v>
      </c>
      <c r="E61" s="2" t="s">
        <v>43</v>
      </c>
      <c r="F61" s="2" t="s">
        <v>44</v>
      </c>
      <c r="G61" s="3">
        <v>33327</v>
      </c>
      <c r="H61" s="2">
        <v>29</v>
      </c>
      <c r="I61" s="2" t="s">
        <v>26</v>
      </c>
      <c r="J61" s="2" t="s">
        <v>27</v>
      </c>
      <c r="K61" s="2" t="s">
        <v>37</v>
      </c>
      <c r="L61" s="2" t="s">
        <v>45</v>
      </c>
      <c r="M61" s="2" t="s">
        <v>38</v>
      </c>
      <c r="N61" s="2" t="s">
        <v>39</v>
      </c>
      <c r="O61" s="2" t="s">
        <v>40</v>
      </c>
      <c r="P61" s="2" t="s">
        <v>41</v>
      </c>
      <c r="Q61" s="2">
        <v>1</v>
      </c>
      <c r="R61" s="2">
        <v>1</v>
      </c>
      <c r="S61" s="2">
        <v>1</v>
      </c>
      <c r="T61" s="2">
        <v>1</v>
      </c>
      <c r="U61" s="3">
        <v>43507</v>
      </c>
      <c r="V61" s="8"/>
    </row>
    <row r="62" spans="1:22" ht="15" customHeight="1" x14ac:dyDescent="0.25">
      <c r="A62" s="7">
        <v>61</v>
      </c>
      <c r="B62" s="3">
        <v>43498</v>
      </c>
      <c r="C62" s="2" t="s">
        <v>48</v>
      </c>
      <c r="D62" s="2" t="s">
        <v>23</v>
      </c>
      <c r="E62" s="2" t="s">
        <v>24</v>
      </c>
      <c r="F62" s="2" t="s">
        <v>49</v>
      </c>
      <c r="G62" s="3">
        <v>32996</v>
      </c>
      <c r="H62" s="2">
        <v>30</v>
      </c>
      <c r="I62" s="2" t="s">
        <v>26</v>
      </c>
      <c r="J62" s="2" t="s">
        <v>50</v>
      </c>
      <c r="K62" s="2" t="s">
        <v>37</v>
      </c>
      <c r="L62" s="2" t="s">
        <v>45</v>
      </c>
      <c r="M62" s="2" t="s">
        <v>38</v>
      </c>
      <c r="N62" s="2" t="s">
        <v>63</v>
      </c>
      <c r="O62" s="2" t="s">
        <v>64</v>
      </c>
      <c r="P62" s="2"/>
      <c r="Q62" s="2">
        <v>1</v>
      </c>
      <c r="R62" s="2">
        <v>1</v>
      </c>
      <c r="S62" s="2">
        <v>1</v>
      </c>
      <c r="T62" s="2">
        <v>1</v>
      </c>
      <c r="U62" s="3">
        <v>43513</v>
      </c>
      <c r="V62" s="8">
        <v>121000</v>
      </c>
    </row>
    <row r="63" spans="1:22" ht="15" customHeight="1" x14ac:dyDescent="0.25">
      <c r="A63" s="7">
        <v>62</v>
      </c>
      <c r="B63" s="3">
        <v>43498</v>
      </c>
      <c r="C63" s="2" t="s">
        <v>32</v>
      </c>
      <c r="D63" s="2" t="s">
        <v>42</v>
      </c>
      <c r="E63" s="2" t="s">
        <v>43</v>
      </c>
      <c r="F63" s="2" t="s">
        <v>44</v>
      </c>
      <c r="G63" s="3">
        <v>33327</v>
      </c>
      <c r="H63" s="2">
        <v>29</v>
      </c>
      <c r="I63" s="2" t="s">
        <v>26</v>
      </c>
      <c r="J63" s="2" t="s">
        <v>27</v>
      </c>
      <c r="K63" s="2" t="s">
        <v>37</v>
      </c>
      <c r="L63" s="2" t="s">
        <v>45</v>
      </c>
      <c r="M63" s="2" t="s">
        <v>38</v>
      </c>
      <c r="N63" s="2" t="s">
        <v>39</v>
      </c>
      <c r="O63" s="2" t="s">
        <v>40</v>
      </c>
      <c r="P63" s="2" t="s">
        <v>41</v>
      </c>
      <c r="Q63" s="2">
        <v>1</v>
      </c>
      <c r="R63" s="2">
        <v>1</v>
      </c>
      <c r="S63" s="2">
        <v>1</v>
      </c>
      <c r="T63" s="2">
        <v>1</v>
      </c>
      <c r="U63" s="3">
        <v>43507</v>
      </c>
      <c r="V63" s="8"/>
    </row>
    <row r="64" spans="1:22" ht="15" customHeight="1" x14ac:dyDescent="0.25">
      <c r="A64" s="7">
        <v>63</v>
      </c>
      <c r="B64" s="3">
        <v>43498</v>
      </c>
      <c r="C64" s="2" t="s">
        <v>48</v>
      </c>
      <c r="D64" s="2" t="s">
        <v>23</v>
      </c>
      <c r="E64" s="2" t="s">
        <v>24</v>
      </c>
      <c r="F64" s="2" t="s">
        <v>49</v>
      </c>
      <c r="G64" s="3">
        <v>32996</v>
      </c>
      <c r="H64" s="2">
        <v>30</v>
      </c>
      <c r="I64" s="2" t="s">
        <v>26</v>
      </c>
      <c r="J64" s="2" t="s">
        <v>50</v>
      </c>
      <c r="K64" s="2" t="s">
        <v>37</v>
      </c>
      <c r="L64" s="2" t="s">
        <v>45</v>
      </c>
      <c r="M64" s="2" t="s">
        <v>38</v>
      </c>
      <c r="N64" s="2" t="s">
        <v>63</v>
      </c>
      <c r="O64" s="2" t="s">
        <v>64</v>
      </c>
      <c r="P64" s="2"/>
      <c r="Q64" s="2">
        <v>1</v>
      </c>
      <c r="R64" s="2">
        <v>1</v>
      </c>
      <c r="S64" s="2">
        <v>1</v>
      </c>
      <c r="T64" s="2">
        <v>1</v>
      </c>
      <c r="U64" s="3">
        <v>43513</v>
      </c>
      <c r="V64" s="8">
        <v>121000</v>
      </c>
    </row>
    <row r="65" spans="1:22" ht="15" customHeight="1" x14ac:dyDescent="0.25">
      <c r="A65" s="7">
        <v>64</v>
      </c>
      <c r="B65" s="3">
        <v>43499</v>
      </c>
      <c r="C65" s="2" t="s">
        <v>48</v>
      </c>
      <c r="D65" s="2" t="s">
        <v>51</v>
      </c>
      <c r="E65" s="2" t="s">
        <v>52</v>
      </c>
      <c r="F65" s="2" t="s">
        <v>53</v>
      </c>
      <c r="G65" s="3">
        <v>33041</v>
      </c>
      <c r="H65" s="2">
        <v>30</v>
      </c>
      <c r="I65" s="2" t="s">
        <v>26</v>
      </c>
      <c r="J65" s="2" t="s">
        <v>50</v>
      </c>
      <c r="K65" s="2" t="s">
        <v>37</v>
      </c>
      <c r="L65" s="2" t="s">
        <v>45</v>
      </c>
      <c r="M65" s="2" t="s">
        <v>38</v>
      </c>
      <c r="N65" s="2" t="s">
        <v>63</v>
      </c>
      <c r="O65" s="2" t="s">
        <v>64</v>
      </c>
      <c r="P65" s="2"/>
      <c r="Q65" s="2">
        <v>1</v>
      </c>
      <c r="R65" s="2">
        <v>1</v>
      </c>
      <c r="S65" s="2"/>
      <c r="T65" s="2"/>
      <c r="U65" s="3"/>
      <c r="V65" s="8">
        <v>50000</v>
      </c>
    </row>
    <row r="66" spans="1:22" ht="15" customHeight="1" x14ac:dyDescent="0.25">
      <c r="A66" s="7">
        <v>65</v>
      </c>
      <c r="B66" s="3">
        <v>43500</v>
      </c>
      <c r="C66" s="2" t="s">
        <v>57</v>
      </c>
      <c r="D66" s="2" t="s">
        <v>23</v>
      </c>
      <c r="E66" s="2" t="s">
        <v>24</v>
      </c>
      <c r="F66" s="2" t="s">
        <v>58</v>
      </c>
      <c r="G66" s="3">
        <v>33144</v>
      </c>
      <c r="H66" s="2">
        <v>29</v>
      </c>
      <c r="I66" s="2" t="s">
        <v>26</v>
      </c>
      <c r="J66" s="2" t="s">
        <v>50</v>
      </c>
      <c r="K66" s="2" t="s">
        <v>28</v>
      </c>
      <c r="L66" s="2" t="s">
        <v>45</v>
      </c>
      <c r="M66" s="2" t="s">
        <v>38</v>
      </c>
      <c r="N66" s="2" t="s">
        <v>89</v>
      </c>
      <c r="O66" s="2"/>
      <c r="P66" s="2"/>
      <c r="Q66" s="2">
        <v>1</v>
      </c>
      <c r="R66" s="2"/>
      <c r="S66" s="2"/>
      <c r="T66" s="2"/>
      <c r="U66" s="3"/>
      <c r="V66" s="8"/>
    </row>
    <row r="67" spans="1:22" ht="15" customHeight="1" x14ac:dyDescent="0.25">
      <c r="A67" s="7">
        <v>66</v>
      </c>
      <c r="B67" s="3">
        <v>43500</v>
      </c>
      <c r="C67" s="2" t="s">
        <v>48</v>
      </c>
      <c r="D67" s="2" t="s">
        <v>51</v>
      </c>
      <c r="E67" s="2" t="s">
        <v>52</v>
      </c>
      <c r="F67" s="2" t="s">
        <v>54</v>
      </c>
      <c r="G67" s="3">
        <v>33132</v>
      </c>
      <c r="H67" s="2">
        <v>29</v>
      </c>
      <c r="I67" s="2" t="s">
        <v>26</v>
      </c>
      <c r="J67" s="2" t="s">
        <v>27</v>
      </c>
      <c r="K67" s="2" t="s">
        <v>37</v>
      </c>
      <c r="L67" s="2" t="s">
        <v>55</v>
      </c>
      <c r="M67" s="2" t="s">
        <v>38</v>
      </c>
      <c r="N67" s="2" t="s">
        <v>56</v>
      </c>
      <c r="O67" s="2"/>
      <c r="P67" s="2"/>
      <c r="Q67" s="2">
        <v>1</v>
      </c>
      <c r="R67" s="2"/>
      <c r="S67" s="2"/>
      <c r="T67" s="2"/>
      <c r="U67" s="3"/>
      <c r="V67" s="8">
        <v>45000</v>
      </c>
    </row>
    <row r="68" spans="1:22" ht="15" customHeight="1" x14ac:dyDescent="0.25">
      <c r="A68" s="7">
        <v>67</v>
      </c>
      <c r="B68" s="3">
        <v>43501</v>
      </c>
      <c r="C68" s="2" t="s">
        <v>57</v>
      </c>
      <c r="D68" s="2" t="s">
        <v>51</v>
      </c>
      <c r="E68" s="2" t="s">
        <v>59</v>
      </c>
      <c r="F68" s="2" t="s">
        <v>60</v>
      </c>
      <c r="G68" s="3">
        <v>32919</v>
      </c>
      <c r="H68" s="2">
        <v>30</v>
      </c>
      <c r="I68" s="2" t="s">
        <v>26</v>
      </c>
      <c r="J68" s="2" t="s">
        <v>61</v>
      </c>
      <c r="K68" s="2" t="s">
        <v>37</v>
      </c>
      <c r="L68" s="2" t="s">
        <v>62</v>
      </c>
      <c r="M68" s="2" t="s">
        <v>38</v>
      </c>
      <c r="N68" s="2" t="s">
        <v>63</v>
      </c>
      <c r="O68" s="2" t="s">
        <v>64</v>
      </c>
      <c r="P68" s="2"/>
      <c r="Q68" s="2">
        <v>1</v>
      </c>
      <c r="R68" s="2"/>
      <c r="S68" s="2"/>
      <c r="T68" s="2"/>
      <c r="U68" s="3"/>
      <c r="V68" s="8">
        <v>50000</v>
      </c>
    </row>
    <row r="69" spans="1:22" ht="15" customHeight="1" x14ac:dyDescent="0.25">
      <c r="A69" s="7">
        <v>68</v>
      </c>
      <c r="B69" s="3">
        <v>43502</v>
      </c>
      <c r="C69" s="2" t="s">
        <v>48</v>
      </c>
      <c r="D69" s="2" t="s">
        <v>51</v>
      </c>
      <c r="E69" s="2" t="s">
        <v>52</v>
      </c>
      <c r="F69" s="2" t="s">
        <v>65</v>
      </c>
      <c r="G69" s="3">
        <v>34195</v>
      </c>
      <c r="H69" s="2">
        <v>27</v>
      </c>
      <c r="I69" s="2" t="s">
        <v>26</v>
      </c>
      <c r="J69" s="2" t="s">
        <v>27</v>
      </c>
      <c r="K69" s="2" t="s">
        <v>37</v>
      </c>
      <c r="L69" s="2" t="s">
        <v>45</v>
      </c>
      <c r="M69" s="2" t="s">
        <v>38</v>
      </c>
      <c r="N69" s="2" t="s">
        <v>63</v>
      </c>
      <c r="O69" s="2" t="s">
        <v>64</v>
      </c>
      <c r="P69" s="2"/>
      <c r="Q69" s="2">
        <v>1</v>
      </c>
      <c r="R69" s="2">
        <v>1</v>
      </c>
      <c r="S69" s="2"/>
      <c r="T69" s="2"/>
      <c r="U69" s="3"/>
      <c r="V69" s="8">
        <v>50000</v>
      </c>
    </row>
    <row r="70" spans="1:22" ht="15" customHeight="1" x14ac:dyDescent="0.25">
      <c r="A70" s="7">
        <v>69</v>
      </c>
      <c r="B70" s="3">
        <v>43502</v>
      </c>
      <c r="C70" s="2" t="s">
        <v>66</v>
      </c>
      <c r="D70" s="2" t="s">
        <v>67</v>
      </c>
      <c r="E70" s="2" t="s">
        <v>68</v>
      </c>
      <c r="F70" s="2" t="s">
        <v>69</v>
      </c>
      <c r="G70" s="3">
        <v>32589</v>
      </c>
      <c r="H70" s="2">
        <v>31</v>
      </c>
      <c r="I70" s="2" t="s">
        <v>26</v>
      </c>
      <c r="J70" s="2" t="s">
        <v>70</v>
      </c>
      <c r="K70" s="2" t="s">
        <v>28</v>
      </c>
      <c r="L70" s="2" t="s">
        <v>45</v>
      </c>
      <c r="M70" s="2" t="s">
        <v>30</v>
      </c>
      <c r="N70" s="2" t="s">
        <v>31</v>
      </c>
      <c r="O70" s="2"/>
      <c r="P70" s="2"/>
      <c r="Q70" s="2">
        <v>1</v>
      </c>
      <c r="R70" s="2">
        <v>1</v>
      </c>
      <c r="S70" s="2">
        <v>1</v>
      </c>
      <c r="T70" s="2">
        <v>1</v>
      </c>
      <c r="U70" s="3">
        <v>43510</v>
      </c>
      <c r="V70" s="8">
        <v>22000</v>
      </c>
    </row>
    <row r="71" spans="1:22" ht="15" customHeight="1" x14ac:dyDescent="0.25">
      <c r="A71" s="7">
        <v>70</v>
      </c>
      <c r="B71" s="3">
        <v>43504</v>
      </c>
      <c r="C71" s="2" t="s">
        <v>32</v>
      </c>
      <c r="D71" s="2" t="s">
        <v>71</v>
      </c>
      <c r="E71" s="2" t="s">
        <v>59</v>
      </c>
      <c r="F71" s="2" t="s">
        <v>72</v>
      </c>
      <c r="G71" s="3">
        <v>33476</v>
      </c>
      <c r="H71" s="2">
        <v>29</v>
      </c>
      <c r="I71" s="2" t="s">
        <v>26</v>
      </c>
      <c r="J71" s="2" t="s">
        <v>73</v>
      </c>
      <c r="K71" s="2" t="s">
        <v>37</v>
      </c>
      <c r="L71" s="2" t="s">
        <v>45</v>
      </c>
      <c r="M71" s="2" t="s">
        <v>38</v>
      </c>
      <c r="N71" s="2" t="s">
        <v>63</v>
      </c>
      <c r="O71" s="2" t="s">
        <v>64</v>
      </c>
      <c r="P71" s="2"/>
      <c r="Q71" s="2">
        <v>1</v>
      </c>
      <c r="R71" s="2">
        <v>1</v>
      </c>
      <c r="S71" s="2">
        <v>1</v>
      </c>
      <c r="T71" s="2"/>
      <c r="U71" s="3"/>
      <c r="V71" s="8">
        <v>50000</v>
      </c>
    </row>
    <row r="72" spans="1:22" ht="15" customHeight="1" x14ac:dyDescent="0.25">
      <c r="A72" s="7">
        <v>71</v>
      </c>
      <c r="B72" s="3">
        <v>43505</v>
      </c>
      <c r="C72" s="2" t="s">
        <v>57</v>
      </c>
      <c r="D72" s="2" t="s">
        <v>67</v>
      </c>
      <c r="E72" s="2" t="s">
        <v>68</v>
      </c>
      <c r="F72" s="2" t="s">
        <v>122</v>
      </c>
      <c r="G72" s="3">
        <v>33041</v>
      </c>
      <c r="H72" s="2">
        <v>30</v>
      </c>
      <c r="I72" s="2" t="s">
        <v>26</v>
      </c>
      <c r="J72" s="2" t="s">
        <v>27</v>
      </c>
      <c r="K72" s="2" t="s">
        <v>37</v>
      </c>
      <c r="L72" s="2" t="s">
        <v>92</v>
      </c>
      <c r="M72" s="2" t="s">
        <v>38</v>
      </c>
      <c r="N72" s="2" t="s">
        <v>39</v>
      </c>
      <c r="O72" s="2" t="s">
        <v>46</v>
      </c>
      <c r="P72" s="2" t="s">
        <v>84</v>
      </c>
      <c r="Q72" s="2">
        <v>1</v>
      </c>
      <c r="R72" s="2"/>
      <c r="S72" s="2"/>
      <c r="T72" s="2"/>
      <c r="U72" s="3"/>
      <c r="V72" s="8">
        <v>500000</v>
      </c>
    </row>
    <row r="73" spans="1:22" ht="15" customHeight="1" x14ac:dyDescent="0.25">
      <c r="A73" s="7">
        <v>72</v>
      </c>
      <c r="B73" s="3">
        <v>43505</v>
      </c>
      <c r="C73" s="2" t="s">
        <v>32</v>
      </c>
      <c r="D73" s="2" t="s">
        <v>33</v>
      </c>
      <c r="E73" s="2" t="s">
        <v>34</v>
      </c>
      <c r="F73" s="2" t="s">
        <v>74</v>
      </c>
      <c r="G73" s="3">
        <v>32558</v>
      </c>
      <c r="H73" s="2">
        <v>31</v>
      </c>
      <c r="I73" s="2" t="s">
        <v>26</v>
      </c>
      <c r="J73" s="2" t="s">
        <v>75</v>
      </c>
      <c r="K73" s="2" t="s">
        <v>37</v>
      </c>
      <c r="L73" s="2" t="s">
        <v>76</v>
      </c>
      <c r="M73" s="2" t="s">
        <v>38</v>
      </c>
      <c r="N73" s="2" t="s">
        <v>39</v>
      </c>
      <c r="O73" s="2" t="s">
        <v>46</v>
      </c>
      <c r="P73" s="2" t="s">
        <v>47</v>
      </c>
      <c r="Q73" s="2">
        <v>1</v>
      </c>
      <c r="R73" s="2">
        <v>1</v>
      </c>
      <c r="S73" s="2">
        <v>1</v>
      </c>
      <c r="T73" s="2">
        <v>1</v>
      </c>
      <c r="U73" s="3">
        <v>43506</v>
      </c>
      <c r="V73" s="8">
        <v>22000</v>
      </c>
    </row>
    <row r="74" spans="1:22" ht="15" customHeight="1" x14ac:dyDescent="0.25">
      <c r="A74" s="7">
        <v>73</v>
      </c>
      <c r="B74" s="3">
        <v>43506</v>
      </c>
      <c r="C74" s="2" t="s">
        <v>57</v>
      </c>
      <c r="D74" s="2" t="s">
        <v>67</v>
      </c>
      <c r="E74" s="2" t="s">
        <v>68</v>
      </c>
      <c r="F74" s="2" t="s">
        <v>78</v>
      </c>
      <c r="G74" s="3">
        <v>33573</v>
      </c>
      <c r="H74" s="2">
        <v>28</v>
      </c>
      <c r="I74" s="2" t="s">
        <v>26</v>
      </c>
      <c r="J74" s="2" t="s">
        <v>79</v>
      </c>
      <c r="K74" s="2" t="s">
        <v>37</v>
      </c>
      <c r="L74" s="2" t="s">
        <v>45</v>
      </c>
      <c r="M74" s="2" t="s">
        <v>38</v>
      </c>
      <c r="N74" s="2" t="s">
        <v>63</v>
      </c>
      <c r="O74" s="2" t="s">
        <v>64</v>
      </c>
      <c r="P74" s="2"/>
      <c r="Q74" s="2">
        <v>1</v>
      </c>
      <c r="R74" s="2">
        <v>1</v>
      </c>
      <c r="S74" s="2">
        <v>1</v>
      </c>
      <c r="T74" s="2">
        <v>1</v>
      </c>
      <c r="U74" s="3">
        <v>43508</v>
      </c>
      <c r="V74" s="8">
        <v>150000</v>
      </c>
    </row>
    <row r="75" spans="1:22" ht="15" customHeight="1" x14ac:dyDescent="0.25">
      <c r="A75" s="7">
        <v>74</v>
      </c>
      <c r="B75" s="3">
        <v>43507</v>
      </c>
      <c r="C75" s="2" t="s">
        <v>32</v>
      </c>
      <c r="D75" s="2" t="s">
        <v>42</v>
      </c>
      <c r="E75" s="2" t="s">
        <v>43</v>
      </c>
      <c r="F75" s="2" t="s">
        <v>80</v>
      </c>
      <c r="G75" s="3">
        <v>33088</v>
      </c>
      <c r="H75" s="2">
        <v>30</v>
      </c>
      <c r="I75" s="2" t="s">
        <v>26</v>
      </c>
      <c r="J75" s="2" t="s">
        <v>75</v>
      </c>
      <c r="K75" s="2" t="s">
        <v>37</v>
      </c>
      <c r="L75" s="2" t="s">
        <v>45</v>
      </c>
      <c r="M75" s="2" t="s">
        <v>30</v>
      </c>
      <c r="N75" s="2" t="s">
        <v>81</v>
      </c>
      <c r="O75" s="2"/>
      <c r="P75" s="2"/>
      <c r="Q75" s="2">
        <v>1</v>
      </c>
      <c r="R75" s="2"/>
      <c r="S75" s="2"/>
      <c r="T75" s="2"/>
      <c r="U75" s="3"/>
      <c r="V75" s="8">
        <v>120000</v>
      </c>
    </row>
    <row r="76" spans="1:22" ht="15" customHeight="1" x14ac:dyDescent="0.25">
      <c r="A76" s="7">
        <v>75</v>
      </c>
      <c r="B76" s="3">
        <v>43508</v>
      </c>
      <c r="C76" s="2" t="s">
        <v>32</v>
      </c>
      <c r="D76" s="2" t="s">
        <v>71</v>
      </c>
      <c r="E76" s="2" t="s">
        <v>59</v>
      </c>
      <c r="F76" s="2" t="s">
        <v>82</v>
      </c>
      <c r="G76" s="3">
        <v>33594</v>
      </c>
      <c r="H76" s="2">
        <v>28</v>
      </c>
      <c r="I76" s="2" t="s">
        <v>26</v>
      </c>
      <c r="J76" s="2" t="s">
        <v>83</v>
      </c>
      <c r="K76" s="2" t="s">
        <v>37</v>
      </c>
      <c r="L76" s="2" t="s">
        <v>45</v>
      </c>
      <c r="M76" s="2" t="s">
        <v>38</v>
      </c>
      <c r="N76" s="2" t="s">
        <v>39</v>
      </c>
      <c r="O76" s="2" t="s">
        <v>46</v>
      </c>
      <c r="P76" s="2" t="s">
        <v>84</v>
      </c>
      <c r="Q76" s="2">
        <v>1</v>
      </c>
      <c r="R76" s="2">
        <v>1</v>
      </c>
      <c r="S76" s="2">
        <v>1</v>
      </c>
      <c r="T76" s="2">
        <v>1</v>
      </c>
      <c r="U76" s="3">
        <v>43510</v>
      </c>
      <c r="V76" s="8">
        <v>121000</v>
      </c>
    </row>
    <row r="77" spans="1:22" ht="15" customHeight="1" x14ac:dyDescent="0.25">
      <c r="A77" s="7">
        <v>76</v>
      </c>
      <c r="B77" s="3">
        <v>43509</v>
      </c>
      <c r="C77" s="2" t="s">
        <v>57</v>
      </c>
      <c r="D77" s="2" t="s">
        <v>51</v>
      </c>
      <c r="E77" s="2" t="s">
        <v>59</v>
      </c>
      <c r="F77" s="2" t="s">
        <v>117</v>
      </c>
      <c r="G77" s="3">
        <v>34021</v>
      </c>
      <c r="H77" s="2">
        <v>27</v>
      </c>
      <c r="I77" s="2" t="s">
        <v>26</v>
      </c>
      <c r="J77" s="2" t="s">
        <v>27</v>
      </c>
      <c r="K77" s="2" t="s">
        <v>28</v>
      </c>
      <c r="L77" s="2" t="s">
        <v>45</v>
      </c>
      <c r="M77" s="2" t="s">
        <v>38</v>
      </c>
      <c r="N77" s="2" t="s">
        <v>39</v>
      </c>
      <c r="O77" s="2" t="s">
        <v>46</v>
      </c>
      <c r="P77" s="2" t="s">
        <v>118</v>
      </c>
      <c r="Q77" s="2">
        <v>1</v>
      </c>
      <c r="R77" s="2">
        <v>1</v>
      </c>
      <c r="S77" s="2">
        <v>1</v>
      </c>
      <c r="T77" s="2">
        <v>1</v>
      </c>
      <c r="U77" s="3">
        <v>43518</v>
      </c>
      <c r="V77" s="8">
        <v>150000</v>
      </c>
    </row>
    <row r="78" spans="1:22" ht="15" customHeight="1" x14ac:dyDescent="0.25">
      <c r="A78" s="7">
        <v>77</v>
      </c>
      <c r="B78" s="3">
        <v>43511</v>
      </c>
      <c r="C78" s="2" t="s">
        <v>48</v>
      </c>
      <c r="D78" s="2" t="s">
        <v>23</v>
      </c>
      <c r="E78" s="2" t="s">
        <v>24</v>
      </c>
      <c r="F78" s="2" t="s">
        <v>119</v>
      </c>
      <c r="G78" s="3">
        <v>34295</v>
      </c>
      <c r="H78" s="2">
        <v>26</v>
      </c>
      <c r="I78" s="2" t="s">
        <v>26</v>
      </c>
      <c r="J78" s="2" t="s">
        <v>27</v>
      </c>
      <c r="K78" s="2" t="s">
        <v>37</v>
      </c>
      <c r="L78" s="2" t="s">
        <v>45</v>
      </c>
      <c r="M78" s="2" t="s">
        <v>38</v>
      </c>
      <c r="N78" s="2" t="s">
        <v>56</v>
      </c>
      <c r="O78" s="2"/>
      <c r="P78" s="2"/>
      <c r="Q78" s="2">
        <v>1</v>
      </c>
      <c r="R78" s="2"/>
      <c r="S78" s="2"/>
      <c r="T78" s="2"/>
      <c r="U78" s="3"/>
      <c r="V78" s="8">
        <v>150000</v>
      </c>
    </row>
    <row r="79" spans="1:22" ht="15" customHeight="1" x14ac:dyDescent="0.25">
      <c r="A79" s="7">
        <v>78</v>
      </c>
      <c r="B79" s="3">
        <v>43511</v>
      </c>
      <c r="C79" s="2" t="s">
        <v>48</v>
      </c>
      <c r="D79" s="2" t="s">
        <v>51</v>
      </c>
      <c r="E79" s="2" t="s">
        <v>52</v>
      </c>
      <c r="F79" s="2" t="s">
        <v>121</v>
      </c>
      <c r="G79" s="3">
        <v>33041</v>
      </c>
      <c r="H79" s="2">
        <v>30</v>
      </c>
      <c r="I79" s="2" t="s">
        <v>26</v>
      </c>
      <c r="J79" s="2" t="s">
        <v>70</v>
      </c>
      <c r="K79" s="2" t="s">
        <v>91</v>
      </c>
      <c r="L79" s="2" t="s">
        <v>45</v>
      </c>
      <c r="M79" s="2" t="s">
        <v>30</v>
      </c>
      <c r="N79" s="2" t="s">
        <v>81</v>
      </c>
      <c r="O79" s="2"/>
      <c r="P79" s="2"/>
      <c r="Q79" s="2">
        <v>1</v>
      </c>
      <c r="R79" s="2">
        <v>1</v>
      </c>
      <c r="S79" s="2">
        <v>1</v>
      </c>
      <c r="T79" s="2"/>
      <c r="U79" s="3"/>
      <c r="V79" s="8">
        <v>122000</v>
      </c>
    </row>
    <row r="80" spans="1:22" ht="15" customHeight="1" x14ac:dyDescent="0.25">
      <c r="A80" s="7">
        <v>79</v>
      </c>
      <c r="B80" s="3">
        <v>43511</v>
      </c>
      <c r="C80" s="2" t="s">
        <v>48</v>
      </c>
      <c r="D80" s="2" t="s">
        <v>51</v>
      </c>
      <c r="E80" s="2" t="s">
        <v>52</v>
      </c>
      <c r="F80" s="2" t="s">
        <v>123</v>
      </c>
      <c r="G80" s="3">
        <v>33041</v>
      </c>
      <c r="H80" s="2">
        <v>30</v>
      </c>
      <c r="I80" s="2" t="s">
        <v>26</v>
      </c>
      <c r="J80" s="2" t="s">
        <v>70</v>
      </c>
      <c r="K80" s="2" t="s">
        <v>91</v>
      </c>
      <c r="L80" s="2" t="s">
        <v>45</v>
      </c>
      <c r="M80" s="2" t="s">
        <v>30</v>
      </c>
      <c r="N80" s="2" t="s">
        <v>81</v>
      </c>
      <c r="O80" s="2"/>
      <c r="P80" s="2"/>
      <c r="Q80" s="2">
        <v>1</v>
      </c>
      <c r="R80" s="2">
        <v>1</v>
      </c>
      <c r="S80" s="2"/>
      <c r="T80" s="2"/>
      <c r="U80" s="3"/>
      <c r="V80" s="8">
        <v>122000</v>
      </c>
    </row>
    <row r="81" spans="1:22" ht="15" customHeight="1" x14ac:dyDescent="0.25">
      <c r="A81" s="7">
        <v>80</v>
      </c>
      <c r="B81" s="3">
        <v>43511</v>
      </c>
      <c r="C81" s="2" t="s">
        <v>48</v>
      </c>
      <c r="D81" s="2" t="s">
        <v>23</v>
      </c>
      <c r="E81" s="2" t="s">
        <v>24</v>
      </c>
      <c r="F81" s="2" t="s">
        <v>119</v>
      </c>
      <c r="G81" s="3">
        <v>34295</v>
      </c>
      <c r="H81" s="2">
        <v>26</v>
      </c>
      <c r="I81" s="2" t="s">
        <v>26</v>
      </c>
      <c r="J81" s="2" t="s">
        <v>27</v>
      </c>
      <c r="K81" s="2" t="s">
        <v>37</v>
      </c>
      <c r="L81" s="2" t="s">
        <v>45</v>
      </c>
      <c r="M81" s="2" t="s">
        <v>38</v>
      </c>
      <c r="N81" s="2" t="s">
        <v>56</v>
      </c>
      <c r="O81" s="2"/>
      <c r="P81" s="2"/>
      <c r="Q81" s="2">
        <v>1</v>
      </c>
      <c r="R81" s="2"/>
      <c r="S81" s="2"/>
      <c r="T81" s="2"/>
      <c r="U81" s="3"/>
      <c r="V81" s="8">
        <v>150000</v>
      </c>
    </row>
    <row r="82" spans="1:22" ht="15" customHeight="1" x14ac:dyDescent="0.25">
      <c r="A82" s="7">
        <v>81</v>
      </c>
      <c r="B82" s="3">
        <v>43511</v>
      </c>
      <c r="C82" s="2" t="s">
        <v>48</v>
      </c>
      <c r="D82" s="2" t="s">
        <v>51</v>
      </c>
      <c r="E82" s="2" t="s">
        <v>52</v>
      </c>
      <c r="F82" s="2" t="s">
        <v>121</v>
      </c>
      <c r="G82" s="3">
        <v>33041</v>
      </c>
      <c r="H82" s="2">
        <v>30</v>
      </c>
      <c r="I82" s="2" t="s">
        <v>26</v>
      </c>
      <c r="J82" s="2" t="s">
        <v>70</v>
      </c>
      <c r="K82" s="2" t="s">
        <v>91</v>
      </c>
      <c r="L82" s="2" t="s">
        <v>45</v>
      </c>
      <c r="M82" s="2" t="s">
        <v>30</v>
      </c>
      <c r="N82" s="2" t="s">
        <v>81</v>
      </c>
      <c r="O82" s="2"/>
      <c r="P82" s="2"/>
      <c r="Q82" s="2">
        <v>1</v>
      </c>
      <c r="R82" s="2">
        <v>1</v>
      </c>
      <c r="S82" s="2"/>
      <c r="T82" s="2"/>
      <c r="U82" s="3"/>
      <c r="V82" s="8">
        <v>122000</v>
      </c>
    </row>
    <row r="83" spans="1:22" ht="15" customHeight="1" x14ac:dyDescent="0.25">
      <c r="A83" s="7">
        <v>82</v>
      </c>
      <c r="B83" s="3">
        <v>43511</v>
      </c>
      <c r="C83" s="2" t="s">
        <v>48</v>
      </c>
      <c r="D83" s="2" t="s">
        <v>51</v>
      </c>
      <c r="E83" s="2" t="s">
        <v>52</v>
      </c>
      <c r="F83" s="2" t="s">
        <v>123</v>
      </c>
      <c r="G83" s="3">
        <v>33041</v>
      </c>
      <c r="H83" s="2">
        <v>30</v>
      </c>
      <c r="I83" s="2" t="s">
        <v>26</v>
      </c>
      <c r="J83" s="2" t="s">
        <v>70</v>
      </c>
      <c r="K83" s="2" t="s">
        <v>91</v>
      </c>
      <c r="L83" s="2" t="s">
        <v>45</v>
      </c>
      <c r="M83" s="2" t="s">
        <v>30</v>
      </c>
      <c r="N83" s="2" t="s">
        <v>81</v>
      </c>
      <c r="O83" s="2"/>
      <c r="P83" s="2"/>
      <c r="Q83" s="2">
        <v>1</v>
      </c>
      <c r="R83" s="2">
        <v>1</v>
      </c>
      <c r="S83" s="2"/>
      <c r="T83" s="2"/>
      <c r="U83" s="3"/>
      <c r="V83" s="8">
        <v>122000</v>
      </c>
    </row>
    <row r="84" spans="1:22" ht="15" customHeight="1" x14ac:dyDescent="0.25">
      <c r="A84" s="7">
        <v>83</v>
      </c>
      <c r="B84" s="3">
        <v>43512</v>
      </c>
      <c r="C84" s="2" t="s">
        <v>48</v>
      </c>
      <c r="D84" s="2" t="s">
        <v>51</v>
      </c>
      <c r="E84" s="2" t="s">
        <v>52</v>
      </c>
      <c r="F84" s="2" t="s">
        <v>120</v>
      </c>
      <c r="G84" s="3">
        <v>34118</v>
      </c>
      <c r="H84" s="2">
        <v>27</v>
      </c>
      <c r="I84" s="2" t="s">
        <v>26</v>
      </c>
      <c r="J84" s="2" t="s">
        <v>79</v>
      </c>
      <c r="K84" s="2" t="s">
        <v>28</v>
      </c>
      <c r="L84" s="2" t="s">
        <v>45</v>
      </c>
      <c r="M84" s="2" t="s">
        <v>38</v>
      </c>
      <c r="N84" s="2" t="s">
        <v>63</v>
      </c>
      <c r="O84" s="2" t="s">
        <v>64</v>
      </c>
      <c r="P84" s="2"/>
      <c r="Q84" s="2">
        <v>1</v>
      </c>
      <c r="R84" s="2"/>
      <c r="S84" s="2"/>
      <c r="T84" s="2"/>
      <c r="U84" s="3"/>
      <c r="V84" s="8">
        <v>50000</v>
      </c>
    </row>
    <row r="85" spans="1:22" ht="15" customHeight="1" x14ac:dyDescent="0.25">
      <c r="A85" s="7">
        <v>84</v>
      </c>
      <c r="B85" s="3">
        <v>43512</v>
      </c>
      <c r="C85" s="2" t="s">
        <v>32</v>
      </c>
      <c r="D85" s="2" t="s">
        <v>71</v>
      </c>
      <c r="E85" s="2" t="s">
        <v>59</v>
      </c>
      <c r="F85" s="2" t="s">
        <v>101</v>
      </c>
      <c r="G85" s="3">
        <v>33016</v>
      </c>
      <c r="H85" s="2">
        <v>30</v>
      </c>
      <c r="I85" s="2" t="s">
        <v>26</v>
      </c>
      <c r="J85" s="2" t="s">
        <v>93</v>
      </c>
      <c r="K85" s="2" t="s">
        <v>37</v>
      </c>
      <c r="L85" s="2" t="s">
        <v>45</v>
      </c>
      <c r="M85" s="2" t="s">
        <v>38</v>
      </c>
      <c r="N85" s="2" t="s">
        <v>63</v>
      </c>
      <c r="O85" s="2" t="s">
        <v>64</v>
      </c>
      <c r="P85" s="2"/>
      <c r="Q85" s="2">
        <v>1</v>
      </c>
      <c r="R85" s="2">
        <v>1</v>
      </c>
      <c r="S85" s="2"/>
      <c r="T85" s="2"/>
      <c r="U85" s="3"/>
      <c r="V85" s="8">
        <v>100000</v>
      </c>
    </row>
    <row r="86" spans="1:22" ht="15" customHeight="1" x14ac:dyDescent="0.25">
      <c r="A86" s="7">
        <v>85</v>
      </c>
      <c r="B86" s="3">
        <v>43512</v>
      </c>
      <c r="C86" s="2" t="s">
        <v>32</v>
      </c>
      <c r="D86" s="2" t="s">
        <v>71</v>
      </c>
      <c r="E86" s="2" t="s">
        <v>59</v>
      </c>
      <c r="F86" s="2" t="s">
        <v>124</v>
      </c>
      <c r="G86" s="3">
        <v>33016</v>
      </c>
      <c r="H86" s="2">
        <v>30</v>
      </c>
      <c r="I86" s="2" t="s">
        <v>26</v>
      </c>
      <c r="J86" s="2" t="s">
        <v>93</v>
      </c>
      <c r="K86" s="2" t="s">
        <v>37</v>
      </c>
      <c r="L86" s="2" t="s">
        <v>45</v>
      </c>
      <c r="M86" s="2" t="s">
        <v>38</v>
      </c>
      <c r="N86" s="2" t="s">
        <v>63</v>
      </c>
      <c r="O86" s="2" t="s">
        <v>64</v>
      </c>
      <c r="P86" s="2"/>
      <c r="Q86" s="2">
        <v>1</v>
      </c>
      <c r="R86" s="2">
        <v>1</v>
      </c>
      <c r="S86" s="2">
        <v>1</v>
      </c>
      <c r="T86" s="2"/>
      <c r="U86" s="3"/>
      <c r="V86" s="8">
        <v>100000</v>
      </c>
    </row>
    <row r="87" spans="1:22" ht="15" customHeight="1" x14ac:dyDescent="0.25">
      <c r="A87" s="7">
        <v>86</v>
      </c>
      <c r="B87" s="3">
        <v>43512</v>
      </c>
      <c r="C87" s="2" t="s">
        <v>48</v>
      </c>
      <c r="D87" s="2" t="s">
        <v>51</v>
      </c>
      <c r="E87" s="2" t="s">
        <v>52</v>
      </c>
      <c r="F87" s="2" t="s">
        <v>120</v>
      </c>
      <c r="G87" s="3">
        <v>34118</v>
      </c>
      <c r="H87" s="2">
        <v>27</v>
      </c>
      <c r="I87" s="2" t="s">
        <v>26</v>
      </c>
      <c r="J87" s="2" t="s">
        <v>79</v>
      </c>
      <c r="K87" s="2" t="s">
        <v>28</v>
      </c>
      <c r="L87" s="2" t="s">
        <v>45</v>
      </c>
      <c r="M87" s="2" t="s">
        <v>38</v>
      </c>
      <c r="N87" s="2" t="s">
        <v>63</v>
      </c>
      <c r="O87" s="2" t="s">
        <v>64</v>
      </c>
      <c r="P87" s="2"/>
      <c r="Q87" s="2">
        <v>1</v>
      </c>
      <c r="R87" s="2"/>
      <c r="S87" s="2"/>
      <c r="T87" s="2"/>
      <c r="U87" s="3"/>
      <c r="V87" s="8">
        <v>50000</v>
      </c>
    </row>
    <row r="88" spans="1:22" ht="15" customHeight="1" x14ac:dyDescent="0.25">
      <c r="A88" s="7">
        <v>87</v>
      </c>
      <c r="B88" s="3">
        <v>43512</v>
      </c>
      <c r="C88" s="2" t="s">
        <v>32</v>
      </c>
      <c r="D88" s="2" t="s">
        <v>71</v>
      </c>
      <c r="E88" s="2" t="s">
        <v>59</v>
      </c>
      <c r="F88" s="2" t="s">
        <v>101</v>
      </c>
      <c r="G88" s="3">
        <v>33016</v>
      </c>
      <c r="H88" s="2">
        <v>30</v>
      </c>
      <c r="I88" s="2" t="s">
        <v>26</v>
      </c>
      <c r="J88" s="2" t="s">
        <v>93</v>
      </c>
      <c r="K88" s="2" t="s">
        <v>37</v>
      </c>
      <c r="L88" s="2" t="s">
        <v>45</v>
      </c>
      <c r="M88" s="2" t="s">
        <v>38</v>
      </c>
      <c r="N88" s="2" t="s">
        <v>63</v>
      </c>
      <c r="O88" s="2" t="s">
        <v>64</v>
      </c>
      <c r="P88" s="2"/>
      <c r="Q88" s="2">
        <v>1</v>
      </c>
      <c r="R88" s="2">
        <v>1</v>
      </c>
      <c r="S88" s="2"/>
      <c r="T88" s="2"/>
      <c r="U88" s="3"/>
      <c r="V88" s="8">
        <v>100000</v>
      </c>
    </row>
    <row r="89" spans="1:22" ht="15" customHeight="1" x14ac:dyDescent="0.25">
      <c r="A89" s="7">
        <v>88</v>
      </c>
      <c r="B89" s="3">
        <v>43512</v>
      </c>
      <c r="C89" s="2" t="s">
        <v>32</v>
      </c>
      <c r="D89" s="2" t="s">
        <v>71</v>
      </c>
      <c r="E89" s="2" t="s">
        <v>59</v>
      </c>
      <c r="F89" s="2" t="s">
        <v>124</v>
      </c>
      <c r="G89" s="3">
        <v>33016</v>
      </c>
      <c r="H89" s="2">
        <v>30</v>
      </c>
      <c r="I89" s="2" t="s">
        <v>26</v>
      </c>
      <c r="J89" s="2" t="s">
        <v>93</v>
      </c>
      <c r="K89" s="2" t="s">
        <v>37</v>
      </c>
      <c r="L89" s="2" t="s">
        <v>45</v>
      </c>
      <c r="M89" s="2" t="s">
        <v>38</v>
      </c>
      <c r="N89" s="2" t="s">
        <v>63</v>
      </c>
      <c r="O89" s="2" t="s">
        <v>64</v>
      </c>
      <c r="P89" s="2"/>
      <c r="Q89" s="2">
        <v>1</v>
      </c>
      <c r="R89" s="2">
        <v>1</v>
      </c>
      <c r="S89" s="2"/>
      <c r="T89" s="2"/>
      <c r="U89" s="3"/>
      <c r="V89" s="8">
        <v>100000</v>
      </c>
    </row>
    <row r="90" spans="1:22" ht="15" customHeight="1" x14ac:dyDescent="0.25">
      <c r="A90" s="7">
        <v>89</v>
      </c>
      <c r="B90" s="3">
        <v>43513</v>
      </c>
      <c r="C90" s="2" t="s">
        <v>66</v>
      </c>
      <c r="D90" s="2" t="s">
        <v>67</v>
      </c>
      <c r="E90" s="2" t="s">
        <v>68</v>
      </c>
      <c r="F90" s="2" t="s">
        <v>25</v>
      </c>
      <c r="G90" s="3">
        <v>32589</v>
      </c>
      <c r="H90" s="2">
        <v>31</v>
      </c>
      <c r="I90" s="2" t="s">
        <v>26</v>
      </c>
      <c r="J90" s="2" t="s">
        <v>93</v>
      </c>
      <c r="K90" s="2" t="s">
        <v>37</v>
      </c>
      <c r="L90" s="2" t="s">
        <v>45</v>
      </c>
      <c r="M90" s="2" t="s">
        <v>30</v>
      </c>
      <c r="N90" s="2" t="s">
        <v>81</v>
      </c>
      <c r="O90" s="2"/>
      <c r="P90" s="2"/>
      <c r="Q90" s="2">
        <v>1</v>
      </c>
      <c r="R90" s="2"/>
      <c r="S90" s="2"/>
      <c r="T90" s="2"/>
      <c r="U90" s="3"/>
      <c r="V90" s="8">
        <v>150000</v>
      </c>
    </row>
    <row r="91" spans="1:22" ht="15" customHeight="1" x14ac:dyDescent="0.25">
      <c r="A91" s="7">
        <v>90</v>
      </c>
      <c r="B91" s="3">
        <v>43513</v>
      </c>
      <c r="C91" s="2" t="s">
        <v>48</v>
      </c>
      <c r="D91" s="2" t="s">
        <v>23</v>
      </c>
      <c r="E91" s="2" t="s">
        <v>85</v>
      </c>
      <c r="F91" s="2" t="s">
        <v>86</v>
      </c>
      <c r="G91" s="3">
        <v>34384</v>
      </c>
      <c r="H91" s="2">
        <v>26</v>
      </c>
      <c r="I91" s="2" t="s">
        <v>87</v>
      </c>
      <c r="J91" s="2" t="s">
        <v>88</v>
      </c>
      <c r="K91" s="2" t="s">
        <v>37</v>
      </c>
      <c r="L91" s="2" t="s">
        <v>55</v>
      </c>
      <c r="M91" s="2" t="s">
        <v>38</v>
      </c>
      <c r="N91" s="2" t="s">
        <v>39</v>
      </c>
      <c r="O91" s="2" t="s">
        <v>40</v>
      </c>
      <c r="P91" s="2" t="s">
        <v>41</v>
      </c>
      <c r="Q91" s="2">
        <v>1</v>
      </c>
      <c r="R91" s="2">
        <v>1</v>
      </c>
      <c r="S91" s="2"/>
      <c r="T91" s="2"/>
      <c r="U91" s="3"/>
      <c r="V91" s="8"/>
    </row>
    <row r="92" spans="1:22" ht="15" customHeight="1" x14ac:dyDescent="0.25">
      <c r="A92" s="7">
        <v>91</v>
      </c>
      <c r="B92" s="3">
        <v>43513</v>
      </c>
      <c r="C92" s="2" t="s">
        <v>57</v>
      </c>
      <c r="D92" s="2" t="s">
        <v>51</v>
      </c>
      <c r="E92" s="2" t="s">
        <v>59</v>
      </c>
      <c r="F92" s="2" t="s">
        <v>90</v>
      </c>
      <c r="G92" s="3">
        <v>33302</v>
      </c>
      <c r="H92" s="2">
        <v>29</v>
      </c>
      <c r="I92" s="2" t="s">
        <v>87</v>
      </c>
      <c r="J92" s="2" t="s">
        <v>27</v>
      </c>
      <c r="K92" s="2" t="s">
        <v>91</v>
      </c>
      <c r="L92" s="2" t="s">
        <v>92</v>
      </c>
      <c r="M92" s="2" t="s">
        <v>38</v>
      </c>
      <c r="N92" s="2" t="s">
        <v>39</v>
      </c>
      <c r="O92" s="2" t="s">
        <v>46</v>
      </c>
      <c r="P92" s="2" t="s">
        <v>118</v>
      </c>
      <c r="Q92" s="2">
        <v>1</v>
      </c>
      <c r="R92" s="2">
        <v>1</v>
      </c>
      <c r="S92" s="2"/>
      <c r="T92" s="2"/>
      <c r="U92" s="3"/>
      <c r="V92" s="8">
        <v>100000</v>
      </c>
    </row>
    <row r="93" spans="1:22" ht="15" customHeight="1" x14ac:dyDescent="0.25">
      <c r="A93" s="7">
        <v>92</v>
      </c>
      <c r="B93" s="3">
        <v>43513</v>
      </c>
      <c r="C93" s="2" t="s">
        <v>48</v>
      </c>
      <c r="D93" s="2" t="s">
        <v>23</v>
      </c>
      <c r="E93" s="2" t="s">
        <v>85</v>
      </c>
      <c r="F93" s="2" t="s">
        <v>86</v>
      </c>
      <c r="G93" s="3">
        <v>34384</v>
      </c>
      <c r="H93" s="2">
        <v>26</v>
      </c>
      <c r="I93" s="2" t="s">
        <v>87</v>
      </c>
      <c r="J93" s="2" t="s">
        <v>88</v>
      </c>
      <c r="K93" s="2" t="s">
        <v>37</v>
      </c>
      <c r="L93" s="2" t="s">
        <v>55</v>
      </c>
      <c r="M93" s="2" t="s">
        <v>38</v>
      </c>
      <c r="N93" s="2" t="s">
        <v>39</v>
      </c>
      <c r="O93" s="2" t="s">
        <v>40</v>
      </c>
      <c r="P93" s="2" t="s">
        <v>41</v>
      </c>
      <c r="Q93" s="2">
        <v>1</v>
      </c>
      <c r="R93" s="2">
        <v>1</v>
      </c>
      <c r="S93" s="2"/>
      <c r="T93" s="2"/>
      <c r="U93" s="3"/>
      <c r="V93" s="8"/>
    </row>
    <row r="94" spans="1:22" ht="15" customHeight="1" x14ac:dyDescent="0.25">
      <c r="A94" s="7">
        <v>93</v>
      </c>
      <c r="B94" s="3">
        <v>43513</v>
      </c>
      <c r="C94" s="2" t="s">
        <v>57</v>
      </c>
      <c r="D94" s="2" t="s">
        <v>51</v>
      </c>
      <c r="E94" s="2" t="s">
        <v>59</v>
      </c>
      <c r="F94" s="2" t="s">
        <v>90</v>
      </c>
      <c r="G94" s="3">
        <v>33302</v>
      </c>
      <c r="H94" s="2">
        <v>29</v>
      </c>
      <c r="I94" s="2" t="s">
        <v>87</v>
      </c>
      <c r="J94" s="2" t="s">
        <v>27</v>
      </c>
      <c r="K94" s="2" t="s">
        <v>91</v>
      </c>
      <c r="L94" s="2" t="s">
        <v>92</v>
      </c>
      <c r="M94" s="2" t="s">
        <v>38</v>
      </c>
      <c r="N94" s="2" t="s">
        <v>39</v>
      </c>
      <c r="O94" s="2" t="s">
        <v>46</v>
      </c>
      <c r="P94" s="2" t="s">
        <v>118</v>
      </c>
      <c r="Q94" s="2">
        <v>1</v>
      </c>
      <c r="R94" s="2">
        <v>1</v>
      </c>
      <c r="S94" s="2"/>
      <c r="T94" s="2"/>
      <c r="U94" s="3"/>
      <c r="V94" s="8">
        <v>100000</v>
      </c>
    </row>
    <row r="95" spans="1:22" ht="15" customHeight="1" x14ac:dyDescent="0.25">
      <c r="A95" s="7">
        <v>94</v>
      </c>
      <c r="B95" s="3">
        <v>43513</v>
      </c>
      <c r="C95" s="2" t="s">
        <v>66</v>
      </c>
      <c r="D95" s="2" t="s">
        <v>67</v>
      </c>
      <c r="E95" s="2" t="s">
        <v>68</v>
      </c>
      <c r="F95" s="2" t="s">
        <v>94</v>
      </c>
      <c r="G95" s="3">
        <v>33667</v>
      </c>
      <c r="H95" s="2">
        <v>28</v>
      </c>
      <c r="I95" s="2" t="s">
        <v>26</v>
      </c>
      <c r="J95" s="2" t="s">
        <v>27</v>
      </c>
      <c r="K95" s="2" t="s">
        <v>37</v>
      </c>
      <c r="L95" s="2" t="s">
        <v>92</v>
      </c>
      <c r="M95" s="2" t="s">
        <v>38</v>
      </c>
      <c r="N95" s="2" t="s">
        <v>39</v>
      </c>
      <c r="O95" s="2" t="s">
        <v>46</v>
      </c>
      <c r="P95" s="2" t="s">
        <v>95</v>
      </c>
      <c r="Q95" s="2">
        <v>1</v>
      </c>
      <c r="R95" s="2">
        <v>1</v>
      </c>
      <c r="S95" s="2"/>
      <c r="T95" s="2"/>
      <c r="U95" s="3"/>
      <c r="V95" s="8">
        <v>300000</v>
      </c>
    </row>
    <row r="96" spans="1:22" ht="15" customHeight="1" x14ac:dyDescent="0.25">
      <c r="A96" s="7">
        <v>95</v>
      </c>
      <c r="B96" s="3">
        <v>43514</v>
      </c>
      <c r="C96" s="2" t="s">
        <v>48</v>
      </c>
      <c r="D96" s="2" t="s">
        <v>23</v>
      </c>
      <c r="E96" s="2" t="s">
        <v>24</v>
      </c>
      <c r="F96" s="2" t="s">
        <v>117</v>
      </c>
      <c r="G96" s="3">
        <v>33144</v>
      </c>
      <c r="H96" s="2">
        <v>29</v>
      </c>
      <c r="I96" s="2" t="s">
        <v>87</v>
      </c>
      <c r="J96" s="2" t="s">
        <v>27</v>
      </c>
      <c r="K96" s="2" t="s">
        <v>37</v>
      </c>
      <c r="L96" s="2" t="s">
        <v>92</v>
      </c>
      <c r="M96" s="2" t="s">
        <v>38</v>
      </c>
      <c r="N96" s="2" t="s">
        <v>56</v>
      </c>
      <c r="O96" s="2"/>
      <c r="P96" s="2"/>
      <c r="Q96" s="2">
        <v>1</v>
      </c>
      <c r="R96" s="2"/>
      <c r="S96" s="2"/>
      <c r="T96" s="2"/>
      <c r="U96" s="3"/>
      <c r="V96" s="8">
        <v>150000</v>
      </c>
    </row>
    <row r="97" spans="1:22" ht="15" customHeight="1" x14ac:dyDescent="0.25">
      <c r="A97" s="7">
        <v>96</v>
      </c>
      <c r="B97" s="3">
        <v>43514</v>
      </c>
      <c r="C97" s="2" t="s">
        <v>48</v>
      </c>
      <c r="D97" s="2" t="s">
        <v>23</v>
      </c>
      <c r="E97" s="2" t="s">
        <v>24</v>
      </c>
      <c r="F97" s="2" t="s">
        <v>125</v>
      </c>
      <c r="G97" s="3">
        <v>33144</v>
      </c>
      <c r="H97" s="2">
        <v>29</v>
      </c>
      <c r="I97" s="2" t="s">
        <v>87</v>
      </c>
      <c r="J97" s="2" t="s">
        <v>27</v>
      </c>
      <c r="K97" s="2" t="s">
        <v>37</v>
      </c>
      <c r="L97" s="2" t="s">
        <v>92</v>
      </c>
      <c r="M97" s="2" t="s">
        <v>38</v>
      </c>
      <c r="N97" s="2" t="s">
        <v>56</v>
      </c>
      <c r="O97" s="2"/>
      <c r="P97" s="2"/>
      <c r="Q97" s="2">
        <v>1</v>
      </c>
      <c r="R97" s="2"/>
      <c r="S97" s="2"/>
      <c r="T97" s="2"/>
      <c r="U97" s="3"/>
      <c r="V97" s="8">
        <v>150000</v>
      </c>
    </row>
    <row r="98" spans="1:22" ht="15" customHeight="1" x14ac:dyDescent="0.25">
      <c r="A98" s="7">
        <v>97</v>
      </c>
      <c r="B98" s="3">
        <v>43514</v>
      </c>
      <c r="C98" s="2" t="s">
        <v>48</v>
      </c>
      <c r="D98" s="2" t="s">
        <v>23</v>
      </c>
      <c r="E98" s="2" t="s">
        <v>24</v>
      </c>
      <c r="F98" s="2" t="s">
        <v>117</v>
      </c>
      <c r="G98" s="3">
        <v>33144</v>
      </c>
      <c r="H98" s="2">
        <v>29</v>
      </c>
      <c r="I98" s="2" t="s">
        <v>87</v>
      </c>
      <c r="J98" s="2" t="s">
        <v>27</v>
      </c>
      <c r="K98" s="2" t="s">
        <v>37</v>
      </c>
      <c r="L98" s="2" t="s">
        <v>92</v>
      </c>
      <c r="M98" s="2" t="s">
        <v>38</v>
      </c>
      <c r="N98" s="2" t="s">
        <v>56</v>
      </c>
      <c r="O98" s="2"/>
      <c r="P98" s="2"/>
      <c r="Q98" s="2">
        <v>1</v>
      </c>
      <c r="R98" s="2"/>
      <c r="S98" s="2"/>
      <c r="T98" s="2"/>
      <c r="U98" s="3"/>
      <c r="V98" s="8">
        <v>150000</v>
      </c>
    </row>
    <row r="99" spans="1:22" ht="15" customHeight="1" x14ac:dyDescent="0.25">
      <c r="A99" s="7">
        <v>98</v>
      </c>
      <c r="B99" s="3">
        <v>43514</v>
      </c>
      <c r="C99" s="2" t="s">
        <v>48</v>
      </c>
      <c r="D99" s="2" t="s">
        <v>23</v>
      </c>
      <c r="E99" s="2" t="s">
        <v>24</v>
      </c>
      <c r="F99" s="2" t="s">
        <v>125</v>
      </c>
      <c r="G99" s="3">
        <v>33144</v>
      </c>
      <c r="H99" s="2">
        <v>29</v>
      </c>
      <c r="I99" s="2" t="s">
        <v>87</v>
      </c>
      <c r="J99" s="2" t="s">
        <v>27</v>
      </c>
      <c r="K99" s="2" t="s">
        <v>37</v>
      </c>
      <c r="L99" s="2" t="s">
        <v>92</v>
      </c>
      <c r="M99" s="2" t="s">
        <v>38</v>
      </c>
      <c r="N99" s="2" t="s">
        <v>56</v>
      </c>
      <c r="O99" s="2"/>
      <c r="P99" s="2"/>
      <c r="Q99" s="2">
        <v>1</v>
      </c>
      <c r="R99" s="2"/>
      <c r="S99" s="2"/>
      <c r="T99" s="2"/>
      <c r="U99" s="3"/>
      <c r="V99" s="8">
        <v>150000</v>
      </c>
    </row>
    <row r="100" spans="1:22" ht="15" customHeight="1" x14ac:dyDescent="0.25">
      <c r="A100" s="7">
        <v>99</v>
      </c>
      <c r="B100" s="3">
        <v>43514</v>
      </c>
      <c r="C100" s="2" t="s">
        <v>48</v>
      </c>
      <c r="D100" s="2" t="s">
        <v>51</v>
      </c>
      <c r="E100" s="2" t="s">
        <v>52</v>
      </c>
      <c r="F100" s="2" t="s">
        <v>96</v>
      </c>
      <c r="G100" s="3">
        <v>35008</v>
      </c>
      <c r="H100" s="2">
        <v>24</v>
      </c>
      <c r="I100" s="2" t="s">
        <v>26</v>
      </c>
      <c r="J100" s="2" t="s">
        <v>97</v>
      </c>
      <c r="K100" s="2" t="s">
        <v>37</v>
      </c>
      <c r="L100" s="2" t="s">
        <v>45</v>
      </c>
      <c r="M100" s="2" t="s">
        <v>38</v>
      </c>
      <c r="N100" s="2" t="s">
        <v>63</v>
      </c>
      <c r="O100" s="2" t="s">
        <v>64</v>
      </c>
      <c r="P100" s="2"/>
      <c r="Q100" s="2">
        <v>1</v>
      </c>
      <c r="R100" s="2">
        <v>1</v>
      </c>
      <c r="S100" s="2"/>
      <c r="T100" s="2"/>
      <c r="U100" s="3"/>
      <c r="V100" s="8">
        <v>50000</v>
      </c>
    </row>
    <row r="101" spans="1:22" ht="15" customHeight="1" x14ac:dyDescent="0.25">
      <c r="A101" s="7">
        <v>100</v>
      </c>
      <c r="B101" s="3">
        <v>43514</v>
      </c>
      <c r="C101" s="2" t="s">
        <v>22</v>
      </c>
      <c r="D101" s="2" t="s">
        <v>51</v>
      </c>
      <c r="E101" s="2" t="s">
        <v>59</v>
      </c>
      <c r="F101" s="2" t="s">
        <v>98</v>
      </c>
      <c r="G101" s="3">
        <v>34231</v>
      </c>
      <c r="H101" s="2">
        <v>26</v>
      </c>
      <c r="I101" s="2" t="s">
        <v>26</v>
      </c>
      <c r="J101" s="2" t="s">
        <v>88</v>
      </c>
      <c r="K101" s="2" t="s">
        <v>37</v>
      </c>
      <c r="L101" s="2" t="s">
        <v>45</v>
      </c>
      <c r="M101" s="2" t="s">
        <v>38</v>
      </c>
      <c r="N101" s="2" t="s">
        <v>63</v>
      </c>
      <c r="O101" s="2" t="s">
        <v>64</v>
      </c>
      <c r="P101" s="2"/>
      <c r="Q101" s="2">
        <v>1</v>
      </c>
      <c r="R101" s="2"/>
      <c r="S101" s="2"/>
      <c r="T101" s="2"/>
      <c r="U101" s="3"/>
      <c r="V101" s="8">
        <v>50000</v>
      </c>
    </row>
    <row r="102" spans="1:22" ht="15" customHeight="1" x14ac:dyDescent="0.25">
      <c r="A102" s="7">
        <v>101</v>
      </c>
      <c r="B102" s="3">
        <v>43514</v>
      </c>
      <c r="C102" s="2" t="s">
        <v>48</v>
      </c>
      <c r="D102" s="2" t="s">
        <v>51</v>
      </c>
      <c r="E102" s="2" t="s">
        <v>52</v>
      </c>
      <c r="F102" s="2" t="s">
        <v>96</v>
      </c>
      <c r="G102" s="3">
        <v>35008</v>
      </c>
      <c r="H102" s="2">
        <v>24</v>
      </c>
      <c r="I102" s="2" t="s">
        <v>26</v>
      </c>
      <c r="J102" s="2" t="s">
        <v>97</v>
      </c>
      <c r="K102" s="2" t="s">
        <v>37</v>
      </c>
      <c r="L102" s="2" t="s">
        <v>45</v>
      </c>
      <c r="M102" s="2" t="s">
        <v>38</v>
      </c>
      <c r="N102" s="2" t="s">
        <v>63</v>
      </c>
      <c r="O102" s="2" t="s">
        <v>64</v>
      </c>
      <c r="P102" s="2"/>
      <c r="Q102" s="2">
        <v>1</v>
      </c>
      <c r="R102" s="2">
        <v>1</v>
      </c>
      <c r="S102" s="2"/>
      <c r="T102" s="2"/>
      <c r="U102" s="3"/>
      <c r="V102" s="8">
        <v>50000</v>
      </c>
    </row>
    <row r="103" spans="1:22" ht="15" customHeight="1" x14ac:dyDescent="0.25">
      <c r="A103" s="7">
        <v>102</v>
      </c>
      <c r="B103" s="3">
        <v>43514</v>
      </c>
      <c r="C103" s="2" t="s">
        <v>22</v>
      </c>
      <c r="D103" s="2" t="s">
        <v>51</v>
      </c>
      <c r="E103" s="2" t="s">
        <v>59</v>
      </c>
      <c r="F103" s="2" t="s">
        <v>98</v>
      </c>
      <c r="G103" s="3">
        <v>34231</v>
      </c>
      <c r="H103" s="2">
        <v>26</v>
      </c>
      <c r="I103" s="2" t="s">
        <v>26</v>
      </c>
      <c r="J103" s="2" t="s">
        <v>88</v>
      </c>
      <c r="K103" s="2" t="s">
        <v>37</v>
      </c>
      <c r="L103" s="2" t="s">
        <v>45</v>
      </c>
      <c r="M103" s="2" t="s">
        <v>38</v>
      </c>
      <c r="N103" s="2" t="s">
        <v>63</v>
      </c>
      <c r="O103" s="2" t="s">
        <v>64</v>
      </c>
      <c r="P103" s="2"/>
      <c r="Q103" s="2">
        <v>1</v>
      </c>
      <c r="R103" s="2"/>
      <c r="S103" s="2"/>
      <c r="T103" s="2"/>
      <c r="U103" s="3"/>
      <c r="V103" s="8">
        <v>50000</v>
      </c>
    </row>
    <row r="104" spans="1:22" ht="15" customHeight="1" x14ac:dyDescent="0.25">
      <c r="A104" s="7">
        <v>103</v>
      </c>
      <c r="B104" s="3">
        <v>43514</v>
      </c>
      <c r="C104" s="2" t="s">
        <v>48</v>
      </c>
      <c r="D104" s="2" t="s">
        <v>23</v>
      </c>
      <c r="E104" s="2" t="s">
        <v>85</v>
      </c>
      <c r="F104" s="2" t="s">
        <v>53</v>
      </c>
      <c r="G104" s="3">
        <v>32589</v>
      </c>
      <c r="H104" s="2">
        <v>31</v>
      </c>
      <c r="I104" s="2" t="s">
        <v>26</v>
      </c>
      <c r="J104" s="2" t="s">
        <v>50</v>
      </c>
      <c r="K104" s="2" t="s">
        <v>28</v>
      </c>
      <c r="L104" s="2" t="s">
        <v>45</v>
      </c>
      <c r="M104" s="2" t="s">
        <v>38</v>
      </c>
      <c r="N104" s="2" t="s">
        <v>39</v>
      </c>
      <c r="O104" s="2" t="s">
        <v>40</v>
      </c>
      <c r="P104" s="2" t="s">
        <v>41</v>
      </c>
      <c r="Q104" s="2">
        <v>1</v>
      </c>
      <c r="R104" s="2">
        <v>1</v>
      </c>
      <c r="S104" s="2">
        <v>1</v>
      </c>
      <c r="T104" s="2">
        <v>1</v>
      </c>
      <c r="U104" s="3">
        <v>43506</v>
      </c>
      <c r="V104" s="8"/>
    </row>
    <row r="105" spans="1:22" ht="15" customHeight="1" x14ac:dyDescent="0.25">
      <c r="A105" s="7">
        <v>104</v>
      </c>
      <c r="B105" s="3">
        <v>43514</v>
      </c>
      <c r="C105" s="2" t="s">
        <v>48</v>
      </c>
      <c r="D105" s="2" t="s">
        <v>23</v>
      </c>
      <c r="E105" s="2" t="s">
        <v>85</v>
      </c>
      <c r="F105" s="2" t="s">
        <v>126</v>
      </c>
      <c r="G105" s="3">
        <v>32589</v>
      </c>
      <c r="H105" s="2">
        <v>31</v>
      </c>
      <c r="I105" s="2" t="s">
        <v>26</v>
      </c>
      <c r="J105" s="2" t="s">
        <v>50</v>
      </c>
      <c r="K105" s="2" t="s">
        <v>28</v>
      </c>
      <c r="L105" s="2" t="s">
        <v>45</v>
      </c>
      <c r="M105" s="2" t="s">
        <v>38</v>
      </c>
      <c r="N105" s="2" t="s">
        <v>39</v>
      </c>
      <c r="O105" s="2" t="s">
        <v>40</v>
      </c>
      <c r="P105" s="2" t="s">
        <v>41</v>
      </c>
      <c r="Q105" s="2">
        <v>1</v>
      </c>
      <c r="R105" s="2">
        <v>1</v>
      </c>
      <c r="S105" s="2">
        <v>1</v>
      </c>
      <c r="T105" s="2">
        <v>1</v>
      </c>
      <c r="U105" s="3">
        <v>43520</v>
      </c>
      <c r="V105" s="8"/>
    </row>
    <row r="106" spans="1:22" ht="15" customHeight="1" x14ac:dyDescent="0.25">
      <c r="A106" s="7">
        <v>105</v>
      </c>
      <c r="B106" s="3">
        <v>43514</v>
      </c>
      <c r="C106" s="2" t="s">
        <v>48</v>
      </c>
      <c r="D106" s="2" t="s">
        <v>23</v>
      </c>
      <c r="E106" s="2" t="s">
        <v>85</v>
      </c>
      <c r="F106" s="2" t="s">
        <v>53</v>
      </c>
      <c r="G106" s="3">
        <v>32589</v>
      </c>
      <c r="H106" s="2">
        <v>31</v>
      </c>
      <c r="I106" s="2" t="s">
        <v>26</v>
      </c>
      <c r="J106" s="2" t="s">
        <v>50</v>
      </c>
      <c r="K106" s="2" t="s">
        <v>28</v>
      </c>
      <c r="L106" s="2" t="s">
        <v>45</v>
      </c>
      <c r="M106" s="2" t="s">
        <v>38</v>
      </c>
      <c r="N106" s="2" t="s">
        <v>39</v>
      </c>
      <c r="O106" s="2" t="s">
        <v>40</v>
      </c>
      <c r="P106" s="2" t="s">
        <v>41</v>
      </c>
      <c r="Q106" s="2">
        <v>1</v>
      </c>
      <c r="R106" s="2">
        <v>1</v>
      </c>
      <c r="S106" s="2">
        <v>1</v>
      </c>
      <c r="T106" s="2">
        <v>1</v>
      </c>
      <c r="U106" s="3">
        <v>43506</v>
      </c>
      <c r="V106" s="8"/>
    </row>
    <row r="107" spans="1:22" ht="15" customHeight="1" x14ac:dyDescent="0.25">
      <c r="A107" s="7">
        <v>106</v>
      </c>
      <c r="B107" s="3">
        <v>43514</v>
      </c>
      <c r="C107" s="2" t="s">
        <v>48</v>
      </c>
      <c r="D107" s="2" t="s">
        <v>23</v>
      </c>
      <c r="E107" s="2" t="s">
        <v>85</v>
      </c>
      <c r="F107" s="2" t="s">
        <v>126</v>
      </c>
      <c r="G107" s="3">
        <v>32589</v>
      </c>
      <c r="H107" s="2">
        <v>31</v>
      </c>
      <c r="I107" s="2" t="s">
        <v>26</v>
      </c>
      <c r="J107" s="2" t="s">
        <v>50</v>
      </c>
      <c r="K107" s="2" t="s">
        <v>28</v>
      </c>
      <c r="L107" s="2" t="s">
        <v>45</v>
      </c>
      <c r="M107" s="2" t="s">
        <v>38</v>
      </c>
      <c r="N107" s="2" t="s">
        <v>39</v>
      </c>
      <c r="O107" s="2" t="s">
        <v>40</v>
      </c>
      <c r="P107" s="2" t="s">
        <v>41</v>
      </c>
      <c r="Q107" s="2">
        <v>1</v>
      </c>
      <c r="R107" s="2">
        <v>1</v>
      </c>
      <c r="S107" s="2">
        <v>1</v>
      </c>
      <c r="T107" s="2">
        <v>1</v>
      </c>
      <c r="U107" s="3">
        <v>43520</v>
      </c>
      <c r="V107" s="8"/>
    </row>
    <row r="108" spans="1:22" ht="15" customHeight="1" x14ac:dyDescent="0.25">
      <c r="A108" s="7">
        <v>107</v>
      </c>
      <c r="B108" s="3">
        <v>43515</v>
      </c>
      <c r="C108" s="2" t="s">
        <v>32</v>
      </c>
      <c r="D108" s="2" t="s">
        <v>51</v>
      </c>
      <c r="E108" s="2" t="s">
        <v>59</v>
      </c>
      <c r="F108" s="2" t="s">
        <v>99</v>
      </c>
      <c r="G108" s="3">
        <v>33577</v>
      </c>
      <c r="H108" s="2">
        <v>28</v>
      </c>
      <c r="I108" s="2" t="s">
        <v>26</v>
      </c>
      <c r="J108" s="2" t="s">
        <v>27</v>
      </c>
      <c r="K108" s="2" t="s">
        <v>37</v>
      </c>
      <c r="L108" s="2" t="s">
        <v>92</v>
      </c>
      <c r="M108" s="2" t="s">
        <v>38</v>
      </c>
      <c r="N108" s="2" t="s">
        <v>63</v>
      </c>
      <c r="O108" s="2" t="s">
        <v>64</v>
      </c>
      <c r="P108" s="2"/>
      <c r="Q108" s="2">
        <v>1</v>
      </c>
      <c r="R108" s="2">
        <v>1</v>
      </c>
      <c r="S108" s="2"/>
      <c r="T108" s="2"/>
      <c r="U108" s="3"/>
      <c r="V108" s="8">
        <v>50000</v>
      </c>
    </row>
    <row r="109" spans="1:22" ht="15" customHeight="1" x14ac:dyDescent="0.25">
      <c r="A109" s="7">
        <v>108</v>
      </c>
      <c r="B109" s="3">
        <v>43515</v>
      </c>
      <c r="C109" s="2" t="s">
        <v>22</v>
      </c>
      <c r="D109" s="2" t="s">
        <v>23</v>
      </c>
      <c r="E109" s="2" t="s">
        <v>24</v>
      </c>
      <c r="F109" s="2" t="s">
        <v>100</v>
      </c>
      <c r="G109" s="3">
        <v>33409</v>
      </c>
      <c r="H109" s="2">
        <v>29</v>
      </c>
      <c r="I109" s="2" t="s">
        <v>26</v>
      </c>
      <c r="J109" s="2" t="s">
        <v>75</v>
      </c>
      <c r="K109" s="2" t="s">
        <v>91</v>
      </c>
      <c r="L109" s="2" t="s">
        <v>55</v>
      </c>
      <c r="M109" s="2" t="s">
        <v>38</v>
      </c>
      <c r="N109" s="2" t="s">
        <v>39</v>
      </c>
      <c r="O109" s="2" t="s">
        <v>46</v>
      </c>
      <c r="P109" s="2" t="s">
        <v>84</v>
      </c>
      <c r="Q109" s="2">
        <v>1</v>
      </c>
      <c r="R109" s="2"/>
      <c r="S109" s="2"/>
      <c r="T109" s="2"/>
      <c r="U109" s="3"/>
      <c r="V109" s="8">
        <v>300000</v>
      </c>
    </row>
    <row r="110" spans="1:22" ht="15" customHeight="1" x14ac:dyDescent="0.25">
      <c r="A110" s="7">
        <v>109</v>
      </c>
      <c r="B110" s="3">
        <v>43516</v>
      </c>
      <c r="C110" s="2" t="s">
        <v>57</v>
      </c>
      <c r="D110" s="2" t="s">
        <v>23</v>
      </c>
      <c r="E110" s="2" t="s">
        <v>24</v>
      </c>
      <c r="F110" s="2" t="s">
        <v>101</v>
      </c>
      <c r="G110" s="3">
        <v>33840</v>
      </c>
      <c r="H110" s="2">
        <v>28</v>
      </c>
      <c r="I110" s="2" t="s">
        <v>87</v>
      </c>
      <c r="J110" s="2" t="s">
        <v>102</v>
      </c>
      <c r="K110" s="2" t="s">
        <v>37</v>
      </c>
      <c r="L110" s="2" t="s">
        <v>103</v>
      </c>
      <c r="M110" s="2" t="s">
        <v>38</v>
      </c>
      <c r="N110" s="2" t="s">
        <v>89</v>
      </c>
      <c r="O110" s="2"/>
      <c r="P110" s="2"/>
      <c r="Q110" s="2">
        <v>1</v>
      </c>
      <c r="R110" s="2">
        <v>1</v>
      </c>
      <c r="S110" s="2"/>
      <c r="T110" s="2"/>
      <c r="U110" s="3"/>
      <c r="V110" s="8"/>
    </row>
    <row r="111" spans="1:22" ht="15" customHeight="1" x14ac:dyDescent="0.25">
      <c r="A111" s="7">
        <v>110</v>
      </c>
      <c r="B111" s="3">
        <v>43516</v>
      </c>
      <c r="C111" s="2" t="s">
        <v>32</v>
      </c>
      <c r="D111" s="2" t="s">
        <v>42</v>
      </c>
      <c r="E111" s="2" t="s">
        <v>43</v>
      </c>
      <c r="F111" s="2" t="s">
        <v>104</v>
      </c>
      <c r="G111" s="3">
        <v>34542</v>
      </c>
      <c r="H111" s="2">
        <v>26</v>
      </c>
      <c r="I111" s="2" t="s">
        <v>26</v>
      </c>
      <c r="J111" s="2" t="s">
        <v>27</v>
      </c>
      <c r="K111" s="2" t="s">
        <v>91</v>
      </c>
      <c r="L111" s="2" t="s">
        <v>55</v>
      </c>
      <c r="M111" s="2" t="s">
        <v>38</v>
      </c>
      <c r="N111" s="2" t="s">
        <v>56</v>
      </c>
      <c r="O111" s="2"/>
      <c r="P111" s="2"/>
      <c r="Q111" s="2">
        <v>1</v>
      </c>
      <c r="R111" s="2">
        <v>1</v>
      </c>
      <c r="S111" s="2"/>
      <c r="T111" s="2"/>
      <c r="U111" s="3"/>
      <c r="V111" s="8">
        <v>122000</v>
      </c>
    </row>
    <row r="112" spans="1:22" ht="15" customHeight="1" x14ac:dyDescent="0.25">
      <c r="A112" s="7">
        <v>111</v>
      </c>
      <c r="B112" s="3">
        <v>43516</v>
      </c>
      <c r="C112" s="2" t="s">
        <v>57</v>
      </c>
      <c r="D112" s="2" t="s">
        <v>23</v>
      </c>
      <c r="E112" s="2" t="s">
        <v>24</v>
      </c>
      <c r="F112" s="2" t="s">
        <v>60</v>
      </c>
      <c r="G112" s="3">
        <v>33409</v>
      </c>
      <c r="H112" s="2">
        <v>29</v>
      </c>
      <c r="I112" s="2" t="s">
        <v>26</v>
      </c>
      <c r="J112" s="2" t="s">
        <v>27</v>
      </c>
      <c r="K112" s="2" t="s">
        <v>37</v>
      </c>
      <c r="L112" s="2" t="s">
        <v>45</v>
      </c>
      <c r="M112" s="2" t="s">
        <v>30</v>
      </c>
      <c r="N112" s="2" t="s">
        <v>31</v>
      </c>
      <c r="O112" s="2"/>
      <c r="P112" s="2"/>
      <c r="Q112" s="2">
        <v>1</v>
      </c>
      <c r="R112" s="2"/>
      <c r="S112" s="2"/>
      <c r="T112" s="2"/>
      <c r="U112" s="3"/>
      <c r="V112" s="8">
        <v>445000</v>
      </c>
    </row>
    <row r="113" spans="1:22" ht="15" customHeight="1" x14ac:dyDescent="0.25">
      <c r="A113" s="7">
        <v>112</v>
      </c>
      <c r="B113" s="3">
        <v>43516</v>
      </c>
      <c r="C113" s="2" t="s">
        <v>57</v>
      </c>
      <c r="D113" s="2" t="s">
        <v>51</v>
      </c>
      <c r="E113" s="2" t="s">
        <v>59</v>
      </c>
      <c r="F113" s="2" t="s">
        <v>105</v>
      </c>
      <c r="G113" s="3">
        <v>33144</v>
      </c>
      <c r="H113" s="2">
        <v>29</v>
      </c>
      <c r="I113" s="2" t="s">
        <v>26</v>
      </c>
      <c r="J113" s="2" t="s">
        <v>27</v>
      </c>
      <c r="K113" s="2" t="s">
        <v>37</v>
      </c>
      <c r="L113" s="2" t="s">
        <v>55</v>
      </c>
      <c r="M113" s="2" t="s">
        <v>30</v>
      </c>
      <c r="N113" s="2" t="s">
        <v>31</v>
      </c>
      <c r="O113" s="2"/>
      <c r="P113" s="2"/>
      <c r="Q113" s="2">
        <v>1</v>
      </c>
      <c r="R113" s="2">
        <v>1</v>
      </c>
      <c r="S113" s="2">
        <v>1</v>
      </c>
      <c r="T113" s="2">
        <v>1</v>
      </c>
      <c r="U113" s="3">
        <v>43516</v>
      </c>
      <c r="V113" s="8">
        <v>150000</v>
      </c>
    </row>
    <row r="114" spans="1:22" ht="15" customHeight="1" x14ac:dyDescent="0.25">
      <c r="A114" s="7">
        <v>113</v>
      </c>
      <c r="B114" s="3">
        <v>43516</v>
      </c>
      <c r="C114" s="2" t="s">
        <v>32</v>
      </c>
      <c r="D114" s="2" t="s">
        <v>42</v>
      </c>
      <c r="E114" s="2" t="s">
        <v>43</v>
      </c>
      <c r="F114" s="2" t="s">
        <v>54</v>
      </c>
      <c r="G114" s="3">
        <v>32996</v>
      </c>
      <c r="H114" s="2">
        <v>30</v>
      </c>
      <c r="I114" s="2" t="s">
        <v>26</v>
      </c>
      <c r="J114" s="2" t="s">
        <v>79</v>
      </c>
      <c r="K114" s="2" t="s">
        <v>91</v>
      </c>
      <c r="L114" s="2" t="s">
        <v>45</v>
      </c>
      <c r="M114" s="2" t="s">
        <v>30</v>
      </c>
      <c r="N114" s="2" t="s">
        <v>31</v>
      </c>
      <c r="O114" s="2"/>
      <c r="P114" s="2"/>
      <c r="Q114" s="2">
        <v>1</v>
      </c>
      <c r="R114" s="2">
        <v>1</v>
      </c>
      <c r="S114" s="2">
        <v>1</v>
      </c>
      <c r="T114" s="2">
        <v>1</v>
      </c>
      <c r="U114" s="3">
        <v>43519</v>
      </c>
      <c r="V114" s="8">
        <v>61000</v>
      </c>
    </row>
    <row r="115" spans="1:22" ht="15" customHeight="1" x14ac:dyDescent="0.25">
      <c r="A115" s="7">
        <v>114</v>
      </c>
      <c r="B115" s="3">
        <v>43517</v>
      </c>
      <c r="C115" s="2" t="s">
        <v>57</v>
      </c>
      <c r="D115" s="2" t="s">
        <v>67</v>
      </c>
      <c r="E115" s="2" t="s">
        <v>68</v>
      </c>
      <c r="F115" s="2" t="s">
        <v>106</v>
      </c>
      <c r="G115" s="3">
        <v>33868</v>
      </c>
      <c r="H115" s="2">
        <v>27</v>
      </c>
      <c r="I115" s="2" t="s">
        <v>26</v>
      </c>
      <c r="J115" s="2" t="s">
        <v>79</v>
      </c>
      <c r="K115" s="2" t="s">
        <v>91</v>
      </c>
      <c r="L115" s="2" t="s">
        <v>45</v>
      </c>
      <c r="M115" s="2" t="s">
        <v>30</v>
      </c>
      <c r="N115" s="2" t="s">
        <v>81</v>
      </c>
      <c r="O115" s="2"/>
      <c r="P115" s="2"/>
      <c r="Q115" s="2">
        <v>1</v>
      </c>
      <c r="R115" s="2">
        <v>1</v>
      </c>
      <c r="S115" s="2"/>
      <c r="T115" s="2"/>
      <c r="U115" s="3"/>
      <c r="V115" s="8">
        <v>121000</v>
      </c>
    </row>
    <row r="116" spans="1:22" ht="15" customHeight="1" x14ac:dyDescent="0.25">
      <c r="A116" s="7">
        <v>115</v>
      </c>
      <c r="B116" s="3">
        <v>43517</v>
      </c>
      <c r="C116" s="2" t="s">
        <v>32</v>
      </c>
      <c r="D116" s="2" t="s">
        <v>71</v>
      </c>
      <c r="E116" s="2" t="s">
        <v>59</v>
      </c>
      <c r="F116" s="2" t="s">
        <v>107</v>
      </c>
      <c r="G116" s="3">
        <v>33429</v>
      </c>
      <c r="H116" s="2">
        <v>29</v>
      </c>
      <c r="I116" s="2" t="s">
        <v>87</v>
      </c>
      <c r="J116" s="2" t="s">
        <v>108</v>
      </c>
      <c r="K116" s="2" t="s">
        <v>37</v>
      </c>
      <c r="L116" s="2" t="s">
        <v>45</v>
      </c>
      <c r="M116" s="2" t="s">
        <v>30</v>
      </c>
      <c r="N116" s="2" t="s">
        <v>31</v>
      </c>
      <c r="O116" s="2"/>
      <c r="P116" s="2"/>
      <c r="Q116" s="2">
        <v>1</v>
      </c>
      <c r="R116" s="2"/>
      <c r="S116" s="2"/>
      <c r="T116" s="2"/>
      <c r="U116" s="3"/>
      <c r="V116" s="8">
        <v>150000</v>
      </c>
    </row>
    <row r="117" spans="1:22" ht="15" customHeight="1" x14ac:dyDescent="0.25">
      <c r="A117" s="7">
        <v>116</v>
      </c>
      <c r="B117" s="3">
        <v>43517</v>
      </c>
      <c r="C117" s="2" t="s">
        <v>57</v>
      </c>
      <c r="D117" s="2" t="s">
        <v>67</v>
      </c>
      <c r="E117" s="2" t="s">
        <v>68</v>
      </c>
      <c r="F117" s="2" t="s">
        <v>69</v>
      </c>
      <c r="G117" s="3">
        <v>32996</v>
      </c>
      <c r="H117" s="2">
        <v>30</v>
      </c>
      <c r="I117" s="2" t="s">
        <v>26</v>
      </c>
      <c r="J117" s="2" t="s">
        <v>110</v>
      </c>
      <c r="K117" s="2" t="s">
        <v>37</v>
      </c>
      <c r="L117" s="2" t="s">
        <v>45</v>
      </c>
      <c r="M117" s="2" t="s">
        <v>30</v>
      </c>
      <c r="N117" s="2" t="s">
        <v>31</v>
      </c>
      <c r="O117" s="2"/>
      <c r="P117" s="2"/>
      <c r="Q117" s="2">
        <v>1</v>
      </c>
      <c r="R117" s="2">
        <v>1</v>
      </c>
      <c r="S117" s="2"/>
      <c r="T117" s="2"/>
      <c r="U117" s="3"/>
      <c r="V117" s="8">
        <v>261000</v>
      </c>
    </row>
    <row r="118" spans="1:22" ht="15" customHeight="1" x14ac:dyDescent="0.25">
      <c r="A118" s="7">
        <v>117</v>
      </c>
      <c r="B118" s="3">
        <v>43517</v>
      </c>
      <c r="C118" s="2" t="s">
        <v>32</v>
      </c>
      <c r="D118" s="2" t="s">
        <v>71</v>
      </c>
      <c r="E118" s="2" t="s">
        <v>59</v>
      </c>
      <c r="F118" s="2" t="s">
        <v>109</v>
      </c>
      <c r="G118" s="3">
        <v>33302</v>
      </c>
      <c r="H118" s="2">
        <v>29</v>
      </c>
      <c r="I118" s="2" t="s">
        <v>26</v>
      </c>
      <c r="J118" s="2" t="s">
        <v>75</v>
      </c>
      <c r="K118" s="2" t="s">
        <v>91</v>
      </c>
      <c r="L118" s="2" t="s">
        <v>45</v>
      </c>
      <c r="M118" s="2" t="s">
        <v>30</v>
      </c>
      <c r="N118" s="2" t="s">
        <v>31</v>
      </c>
      <c r="O118" s="2"/>
      <c r="P118" s="2"/>
      <c r="Q118" s="2">
        <v>1</v>
      </c>
      <c r="R118" s="2"/>
      <c r="S118" s="2"/>
      <c r="T118" s="2"/>
      <c r="U118" s="3"/>
      <c r="V118" s="8">
        <v>22000</v>
      </c>
    </row>
    <row r="119" spans="1:22" ht="15" customHeight="1" x14ac:dyDescent="0.25">
      <c r="A119" s="7">
        <v>118</v>
      </c>
      <c r="B119" s="3">
        <v>43517</v>
      </c>
      <c r="C119" s="2" t="s">
        <v>48</v>
      </c>
      <c r="D119" s="2" t="s">
        <v>51</v>
      </c>
      <c r="E119" s="2" t="s">
        <v>52</v>
      </c>
      <c r="F119" s="2" t="s">
        <v>65</v>
      </c>
      <c r="G119" s="3">
        <v>33302</v>
      </c>
      <c r="H119" s="2">
        <v>29</v>
      </c>
      <c r="I119" s="2" t="s">
        <v>26</v>
      </c>
      <c r="J119" s="2" t="s">
        <v>83</v>
      </c>
      <c r="K119" s="2" t="s">
        <v>91</v>
      </c>
      <c r="L119" s="2" t="s">
        <v>45</v>
      </c>
      <c r="M119" s="2" t="s">
        <v>30</v>
      </c>
      <c r="N119" s="2" t="s">
        <v>81</v>
      </c>
      <c r="O119" s="2"/>
      <c r="P119" s="2"/>
      <c r="Q119" s="2">
        <v>1</v>
      </c>
      <c r="R119" s="2">
        <v>1</v>
      </c>
      <c r="S119" s="2"/>
      <c r="T119" s="2"/>
      <c r="U119" s="3"/>
      <c r="V119" s="8">
        <v>150000</v>
      </c>
    </row>
    <row r="120" spans="1:22" ht="15" customHeight="1" x14ac:dyDescent="0.25">
      <c r="A120" s="7">
        <v>119</v>
      </c>
      <c r="B120" s="3">
        <v>43517</v>
      </c>
      <c r="C120" s="2" t="s">
        <v>57</v>
      </c>
      <c r="D120" s="2" t="s">
        <v>67</v>
      </c>
      <c r="E120" s="2" t="s">
        <v>68</v>
      </c>
      <c r="F120" s="2" t="s">
        <v>106</v>
      </c>
      <c r="G120" s="3">
        <v>33868</v>
      </c>
      <c r="H120" s="2">
        <v>27</v>
      </c>
      <c r="I120" s="2" t="s">
        <v>26</v>
      </c>
      <c r="J120" s="2" t="s">
        <v>79</v>
      </c>
      <c r="K120" s="2" t="s">
        <v>91</v>
      </c>
      <c r="L120" s="2" t="s">
        <v>45</v>
      </c>
      <c r="M120" s="2" t="s">
        <v>30</v>
      </c>
      <c r="N120" s="2" t="s">
        <v>81</v>
      </c>
      <c r="O120" s="2"/>
      <c r="P120" s="2"/>
      <c r="Q120" s="2">
        <v>1</v>
      </c>
      <c r="R120" s="2">
        <v>1</v>
      </c>
      <c r="S120" s="2"/>
      <c r="T120" s="2"/>
      <c r="U120" s="3"/>
      <c r="V120" s="8">
        <v>121000</v>
      </c>
    </row>
    <row r="121" spans="1:22" ht="15" customHeight="1" x14ac:dyDescent="0.25">
      <c r="A121" s="7">
        <v>120</v>
      </c>
      <c r="B121" s="3">
        <v>43517</v>
      </c>
      <c r="C121" s="2" t="s">
        <v>32</v>
      </c>
      <c r="D121" s="2" t="s">
        <v>71</v>
      </c>
      <c r="E121" s="2" t="s">
        <v>59</v>
      </c>
      <c r="F121" s="2" t="s">
        <v>107</v>
      </c>
      <c r="G121" s="3">
        <v>33429</v>
      </c>
      <c r="H121" s="2">
        <v>29</v>
      </c>
      <c r="I121" s="2" t="s">
        <v>87</v>
      </c>
      <c r="J121" s="2" t="s">
        <v>108</v>
      </c>
      <c r="K121" s="2" t="s">
        <v>37</v>
      </c>
      <c r="L121" s="2" t="s">
        <v>45</v>
      </c>
      <c r="M121" s="2" t="s">
        <v>30</v>
      </c>
      <c r="N121" s="2" t="s">
        <v>31</v>
      </c>
      <c r="O121" s="2"/>
      <c r="P121" s="2"/>
      <c r="Q121" s="2">
        <v>1</v>
      </c>
      <c r="R121" s="2"/>
      <c r="S121" s="2"/>
      <c r="T121" s="2"/>
      <c r="U121" s="3"/>
      <c r="V121" s="8">
        <v>150000</v>
      </c>
    </row>
    <row r="122" spans="1:22" ht="15" customHeight="1" x14ac:dyDescent="0.25">
      <c r="A122" s="7">
        <v>121</v>
      </c>
      <c r="B122" s="3">
        <v>43517</v>
      </c>
      <c r="C122" s="2" t="s">
        <v>57</v>
      </c>
      <c r="D122" s="2" t="s">
        <v>67</v>
      </c>
      <c r="E122" s="2" t="s">
        <v>68</v>
      </c>
      <c r="F122" s="2" t="s">
        <v>69</v>
      </c>
      <c r="G122" s="3">
        <v>32996</v>
      </c>
      <c r="H122" s="2">
        <v>30</v>
      </c>
      <c r="I122" s="2" t="s">
        <v>26</v>
      </c>
      <c r="J122" s="2" t="s">
        <v>110</v>
      </c>
      <c r="K122" s="2" t="s">
        <v>37</v>
      </c>
      <c r="L122" s="2" t="s">
        <v>45</v>
      </c>
      <c r="M122" s="2" t="s">
        <v>30</v>
      </c>
      <c r="N122" s="2" t="s">
        <v>31</v>
      </c>
      <c r="O122" s="2"/>
      <c r="P122" s="2"/>
      <c r="Q122" s="2">
        <v>1</v>
      </c>
      <c r="R122" s="2">
        <v>1</v>
      </c>
      <c r="S122" s="2"/>
      <c r="T122" s="2"/>
      <c r="U122" s="3"/>
      <c r="V122" s="8">
        <v>261000</v>
      </c>
    </row>
    <row r="123" spans="1:22" ht="15" customHeight="1" x14ac:dyDescent="0.25">
      <c r="A123" s="7">
        <v>122</v>
      </c>
      <c r="B123" s="3">
        <v>43517</v>
      </c>
      <c r="C123" s="2" t="s">
        <v>32</v>
      </c>
      <c r="D123" s="2" t="s">
        <v>71</v>
      </c>
      <c r="E123" s="2" t="s">
        <v>59</v>
      </c>
      <c r="F123" s="2" t="s">
        <v>109</v>
      </c>
      <c r="G123" s="3">
        <v>33302</v>
      </c>
      <c r="H123" s="2">
        <v>29</v>
      </c>
      <c r="I123" s="2" t="s">
        <v>26</v>
      </c>
      <c r="J123" s="2" t="s">
        <v>75</v>
      </c>
      <c r="K123" s="2" t="s">
        <v>91</v>
      </c>
      <c r="L123" s="2" t="s">
        <v>45</v>
      </c>
      <c r="M123" s="2" t="s">
        <v>30</v>
      </c>
      <c r="N123" s="2" t="s">
        <v>31</v>
      </c>
      <c r="O123" s="2"/>
      <c r="P123" s="2"/>
      <c r="Q123" s="2">
        <v>1</v>
      </c>
      <c r="R123" s="2"/>
      <c r="S123" s="2"/>
      <c r="T123" s="2"/>
      <c r="U123" s="3"/>
      <c r="V123" s="8">
        <v>22000</v>
      </c>
    </row>
    <row r="124" spans="1:22" ht="15" customHeight="1" x14ac:dyDescent="0.25">
      <c r="A124" s="7">
        <v>123</v>
      </c>
      <c r="B124" s="3">
        <v>43517</v>
      </c>
      <c r="C124" s="2" t="s">
        <v>48</v>
      </c>
      <c r="D124" s="2" t="s">
        <v>51</v>
      </c>
      <c r="E124" s="2" t="s">
        <v>52</v>
      </c>
      <c r="F124" s="2" t="s">
        <v>65</v>
      </c>
      <c r="G124" s="3">
        <v>33302</v>
      </c>
      <c r="H124" s="2">
        <v>29</v>
      </c>
      <c r="I124" s="2" t="s">
        <v>26</v>
      </c>
      <c r="J124" s="2" t="s">
        <v>83</v>
      </c>
      <c r="K124" s="2" t="s">
        <v>91</v>
      </c>
      <c r="L124" s="2" t="s">
        <v>45</v>
      </c>
      <c r="M124" s="2" t="s">
        <v>30</v>
      </c>
      <c r="N124" s="2" t="s">
        <v>81</v>
      </c>
      <c r="O124" s="2"/>
      <c r="P124" s="2"/>
      <c r="Q124" s="2">
        <v>1</v>
      </c>
      <c r="R124" s="2">
        <v>1</v>
      </c>
      <c r="S124" s="2"/>
      <c r="T124" s="2"/>
      <c r="U124" s="3"/>
      <c r="V124" s="8">
        <v>150000</v>
      </c>
    </row>
    <row r="125" spans="1:22" ht="15" customHeight="1" x14ac:dyDescent="0.25">
      <c r="A125" s="7">
        <v>124</v>
      </c>
      <c r="B125" s="3">
        <v>43517</v>
      </c>
      <c r="C125" s="2" t="s">
        <v>66</v>
      </c>
      <c r="D125" s="2" t="s">
        <v>67</v>
      </c>
      <c r="E125" s="2" t="s">
        <v>68</v>
      </c>
      <c r="F125" s="2" t="s">
        <v>111</v>
      </c>
      <c r="G125" s="3">
        <v>32919</v>
      </c>
      <c r="H125" s="2">
        <v>30</v>
      </c>
      <c r="I125" s="2" t="s">
        <v>87</v>
      </c>
      <c r="J125" s="2" t="s">
        <v>50</v>
      </c>
      <c r="K125" s="2" t="s">
        <v>91</v>
      </c>
      <c r="L125" s="2" t="s">
        <v>45</v>
      </c>
      <c r="M125" s="2" t="s">
        <v>38</v>
      </c>
      <c r="N125" s="2" t="s">
        <v>39</v>
      </c>
      <c r="O125" s="2" t="s">
        <v>40</v>
      </c>
      <c r="P125" s="2" t="s">
        <v>112</v>
      </c>
      <c r="Q125" s="2">
        <v>1</v>
      </c>
      <c r="R125" s="2">
        <v>1</v>
      </c>
      <c r="S125" s="2"/>
      <c r="T125" s="2"/>
      <c r="U125" s="3"/>
      <c r="V125" s="8"/>
    </row>
    <row r="126" spans="1:22" ht="15" customHeight="1" x14ac:dyDescent="0.25">
      <c r="A126" s="7">
        <v>125</v>
      </c>
      <c r="B126" s="3">
        <v>43517</v>
      </c>
      <c r="C126" s="2" t="s">
        <v>48</v>
      </c>
      <c r="D126" s="2" t="s">
        <v>23</v>
      </c>
      <c r="E126" s="2" t="s">
        <v>24</v>
      </c>
      <c r="F126" s="2" t="s">
        <v>113</v>
      </c>
      <c r="G126" s="3">
        <v>33302</v>
      </c>
      <c r="H126" s="2">
        <v>29</v>
      </c>
      <c r="I126" s="2" t="s">
        <v>26</v>
      </c>
      <c r="J126" s="2" t="s">
        <v>75</v>
      </c>
      <c r="K126" s="2" t="s">
        <v>91</v>
      </c>
      <c r="L126" s="2" t="s">
        <v>114</v>
      </c>
      <c r="M126" s="2" t="s">
        <v>38</v>
      </c>
      <c r="N126" s="2" t="s">
        <v>39</v>
      </c>
      <c r="O126" s="2" t="s">
        <v>46</v>
      </c>
      <c r="P126" s="2" t="s">
        <v>84</v>
      </c>
      <c r="Q126" s="2">
        <v>1</v>
      </c>
      <c r="R126" s="2">
        <v>1</v>
      </c>
      <c r="S126" s="2">
        <v>1</v>
      </c>
      <c r="T126" s="2">
        <v>1</v>
      </c>
      <c r="U126" s="3">
        <v>43520</v>
      </c>
      <c r="V126" s="8">
        <v>150000</v>
      </c>
    </row>
    <row r="127" spans="1:22" ht="15" customHeight="1" x14ac:dyDescent="0.25">
      <c r="A127" s="7">
        <v>126</v>
      </c>
      <c r="B127" s="3">
        <v>43518</v>
      </c>
      <c r="C127" s="2" t="s">
        <v>22</v>
      </c>
      <c r="D127" s="2" t="s">
        <v>23</v>
      </c>
      <c r="E127" s="2" t="s">
        <v>24</v>
      </c>
      <c r="F127" s="2" t="s">
        <v>115</v>
      </c>
      <c r="G127" s="3">
        <v>32589</v>
      </c>
      <c r="H127" s="2">
        <v>31</v>
      </c>
      <c r="I127" s="2" t="s">
        <v>26</v>
      </c>
      <c r="J127" s="2" t="s">
        <v>27</v>
      </c>
      <c r="K127" s="2" t="s">
        <v>37</v>
      </c>
      <c r="L127" s="2" t="s">
        <v>45</v>
      </c>
      <c r="M127" s="2" t="s">
        <v>38</v>
      </c>
      <c r="N127" s="2" t="s">
        <v>89</v>
      </c>
      <c r="O127" s="2"/>
      <c r="P127" s="2"/>
      <c r="Q127" s="2">
        <v>1</v>
      </c>
      <c r="R127" s="2"/>
      <c r="S127" s="2"/>
      <c r="T127" s="2"/>
      <c r="U127" s="3"/>
      <c r="V127" s="8"/>
    </row>
    <row r="128" spans="1:22" ht="15" customHeight="1" x14ac:dyDescent="0.25">
      <c r="A128" s="7">
        <v>127</v>
      </c>
      <c r="B128" s="3">
        <v>43518</v>
      </c>
      <c r="C128" s="2" t="s">
        <v>48</v>
      </c>
      <c r="D128" s="2" t="s">
        <v>51</v>
      </c>
      <c r="E128" s="2" t="s">
        <v>52</v>
      </c>
      <c r="F128" s="2" t="s">
        <v>116</v>
      </c>
      <c r="G128" s="3">
        <v>34652</v>
      </c>
      <c r="H128" s="2">
        <v>25</v>
      </c>
      <c r="I128" s="2" t="s">
        <v>26</v>
      </c>
      <c r="J128" s="2" t="s">
        <v>88</v>
      </c>
      <c r="K128" s="2" t="s">
        <v>91</v>
      </c>
      <c r="L128" s="2" t="s">
        <v>45</v>
      </c>
      <c r="M128" s="2" t="s">
        <v>38</v>
      </c>
      <c r="N128" s="2" t="s">
        <v>39</v>
      </c>
      <c r="O128" s="2" t="s">
        <v>46</v>
      </c>
      <c r="P128" s="2" t="s">
        <v>47</v>
      </c>
      <c r="Q128" s="2">
        <v>1</v>
      </c>
      <c r="R128" s="2"/>
      <c r="S128" s="2"/>
      <c r="T128" s="2"/>
      <c r="U128" s="3"/>
      <c r="V128" s="8">
        <v>500000</v>
      </c>
    </row>
    <row r="129" spans="1:22" ht="15" customHeight="1" x14ac:dyDescent="0.25">
      <c r="A129" s="7">
        <v>128</v>
      </c>
      <c r="B129" s="3">
        <v>43519</v>
      </c>
      <c r="C129" s="2" t="s">
        <v>32</v>
      </c>
      <c r="D129" s="2" t="s">
        <v>33</v>
      </c>
      <c r="E129" s="2" t="s">
        <v>34</v>
      </c>
      <c r="F129" s="2" t="s">
        <v>127</v>
      </c>
      <c r="G129" s="3">
        <v>31553</v>
      </c>
      <c r="H129" s="2">
        <v>34</v>
      </c>
      <c r="I129" s="2" t="s">
        <v>26</v>
      </c>
      <c r="J129" s="2" t="s">
        <v>27</v>
      </c>
      <c r="K129" s="2" t="s">
        <v>91</v>
      </c>
      <c r="L129" s="2" t="s">
        <v>45</v>
      </c>
      <c r="M129" s="2" t="s">
        <v>30</v>
      </c>
      <c r="N129" s="2" t="s">
        <v>81</v>
      </c>
      <c r="O129" s="2"/>
      <c r="P129" s="2"/>
      <c r="Q129" s="2">
        <v>1</v>
      </c>
      <c r="R129" s="2"/>
      <c r="S129" s="2">
        <v>1</v>
      </c>
      <c r="T129" s="2"/>
      <c r="U129" s="3"/>
      <c r="V129" s="8">
        <v>645000</v>
      </c>
    </row>
    <row r="130" spans="1:22" ht="15" customHeight="1" x14ac:dyDescent="0.25">
      <c r="A130" s="7">
        <v>129</v>
      </c>
      <c r="B130" s="3">
        <v>43519</v>
      </c>
      <c r="C130" s="2" t="s">
        <v>32</v>
      </c>
      <c r="D130" s="2" t="s">
        <v>33</v>
      </c>
      <c r="E130" s="2" t="s">
        <v>34</v>
      </c>
      <c r="F130" s="2" t="s">
        <v>86</v>
      </c>
      <c r="G130" s="3">
        <v>31553</v>
      </c>
      <c r="H130" s="2">
        <v>34</v>
      </c>
      <c r="I130" s="2" t="s">
        <v>26</v>
      </c>
      <c r="J130" s="2" t="s">
        <v>27</v>
      </c>
      <c r="K130" s="2" t="s">
        <v>91</v>
      </c>
      <c r="L130" s="2" t="s">
        <v>45</v>
      </c>
      <c r="M130" s="2" t="s">
        <v>30</v>
      </c>
      <c r="N130" s="2" t="s">
        <v>81</v>
      </c>
      <c r="O130" s="2"/>
      <c r="P130" s="2"/>
      <c r="Q130" s="2">
        <v>1</v>
      </c>
      <c r="R130" s="2"/>
      <c r="S130" s="2">
        <v>1</v>
      </c>
      <c r="T130" s="2">
        <v>1</v>
      </c>
      <c r="U130" s="3">
        <v>43503</v>
      </c>
      <c r="V130" s="8">
        <v>645000</v>
      </c>
    </row>
    <row r="131" spans="1:22" ht="15" customHeight="1" x14ac:dyDescent="0.25">
      <c r="A131" s="7">
        <v>130</v>
      </c>
      <c r="B131" s="3">
        <v>43520</v>
      </c>
      <c r="C131" s="2" t="s">
        <v>32</v>
      </c>
      <c r="D131" s="2" t="s">
        <v>42</v>
      </c>
      <c r="E131" s="2" t="s">
        <v>43</v>
      </c>
      <c r="F131" s="2" t="s">
        <v>96</v>
      </c>
      <c r="G131" s="3">
        <v>33409</v>
      </c>
      <c r="H131" s="2">
        <v>29</v>
      </c>
      <c r="I131" s="2" t="s">
        <v>26</v>
      </c>
      <c r="J131" s="2" t="s">
        <v>110</v>
      </c>
      <c r="K131" s="2" t="s">
        <v>28</v>
      </c>
      <c r="L131" s="2" t="s">
        <v>114</v>
      </c>
      <c r="M131" s="2" t="s">
        <v>30</v>
      </c>
      <c r="N131" s="2" t="s">
        <v>81</v>
      </c>
      <c r="O131" s="2"/>
      <c r="P131" s="2"/>
      <c r="Q131" s="2">
        <v>1</v>
      </c>
      <c r="R131" s="2"/>
      <c r="S131" s="2"/>
      <c r="T131" s="2"/>
      <c r="U131" s="3"/>
      <c r="V131" s="8">
        <v>522000</v>
      </c>
    </row>
    <row r="132" spans="1:22" ht="15" customHeight="1" x14ac:dyDescent="0.25">
      <c r="A132" s="7">
        <v>131</v>
      </c>
      <c r="B132" s="3">
        <v>43520</v>
      </c>
      <c r="C132" s="2" t="s">
        <v>32</v>
      </c>
      <c r="D132" s="2" t="s">
        <v>42</v>
      </c>
      <c r="E132" s="2" t="s">
        <v>43</v>
      </c>
      <c r="F132" s="2" t="s">
        <v>96</v>
      </c>
      <c r="G132" s="3">
        <v>33409</v>
      </c>
      <c r="H132" s="2">
        <v>29</v>
      </c>
      <c r="I132" s="2" t="s">
        <v>26</v>
      </c>
      <c r="J132" s="2" t="s">
        <v>110</v>
      </c>
      <c r="K132" s="2" t="s">
        <v>28</v>
      </c>
      <c r="L132" s="2" t="s">
        <v>114</v>
      </c>
      <c r="M132" s="2" t="s">
        <v>30</v>
      </c>
      <c r="N132" s="2" t="s">
        <v>81</v>
      </c>
      <c r="O132" s="2"/>
      <c r="P132" s="2"/>
      <c r="Q132" s="2">
        <v>1</v>
      </c>
      <c r="R132" s="2"/>
      <c r="S132" s="2"/>
      <c r="T132" s="2"/>
      <c r="U132" s="3"/>
      <c r="V132" s="8">
        <v>522000</v>
      </c>
    </row>
    <row r="133" spans="1:22" ht="15" customHeight="1" x14ac:dyDescent="0.25">
      <c r="A133" s="7">
        <v>132</v>
      </c>
      <c r="B133" s="3">
        <v>43520</v>
      </c>
      <c r="C133" s="2" t="s">
        <v>32</v>
      </c>
      <c r="D133" s="2" t="s">
        <v>42</v>
      </c>
      <c r="E133" s="2" t="s">
        <v>43</v>
      </c>
      <c r="F133" s="2" t="s">
        <v>128</v>
      </c>
      <c r="G133" s="3">
        <v>33409</v>
      </c>
      <c r="H133" s="2">
        <v>29</v>
      </c>
      <c r="I133" s="2" t="s">
        <v>26</v>
      </c>
      <c r="J133" s="2" t="s">
        <v>110</v>
      </c>
      <c r="K133" s="2" t="s">
        <v>28</v>
      </c>
      <c r="L133" s="2" t="s">
        <v>114</v>
      </c>
      <c r="M133" s="2" t="s">
        <v>30</v>
      </c>
      <c r="N133" s="2" t="s">
        <v>81</v>
      </c>
      <c r="O133" s="2"/>
      <c r="P133" s="2"/>
      <c r="Q133" s="2">
        <v>1</v>
      </c>
      <c r="R133" s="2"/>
      <c r="S133" s="2"/>
      <c r="T133" s="2"/>
      <c r="U133" s="3"/>
      <c r="V133" s="8">
        <v>522000</v>
      </c>
    </row>
    <row r="134" spans="1:22" ht="15" customHeight="1" x14ac:dyDescent="0.25">
      <c r="A134" s="7">
        <v>133</v>
      </c>
      <c r="B134" s="3">
        <v>43513</v>
      </c>
      <c r="C134" s="2" t="s">
        <v>57</v>
      </c>
      <c r="D134" s="2" t="s">
        <v>23</v>
      </c>
      <c r="E134" s="2" t="s">
        <v>24</v>
      </c>
      <c r="F134" s="2" t="s">
        <v>80</v>
      </c>
      <c r="G134" s="3">
        <v>33016</v>
      </c>
      <c r="H134" s="2">
        <v>30</v>
      </c>
      <c r="I134" s="2" t="s">
        <v>26</v>
      </c>
      <c r="J134" s="2" t="s">
        <v>61</v>
      </c>
      <c r="K134" s="2" t="s">
        <v>28</v>
      </c>
      <c r="L134" s="2" t="s">
        <v>92</v>
      </c>
      <c r="M134" s="2" t="s">
        <v>38</v>
      </c>
      <c r="N134" s="2" t="s">
        <v>63</v>
      </c>
      <c r="O134" s="2" t="s">
        <v>64</v>
      </c>
      <c r="P134" s="2"/>
      <c r="Q134" s="2">
        <v>1</v>
      </c>
      <c r="R134" s="2">
        <v>1</v>
      </c>
      <c r="S134" s="2">
        <v>1</v>
      </c>
      <c r="T134" s="2">
        <v>1</v>
      </c>
      <c r="U134" s="3">
        <v>43506</v>
      </c>
      <c r="V134" s="8">
        <v>121000</v>
      </c>
    </row>
    <row r="135" spans="1:22" ht="15" customHeight="1" x14ac:dyDescent="0.25">
      <c r="A135" s="7">
        <v>134</v>
      </c>
      <c r="B135" s="3">
        <v>43525</v>
      </c>
      <c r="C135" s="2" t="s">
        <v>32</v>
      </c>
      <c r="D135" s="2" t="s">
        <v>33</v>
      </c>
      <c r="E135" s="2" t="s">
        <v>129</v>
      </c>
      <c r="F135" s="2" t="s">
        <v>35</v>
      </c>
      <c r="G135" s="3">
        <v>33016</v>
      </c>
      <c r="H135" s="2">
        <v>30</v>
      </c>
      <c r="I135" s="2" t="s">
        <v>26</v>
      </c>
      <c r="J135" s="2" t="s">
        <v>36</v>
      </c>
      <c r="K135" s="2" t="s">
        <v>37</v>
      </c>
      <c r="L135" s="2" t="s">
        <v>29</v>
      </c>
      <c r="M135" s="2" t="s">
        <v>38</v>
      </c>
      <c r="N135" s="2" t="s">
        <v>39</v>
      </c>
      <c r="O135" s="2" t="s">
        <v>40</v>
      </c>
      <c r="P135" s="2" t="s">
        <v>41</v>
      </c>
      <c r="Q135" s="2">
        <v>1</v>
      </c>
      <c r="R135" s="2"/>
      <c r="S135" s="2"/>
      <c r="T135" s="2"/>
      <c r="U135" s="3"/>
      <c r="V135" s="8">
        <v>120000</v>
      </c>
    </row>
    <row r="136" spans="1:22" ht="15" customHeight="1" x14ac:dyDescent="0.25">
      <c r="A136" s="7">
        <v>135</v>
      </c>
      <c r="B136" s="3">
        <v>43525</v>
      </c>
      <c r="C136" s="2" t="s">
        <v>22</v>
      </c>
      <c r="D136" s="2" t="s">
        <v>67</v>
      </c>
      <c r="E136" s="2" t="s">
        <v>68</v>
      </c>
      <c r="F136" s="2" t="s">
        <v>25</v>
      </c>
      <c r="G136" s="3">
        <v>33409</v>
      </c>
      <c r="H136" s="2">
        <v>29</v>
      </c>
      <c r="I136" s="2" t="s">
        <v>26</v>
      </c>
      <c r="J136" s="2" t="s">
        <v>27</v>
      </c>
      <c r="K136" s="2" t="s">
        <v>28</v>
      </c>
      <c r="L136" s="2" t="s">
        <v>29</v>
      </c>
      <c r="M136" s="2" t="s">
        <v>38</v>
      </c>
      <c r="N136" s="2" t="s">
        <v>39</v>
      </c>
      <c r="O136" s="2" t="s">
        <v>40</v>
      </c>
      <c r="P136" s="2" t="s">
        <v>77</v>
      </c>
      <c r="Q136" s="2">
        <v>1</v>
      </c>
      <c r="R136" s="2"/>
      <c r="S136" s="2"/>
      <c r="T136" s="2"/>
      <c r="U136" s="3"/>
      <c r="V136" s="8">
        <v>120000</v>
      </c>
    </row>
    <row r="137" spans="1:22" ht="15" customHeight="1" x14ac:dyDescent="0.25">
      <c r="A137" s="7">
        <v>136</v>
      </c>
      <c r="B137" s="3">
        <v>43526</v>
      </c>
      <c r="C137" s="2" t="s">
        <v>32</v>
      </c>
      <c r="D137" s="2" t="s">
        <v>42</v>
      </c>
      <c r="E137" s="2" t="s">
        <v>43</v>
      </c>
      <c r="F137" s="2" t="s">
        <v>44</v>
      </c>
      <c r="G137" s="3">
        <v>33327</v>
      </c>
      <c r="H137" s="2">
        <v>29</v>
      </c>
      <c r="I137" s="2" t="s">
        <v>26</v>
      </c>
      <c r="J137" s="2" t="s">
        <v>27</v>
      </c>
      <c r="K137" s="2" t="s">
        <v>37</v>
      </c>
      <c r="L137" s="2" t="s">
        <v>45</v>
      </c>
      <c r="M137" s="2" t="s">
        <v>38</v>
      </c>
      <c r="N137" s="2" t="s">
        <v>39</v>
      </c>
      <c r="O137" s="2" t="s">
        <v>40</v>
      </c>
      <c r="P137" s="2" t="s">
        <v>41</v>
      </c>
      <c r="Q137" s="2">
        <v>1</v>
      </c>
      <c r="R137" s="2">
        <v>1</v>
      </c>
      <c r="S137" s="2">
        <v>1</v>
      </c>
      <c r="T137" s="2">
        <v>1</v>
      </c>
      <c r="U137" s="3">
        <v>43545</v>
      </c>
      <c r="V137" s="8"/>
    </row>
    <row r="138" spans="1:22" ht="15" customHeight="1" x14ac:dyDescent="0.25">
      <c r="A138" s="7">
        <v>137</v>
      </c>
      <c r="B138" s="3">
        <v>43526</v>
      </c>
      <c r="C138" s="2" t="s">
        <v>48</v>
      </c>
      <c r="D138" s="2" t="s">
        <v>23</v>
      </c>
      <c r="E138" s="2" t="s">
        <v>24</v>
      </c>
      <c r="F138" s="2" t="s">
        <v>49</v>
      </c>
      <c r="G138" s="3">
        <v>32996</v>
      </c>
      <c r="H138" s="2">
        <v>30</v>
      </c>
      <c r="I138" s="2" t="s">
        <v>26</v>
      </c>
      <c r="J138" s="2" t="s">
        <v>50</v>
      </c>
      <c r="K138" s="2" t="s">
        <v>37</v>
      </c>
      <c r="L138" s="2" t="s">
        <v>45</v>
      </c>
      <c r="M138" s="2" t="s">
        <v>38</v>
      </c>
      <c r="N138" s="2" t="s">
        <v>63</v>
      </c>
      <c r="O138" s="2" t="s">
        <v>64</v>
      </c>
      <c r="P138" s="2"/>
      <c r="Q138" s="2">
        <v>1</v>
      </c>
      <c r="R138" s="2">
        <v>1</v>
      </c>
      <c r="S138" s="2">
        <v>1</v>
      </c>
      <c r="T138" s="2">
        <v>1</v>
      </c>
      <c r="U138" s="3">
        <v>43543</v>
      </c>
      <c r="V138" s="8">
        <v>150000</v>
      </c>
    </row>
    <row r="139" spans="1:22" ht="15" customHeight="1" x14ac:dyDescent="0.25">
      <c r="A139" s="7">
        <v>138</v>
      </c>
      <c r="B139" s="3">
        <v>43526</v>
      </c>
      <c r="C139" s="2" t="s">
        <v>32</v>
      </c>
      <c r="D139" s="2" t="s">
        <v>42</v>
      </c>
      <c r="E139" s="2" t="s">
        <v>43</v>
      </c>
      <c r="F139" s="2" t="s">
        <v>44</v>
      </c>
      <c r="G139" s="3">
        <v>33327</v>
      </c>
      <c r="H139" s="2">
        <v>29</v>
      </c>
      <c r="I139" s="2" t="s">
        <v>26</v>
      </c>
      <c r="J139" s="2" t="s">
        <v>27</v>
      </c>
      <c r="K139" s="2" t="s">
        <v>37</v>
      </c>
      <c r="L139" s="2" t="s">
        <v>45</v>
      </c>
      <c r="M139" s="2" t="s">
        <v>38</v>
      </c>
      <c r="N139" s="2" t="s">
        <v>39</v>
      </c>
      <c r="O139" s="2" t="s">
        <v>40</v>
      </c>
      <c r="P139" s="2" t="s">
        <v>41</v>
      </c>
      <c r="Q139" s="2">
        <v>1</v>
      </c>
      <c r="R139" s="2">
        <v>1</v>
      </c>
      <c r="S139" s="2">
        <v>1</v>
      </c>
      <c r="T139" s="2">
        <v>1</v>
      </c>
      <c r="U139" s="3">
        <v>43545</v>
      </c>
      <c r="V139" s="8"/>
    </row>
    <row r="140" spans="1:22" ht="15" customHeight="1" x14ac:dyDescent="0.25">
      <c r="A140" s="7">
        <v>139</v>
      </c>
      <c r="B140" s="3">
        <v>43526</v>
      </c>
      <c r="C140" s="2" t="s">
        <v>48</v>
      </c>
      <c r="D140" s="2" t="s">
        <v>23</v>
      </c>
      <c r="E140" s="2" t="s">
        <v>24</v>
      </c>
      <c r="F140" s="2" t="s">
        <v>49</v>
      </c>
      <c r="G140" s="3">
        <v>32996</v>
      </c>
      <c r="H140" s="2">
        <v>30</v>
      </c>
      <c r="I140" s="2" t="s">
        <v>26</v>
      </c>
      <c r="J140" s="2" t="s">
        <v>50</v>
      </c>
      <c r="K140" s="2" t="s">
        <v>37</v>
      </c>
      <c r="L140" s="2" t="s">
        <v>45</v>
      </c>
      <c r="M140" s="2" t="s">
        <v>38</v>
      </c>
      <c r="N140" s="2" t="s">
        <v>63</v>
      </c>
      <c r="O140" s="2" t="s">
        <v>64</v>
      </c>
      <c r="P140" s="2"/>
      <c r="Q140" s="2">
        <v>1</v>
      </c>
      <c r="R140" s="2">
        <v>1</v>
      </c>
      <c r="S140" s="2">
        <v>1</v>
      </c>
      <c r="T140" s="2">
        <v>1</v>
      </c>
      <c r="U140" s="3">
        <v>43543</v>
      </c>
      <c r="V140" s="8">
        <v>150000</v>
      </c>
    </row>
    <row r="141" spans="1:22" ht="15" customHeight="1" x14ac:dyDescent="0.25">
      <c r="A141" s="7">
        <v>140</v>
      </c>
      <c r="B141" s="3">
        <v>43527</v>
      </c>
      <c r="C141" s="2" t="s">
        <v>48</v>
      </c>
      <c r="D141" s="2" t="s">
        <v>67</v>
      </c>
      <c r="E141" s="2" t="s">
        <v>130</v>
      </c>
      <c r="F141" s="2" t="s">
        <v>53</v>
      </c>
      <c r="G141" s="3">
        <v>33041</v>
      </c>
      <c r="H141" s="2">
        <v>30</v>
      </c>
      <c r="I141" s="2" t="s">
        <v>26</v>
      </c>
      <c r="J141" s="2" t="s">
        <v>50</v>
      </c>
      <c r="K141" s="2" t="s">
        <v>37</v>
      </c>
      <c r="L141" s="2" t="s">
        <v>45</v>
      </c>
      <c r="M141" s="2" t="s">
        <v>38</v>
      </c>
      <c r="N141" s="2" t="s">
        <v>63</v>
      </c>
      <c r="O141" s="2" t="s">
        <v>64</v>
      </c>
      <c r="P141" s="2"/>
      <c r="Q141" s="2">
        <v>1</v>
      </c>
      <c r="R141" s="2">
        <v>1</v>
      </c>
      <c r="S141" s="2"/>
      <c r="T141" s="2"/>
      <c r="U141" s="3"/>
      <c r="V141" s="8">
        <v>12200</v>
      </c>
    </row>
    <row r="142" spans="1:22" ht="15" customHeight="1" x14ac:dyDescent="0.25">
      <c r="A142" s="7">
        <v>141</v>
      </c>
      <c r="B142" s="3">
        <v>43528</v>
      </c>
      <c r="C142" s="2" t="s">
        <v>48</v>
      </c>
      <c r="D142" s="2" t="s">
        <v>67</v>
      </c>
      <c r="E142" s="2" t="s">
        <v>130</v>
      </c>
      <c r="F142" s="2" t="s">
        <v>54</v>
      </c>
      <c r="G142" s="3">
        <v>33132</v>
      </c>
      <c r="H142" s="2">
        <v>29</v>
      </c>
      <c r="I142" s="2" t="s">
        <v>26</v>
      </c>
      <c r="J142" s="2" t="s">
        <v>27</v>
      </c>
      <c r="K142" s="2" t="s">
        <v>37</v>
      </c>
      <c r="L142" s="2" t="s">
        <v>55</v>
      </c>
      <c r="M142" s="2" t="s">
        <v>38</v>
      </c>
      <c r="N142" s="2" t="s">
        <v>56</v>
      </c>
      <c r="O142" s="2"/>
      <c r="P142" s="2"/>
      <c r="Q142" s="2">
        <v>1</v>
      </c>
      <c r="R142" s="2"/>
      <c r="S142" s="2"/>
      <c r="T142" s="2"/>
      <c r="U142" s="3"/>
      <c r="V142" s="8">
        <v>45000</v>
      </c>
    </row>
    <row r="143" spans="1:22" ht="15" customHeight="1" x14ac:dyDescent="0.25">
      <c r="A143" s="7">
        <v>142</v>
      </c>
      <c r="B143" s="3">
        <v>43528</v>
      </c>
      <c r="C143" s="2" t="s">
        <v>57</v>
      </c>
      <c r="D143" s="2" t="s">
        <v>67</v>
      </c>
      <c r="E143" s="2" t="s">
        <v>68</v>
      </c>
      <c r="F143" s="2" t="s">
        <v>58</v>
      </c>
      <c r="G143" s="3">
        <v>33144</v>
      </c>
      <c r="H143" s="2">
        <v>29</v>
      </c>
      <c r="I143" s="2" t="s">
        <v>26</v>
      </c>
      <c r="J143" s="2" t="s">
        <v>50</v>
      </c>
      <c r="K143" s="2" t="s">
        <v>28</v>
      </c>
      <c r="L143" s="2" t="s">
        <v>45</v>
      </c>
      <c r="M143" s="2" t="s">
        <v>38</v>
      </c>
      <c r="N143" s="2" t="s">
        <v>89</v>
      </c>
      <c r="O143" s="2"/>
      <c r="P143" s="2"/>
      <c r="Q143" s="2">
        <v>1</v>
      </c>
      <c r="R143" s="2"/>
      <c r="S143" s="2"/>
      <c r="T143" s="2"/>
      <c r="U143" s="3"/>
      <c r="V143" s="8">
        <v>45000</v>
      </c>
    </row>
    <row r="144" spans="1:22" ht="15" customHeight="1" x14ac:dyDescent="0.25">
      <c r="A144" s="7">
        <v>143</v>
      </c>
      <c r="B144" s="3">
        <v>43529</v>
      </c>
      <c r="C144" s="2" t="s">
        <v>66</v>
      </c>
      <c r="D144" s="2" t="s">
        <v>67</v>
      </c>
      <c r="E144" s="2" t="s">
        <v>68</v>
      </c>
      <c r="F144" s="2" t="s">
        <v>60</v>
      </c>
      <c r="G144" s="3">
        <v>32919</v>
      </c>
      <c r="H144" s="2">
        <v>30</v>
      </c>
      <c r="I144" s="2" t="s">
        <v>26</v>
      </c>
      <c r="J144" s="2" t="s">
        <v>61</v>
      </c>
      <c r="K144" s="2" t="s">
        <v>37</v>
      </c>
      <c r="L144" s="2" t="s">
        <v>62</v>
      </c>
      <c r="M144" s="2" t="s">
        <v>38</v>
      </c>
      <c r="N144" s="2" t="s">
        <v>63</v>
      </c>
      <c r="O144" s="2" t="s">
        <v>64</v>
      </c>
      <c r="P144" s="2"/>
      <c r="Q144" s="2">
        <v>1</v>
      </c>
      <c r="R144" s="2"/>
      <c r="S144" s="2"/>
      <c r="T144" s="2"/>
      <c r="U144" s="3"/>
      <c r="V144" s="8">
        <v>61000</v>
      </c>
    </row>
    <row r="145" spans="1:22" ht="15" customHeight="1" x14ac:dyDescent="0.25">
      <c r="A145" s="7">
        <v>144</v>
      </c>
      <c r="B145" s="3">
        <v>43530</v>
      </c>
      <c r="C145" s="2" t="s">
        <v>48</v>
      </c>
      <c r="D145" s="2" t="s">
        <v>23</v>
      </c>
      <c r="E145" s="2" t="s">
        <v>24</v>
      </c>
      <c r="F145" s="2" t="s">
        <v>65</v>
      </c>
      <c r="G145" s="3">
        <v>34195</v>
      </c>
      <c r="H145" s="2">
        <v>27</v>
      </c>
      <c r="I145" s="2" t="s">
        <v>26</v>
      </c>
      <c r="J145" s="2" t="s">
        <v>27</v>
      </c>
      <c r="K145" s="2" t="s">
        <v>37</v>
      </c>
      <c r="L145" s="2" t="s">
        <v>45</v>
      </c>
      <c r="M145" s="2" t="s">
        <v>38</v>
      </c>
      <c r="N145" s="2" t="s">
        <v>63</v>
      </c>
      <c r="O145" s="2" t="s">
        <v>64</v>
      </c>
      <c r="P145" s="2"/>
      <c r="Q145" s="2">
        <v>1</v>
      </c>
      <c r="R145" s="2">
        <v>1</v>
      </c>
      <c r="S145" s="2"/>
      <c r="T145" s="2"/>
      <c r="U145" s="3"/>
      <c r="V145" s="8">
        <v>150000</v>
      </c>
    </row>
    <row r="146" spans="1:22" ht="15" customHeight="1" x14ac:dyDescent="0.25">
      <c r="A146" s="7">
        <v>145</v>
      </c>
      <c r="B146" s="3">
        <v>43530</v>
      </c>
      <c r="C146" s="2" t="s">
        <v>66</v>
      </c>
      <c r="D146" s="2" t="s">
        <v>23</v>
      </c>
      <c r="E146" s="2" t="s">
        <v>24</v>
      </c>
      <c r="F146" s="2" t="s">
        <v>69</v>
      </c>
      <c r="G146" s="3">
        <v>32589</v>
      </c>
      <c r="H146" s="2">
        <v>31</v>
      </c>
      <c r="I146" s="2" t="s">
        <v>26</v>
      </c>
      <c r="J146" s="2" t="s">
        <v>70</v>
      </c>
      <c r="K146" s="2" t="s">
        <v>28</v>
      </c>
      <c r="L146" s="2" t="s">
        <v>45</v>
      </c>
      <c r="M146" s="2" t="s">
        <v>30</v>
      </c>
      <c r="N146" s="2" t="s">
        <v>31</v>
      </c>
      <c r="O146" s="2"/>
      <c r="P146" s="2"/>
      <c r="Q146" s="2">
        <v>1</v>
      </c>
      <c r="R146" s="2">
        <v>1</v>
      </c>
      <c r="S146" s="2">
        <v>1</v>
      </c>
      <c r="T146" s="2">
        <v>1</v>
      </c>
      <c r="U146" s="3">
        <v>43541</v>
      </c>
      <c r="V146" s="8">
        <v>6000000</v>
      </c>
    </row>
    <row r="147" spans="1:22" ht="15" customHeight="1" x14ac:dyDescent="0.25">
      <c r="A147" s="7">
        <v>146</v>
      </c>
      <c r="B147" s="3">
        <v>43532</v>
      </c>
      <c r="C147" s="2" t="s">
        <v>32</v>
      </c>
      <c r="D147" s="2" t="s">
        <v>71</v>
      </c>
      <c r="E147" s="2" t="s">
        <v>131</v>
      </c>
      <c r="F147" s="2" t="s">
        <v>72</v>
      </c>
      <c r="G147" s="3">
        <v>33476</v>
      </c>
      <c r="H147" s="2">
        <v>29</v>
      </c>
      <c r="I147" s="2" t="s">
        <v>26</v>
      </c>
      <c r="J147" s="2" t="s">
        <v>73</v>
      </c>
      <c r="K147" s="2" t="s">
        <v>37</v>
      </c>
      <c r="L147" s="2" t="s">
        <v>45</v>
      </c>
      <c r="M147" s="2" t="s">
        <v>38</v>
      </c>
      <c r="N147" s="2" t="s">
        <v>39</v>
      </c>
      <c r="O147" s="2" t="s">
        <v>46</v>
      </c>
      <c r="P147" s="2" t="s">
        <v>47</v>
      </c>
      <c r="Q147" s="2">
        <v>1</v>
      </c>
      <c r="R147" s="2">
        <v>1</v>
      </c>
      <c r="S147" s="2">
        <v>1</v>
      </c>
      <c r="T147" s="2">
        <v>1</v>
      </c>
      <c r="U147" s="3">
        <v>43542</v>
      </c>
      <c r="V147" s="8">
        <v>300000</v>
      </c>
    </row>
    <row r="148" spans="1:22" ht="15" customHeight="1" x14ac:dyDescent="0.25">
      <c r="A148" s="7">
        <v>147</v>
      </c>
      <c r="B148" s="3">
        <v>43533</v>
      </c>
      <c r="C148" s="2" t="s">
        <v>57</v>
      </c>
      <c r="D148" s="2" t="s">
        <v>51</v>
      </c>
      <c r="E148" s="2" t="s">
        <v>52</v>
      </c>
      <c r="F148" s="2" t="s">
        <v>122</v>
      </c>
      <c r="G148" s="3">
        <v>33041</v>
      </c>
      <c r="H148" s="2">
        <v>30</v>
      </c>
      <c r="I148" s="2" t="s">
        <v>26</v>
      </c>
      <c r="J148" s="2" t="s">
        <v>27</v>
      </c>
      <c r="K148" s="2" t="s">
        <v>37</v>
      </c>
      <c r="L148" s="2" t="s">
        <v>92</v>
      </c>
      <c r="M148" s="2" t="s">
        <v>38</v>
      </c>
      <c r="N148" s="2" t="s">
        <v>39</v>
      </c>
      <c r="O148" s="2" t="s">
        <v>40</v>
      </c>
      <c r="P148" s="2" t="s">
        <v>84</v>
      </c>
      <c r="Q148" s="2">
        <v>1</v>
      </c>
      <c r="R148" s="2"/>
      <c r="S148" s="2"/>
      <c r="T148" s="2"/>
      <c r="U148" s="3"/>
      <c r="V148" s="8">
        <v>122000</v>
      </c>
    </row>
    <row r="149" spans="1:22" ht="15" customHeight="1" x14ac:dyDescent="0.25">
      <c r="A149" s="7">
        <v>148</v>
      </c>
      <c r="B149" s="3">
        <v>43533</v>
      </c>
      <c r="C149" s="2" t="s">
        <v>32</v>
      </c>
      <c r="D149" s="2" t="s">
        <v>33</v>
      </c>
      <c r="E149" s="2" t="s">
        <v>129</v>
      </c>
      <c r="F149" s="2" t="s">
        <v>74</v>
      </c>
      <c r="G149" s="3">
        <v>32558</v>
      </c>
      <c r="H149" s="2">
        <v>31</v>
      </c>
      <c r="I149" s="2" t="s">
        <v>26</v>
      </c>
      <c r="J149" s="2" t="s">
        <v>75</v>
      </c>
      <c r="K149" s="2" t="s">
        <v>37</v>
      </c>
      <c r="L149" s="2" t="s">
        <v>76</v>
      </c>
      <c r="M149" s="2" t="s">
        <v>38</v>
      </c>
      <c r="N149" s="2" t="s">
        <v>39</v>
      </c>
      <c r="O149" s="2" t="s">
        <v>46</v>
      </c>
      <c r="P149" s="2" t="s">
        <v>47</v>
      </c>
      <c r="Q149" s="2">
        <v>1</v>
      </c>
      <c r="R149" s="2">
        <v>1</v>
      </c>
      <c r="S149" s="2">
        <v>1</v>
      </c>
      <c r="T149" s="2">
        <v>1</v>
      </c>
      <c r="U149" s="3">
        <v>43544</v>
      </c>
      <c r="V149" s="8">
        <v>300000</v>
      </c>
    </row>
    <row r="150" spans="1:22" ht="15" customHeight="1" x14ac:dyDescent="0.25">
      <c r="A150" s="7">
        <v>149</v>
      </c>
      <c r="B150" s="3">
        <v>43534</v>
      </c>
      <c r="C150" s="2" t="s">
        <v>57</v>
      </c>
      <c r="D150" s="2" t="s">
        <v>51</v>
      </c>
      <c r="E150" s="2" t="s">
        <v>52</v>
      </c>
      <c r="F150" s="2" t="s">
        <v>78</v>
      </c>
      <c r="G150" s="3">
        <v>33573</v>
      </c>
      <c r="H150" s="2">
        <v>28</v>
      </c>
      <c r="I150" s="2" t="s">
        <v>26</v>
      </c>
      <c r="J150" s="2" t="s">
        <v>79</v>
      </c>
      <c r="K150" s="2" t="s">
        <v>37</v>
      </c>
      <c r="L150" s="2" t="s">
        <v>45</v>
      </c>
      <c r="M150" s="2" t="s">
        <v>38</v>
      </c>
      <c r="N150" s="2" t="s">
        <v>63</v>
      </c>
      <c r="O150" s="2" t="s">
        <v>64</v>
      </c>
      <c r="P150" s="2"/>
      <c r="Q150" s="2">
        <v>1</v>
      </c>
      <c r="R150" s="2">
        <v>1</v>
      </c>
      <c r="S150" s="2">
        <v>1</v>
      </c>
      <c r="T150" s="2">
        <v>1</v>
      </c>
      <c r="U150" s="3">
        <v>43543</v>
      </c>
      <c r="V150" s="8"/>
    </row>
    <row r="151" spans="1:22" ht="15" customHeight="1" x14ac:dyDescent="0.25">
      <c r="A151" s="7">
        <v>150</v>
      </c>
      <c r="B151" s="3">
        <v>43535</v>
      </c>
      <c r="C151" s="2" t="s">
        <v>32</v>
      </c>
      <c r="D151" s="2" t="s">
        <v>42</v>
      </c>
      <c r="E151" s="2" t="s">
        <v>43</v>
      </c>
      <c r="F151" s="2" t="s">
        <v>80</v>
      </c>
      <c r="G151" s="3">
        <v>33088</v>
      </c>
      <c r="H151" s="2">
        <v>30</v>
      </c>
      <c r="I151" s="2" t="s">
        <v>26</v>
      </c>
      <c r="J151" s="2" t="s">
        <v>75</v>
      </c>
      <c r="K151" s="2" t="s">
        <v>37</v>
      </c>
      <c r="L151" s="2" t="s">
        <v>45</v>
      </c>
      <c r="M151" s="2" t="s">
        <v>30</v>
      </c>
      <c r="N151" s="2" t="s">
        <v>81</v>
      </c>
      <c r="O151" s="2"/>
      <c r="P151" s="2"/>
      <c r="Q151" s="2">
        <v>1</v>
      </c>
      <c r="R151" s="2"/>
      <c r="S151" s="2"/>
      <c r="T151" s="2"/>
      <c r="U151" s="3"/>
      <c r="V151" s="8">
        <v>120000</v>
      </c>
    </row>
    <row r="152" spans="1:22" ht="15" customHeight="1" x14ac:dyDescent="0.25">
      <c r="A152" s="7">
        <v>151</v>
      </c>
      <c r="B152" s="3">
        <v>43536</v>
      </c>
      <c r="C152" s="2" t="s">
        <v>32</v>
      </c>
      <c r="D152" s="2" t="s">
        <v>71</v>
      </c>
      <c r="E152" s="2" t="s">
        <v>131</v>
      </c>
      <c r="F152" s="2" t="s">
        <v>82</v>
      </c>
      <c r="G152" s="3">
        <v>33594</v>
      </c>
      <c r="H152" s="2">
        <v>28</v>
      </c>
      <c r="I152" s="2" t="s">
        <v>26</v>
      </c>
      <c r="J152" s="2" t="s">
        <v>83</v>
      </c>
      <c r="K152" s="2" t="s">
        <v>37</v>
      </c>
      <c r="L152" s="2" t="s">
        <v>45</v>
      </c>
      <c r="M152" s="2" t="s">
        <v>38</v>
      </c>
      <c r="N152" s="2" t="s">
        <v>39</v>
      </c>
      <c r="O152" s="2" t="s">
        <v>46</v>
      </c>
      <c r="P152" s="2" t="s">
        <v>84</v>
      </c>
      <c r="Q152" s="2">
        <v>1</v>
      </c>
      <c r="R152" s="2">
        <v>1</v>
      </c>
      <c r="S152" s="2">
        <v>1</v>
      </c>
      <c r="T152" s="2">
        <v>1</v>
      </c>
      <c r="U152" s="3">
        <v>43542</v>
      </c>
      <c r="V152" s="8">
        <v>300000</v>
      </c>
    </row>
    <row r="153" spans="1:22" ht="15" customHeight="1" x14ac:dyDescent="0.25">
      <c r="A153" s="7">
        <v>152</v>
      </c>
      <c r="B153" s="3">
        <v>43537</v>
      </c>
      <c r="C153" s="2" t="s">
        <v>66</v>
      </c>
      <c r="D153" s="2" t="s">
        <v>67</v>
      </c>
      <c r="E153" s="2" t="s">
        <v>68</v>
      </c>
      <c r="F153" s="2" t="s">
        <v>117</v>
      </c>
      <c r="G153" s="3">
        <v>34021</v>
      </c>
      <c r="H153" s="2">
        <v>27</v>
      </c>
      <c r="I153" s="2" t="s">
        <v>26</v>
      </c>
      <c r="J153" s="2" t="s">
        <v>27</v>
      </c>
      <c r="K153" s="2" t="s">
        <v>28</v>
      </c>
      <c r="L153" s="2" t="s">
        <v>45</v>
      </c>
      <c r="M153" s="2" t="s">
        <v>38</v>
      </c>
      <c r="N153" s="2" t="s">
        <v>39</v>
      </c>
      <c r="O153" s="2" t="s">
        <v>46</v>
      </c>
      <c r="P153" s="2" t="s">
        <v>118</v>
      </c>
      <c r="Q153" s="2">
        <v>1</v>
      </c>
      <c r="R153" s="2">
        <v>1</v>
      </c>
      <c r="S153" s="2">
        <v>1</v>
      </c>
      <c r="T153" s="2">
        <v>1</v>
      </c>
      <c r="U153" s="3">
        <v>43546</v>
      </c>
      <c r="V153" s="8">
        <v>150000</v>
      </c>
    </row>
    <row r="154" spans="1:22" ht="15" customHeight="1" x14ac:dyDescent="0.25">
      <c r="A154" s="7">
        <v>153</v>
      </c>
      <c r="B154" s="3">
        <v>43539</v>
      </c>
      <c r="C154" s="2" t="s">
        <v>48</v>
      </c>
      <c r="D154" s="2" t="s">
        <v>23</v>
      </c>
      <c r="E154" s="2" t="s">
        <v>24</v>
      </c>
      <c r="F154" s="2" t="s">
        <v>119</v>
      </c>
      <c r="G154" s="3">
        <v>34295</v>
      </c>
      <c r="H154" s="2">
        <v>26</v>
      </c>
      <c r="I154" s="2" t="s">
        <v>26</v>
      </c>
      <c r="J154" s="2" t="s">
        <v>27</v>
      </c>
      <c r="K154" s="2" t="s">
        <v>37</v>
      </c>
      <c r="L154" s="2" t="s">
        <v>45</v>
      </c>
      <c r="M154" s="2" t="s">
        <v>38</v>
      </c>
      <c r="N154" s="2" t="s">
        <v>56</v>
      </c>
      <c r="O154" s="2"/>
      <c r="P154" s="2"/>
      <c r="Q154" s="2">
        <v>1</v>
      </c>
      <c r="R154" s="2"/>
      <c r="S154" s="2"/>
      <c r="T154" s="2"/>
      <c r="U154" s="3"/>
      <c r="V154" s="8">
        <v>150000</v>
      </c>
    </row>
    <row r="155" spans="1:22" ht="15" customHeight="1" x14ac:dyDescent="0.25">
      <c r="A155" s="7">
        <v>154</v>
      </c>
      <c r="B155" s="3">
        <v>43539</v>
      </c>
      <c r="C155" s="2" t="s">
        <v>48</v>
      </c>
      <c r="D155" s="2" t="s">
        <v>67</v>
      </c>
      <c r="E155" s="2" t="s">
        <v>130</v>
      </c>
      <c r="F155" s="2" t="s">
        <v>121</v>
      </c>
      <c r="G155" s="3">
        <v>33041</v>
      </c>
      <c r="H155" s="2">
        <v>30</v>
      </c>
      <c r="I155" s="2" t="s">
        <v>26</v>
      </c>
      <c r="J155" s="2" t="s">
        <v>70</v>
      </c>
      <c r="K155" s="2" t="s">
        <v>91</v>
      </c>
      <c r="L155" s="2" t="s">
        <v>45</v>
      </c>
      <c r="M155" s="2" t="s">
        <v>30</v>
      </c>
      <c r="N155" s="2" t="s">
        <v>31</v>
      </c>
      <c r="O155" s="2"/>
      <c r="P155" s="2"/>
      <c r="Q155" s="2">
        <v>1</v>
      </c>
      <c r="R155" s="2">
        <v>1</v>
      </c>
      <c r="S155" s="2">
        <v>1</v>
      </c>
      <c r="T155" s="2">
        <v>1</v>
      </c>
      <c r="U155" s="3">
        <v>43540</v>
      </c>
      <c r="V155" s="8"/>
    </row>
    <row r="156" spans="1:22" ht="15" customHeight="1" x14ac:dyDescent="0.25">
      <c r="A156" s="7">
        <v>155</v>
      </c>
      <c r="B156" s="3">
        <v>43540</v>
      </c>
      <c r="C156" s="2" t="s">
        <v>57</v>
      </c>
      <c r="D156" s="2" t="s">
        <v>23</v>
      </c>
      <c r="E156" s="2" t="s">
        <v>24</v>
      </c>
      <c r="F156" s="2" t="s">
        <v>120</v>
      </c>
      <c r="G156" s="3">
        <v>34118</v>
      </c>
      <c r="H156" s="2">
        <v>27</v>
      </c>
      <c r="I156" s="2" t="s">
        <v>26</v>
      </c>
      <c r="J156" s="2" t="s">
        <v>79</v>
      </c>
      <c r="K156" s="2" t="s">
        <v>28</v>
      </c>
      <c r="L156" s="2" t="s">
        <v>45</v>
      </c>
      <c r="M156" s="2" t="s">
        <v>38</v>
      </c>
      <c r="N156" s="2" t="s">
        <v>63</v>
      </c>
      <c r="O156" s="2" t="s">
        <v>64</v>
      </c>
      <c r="P156" s="2"/>
      <c r="Q156" s="2">
        <v>1</v>
      </c>
      <c r="R156" s="2"/>
      <c r="S156" s="2"/>
      <c r="T156" s="2"/>
      <c r="U156" s="3"/>
      <c r="V156" s="8">
        <v>120000</v>
      </c>
    </row>
    <row r="157" spans="1:22" ht="15" customHeight="1" x14ac:dyDescent="0.25">
      <c r="A157" s="7">
        <v>156</v>
      </c>
      <c r="B157" s="3">
        <v>43540</v>
      </c>
      <c r="C157" s="2" t="s">
        <v>32</v>
      </c>
      <c r="D157" s="2" t="s">
        <v>71</v>
      </c>
      <c r="E157" s="2" t="s">
        <v>131</v>
      </c>
      <c r="F157" s="2" t="s">
        <v>101</v>
      </c>
      <c r="G157" s="3">
        <v>33016</v>
      </c>
      <c r="H157" s="2">
        <v>30</v>
      </c>
      <c r="I157" s="2" t="s">
        <v>26</v>
      </c>
      <c r="J157" s="2" t="s">
        <v>93</v>
      </c>
      <c r="K157" s="2" t="s">
        <v>37</v>
      </c>
      <c r="L157" s="2" t="s">
        <v>45</v>
      </c>
      <c r="M157" s="2" t="s">
        <v>38</v>
      </c>
      <c r="N157" s="2" t="s">
        <v>39</v>
      </c>
      <c r="O157" s="2" t="s">
        <v>46</v>
      </c>
      <c r="P157" s="2" t="s">
        <v>95</v>
      </c>
      <c r="Q157" s="2">
        <v>1</v>
      </c>
      <c r="R157" s="2">
        <v>1</v>
      </c>
      <c r="S157" s="2"/>
      <c r="T157" s="2"/>
      <c r="U157" s="3"/>
      <c r="V157" s="8">
        <v>120000</v>
      </c>
    </row>
    <row r="158" spans="1:22" ht="15" customHeight="1" x14ac:dyDescent="0.25">
      <c r="A158" s="7">
        <v>157</v>
      </c>
      <c r="B158" s="3">
        <v>43541</v>
      </c>
      <c r="C158" s="2" t="s">
        <v>66</v>
      </c>
      <c r="D158" s="2" t="s">
        <v>67</v>
      </c>
      <c r="E158" s="2" t="s">
        <v>68</v>
      </c>
      <c r="F158" s="2" t="s">
        <v>90</v>
      </c>
      <c r="G158" s="3">
        <v>33302</v>
      </c>
      <c r="H158" s="2">
        <v>29</v>
      </c>
      <c r="I158" s="2" t="s">
        <v>87</v>
      </c>
      <c r="J158" s="2" t="s">
        <v>27</v>
      </c>
      <c r="K158" s="2" t="s">
        <v>91</v>
      </c>
      <c r="L158" s="2" t="s">
        <v>92</v>
      </c>
      <c r="M158" s="2" t="s">
        <v>38</v>
      </c>
      <c r="N158" s="2" t="s">
        <v>39</v>
      </c>
      <c r="O158" s="2" t="s">
        <v>46</v>
      </c>
      <c r="P158" s="2" t="s">
        <v>118</v>
      </c>
      <c r="Q158" s="2">
        <v>1</v>
      </c>
      <c r="R158" s="2">
        <v>1</v>
      </c>
      <c r="S158" s="2"/>
      <c r="T158" s="2"/>
      <c r="U158" s="3"/>
      <c r="V158" s="8">
        <v>322000</v>
      </c>
    </row>
    <row r="159" spans="1:22" ht="15" customHeight="1" x14ac:dyDescent="0.25">
      <c r="A159" s="7">
        <v>158</v>
      </c>
      <c r="B159" s="3">
        <v>43541</v>
      </c>
      <c r="C159" s="2" t="s">
        <v>66</v>
      </c>
      <c r="D159" s="2" t="s">
        <v>23</v>
      </c>
      <c r="E159" s="2" t="s">
        <v>24</v>
      </c>
      <c r="F159" s="2" t="s">
        <v>25</v>
      </c>
      <c r="G159" s="3">
        <v>32589</v>
      </c>
      <c r="H159" s="2">
        <v>31</v>
      </c>
      <c r="I159" s="2" t="s">
        <v>26</v>
      </c>
      <c r="J159" s="2" t="s">
        <v>93</v>
      </c>
      <c r="K159" s="2" t="s">
        <v>37</v>
      </c>
      <c r="L159" s="2" t="s">
        <v>45</v>
      </c>
      <c r="M159" s="2" t="s">
        <v>30</v>
      </c>
      <c r="N159" s="2" t="s">
        <v>81</v>
      </c>
      <c r="O159" s="2"/>
      <c r="P159" s="2"/>
      <c r="Q159" s="2">
        <v>1</v>
      </c>
      <c r="R159" s="2"/>
      <c r="S159" s="2"/>
      <c r="T159" s="2"/>
      <c r="U159" s="3"/>
      <c r="V159" s="8">
        <v>150000</v>
      </c>
    </row>
    <row r="160" spans="1:22" ht="15" customHeight="1" x14ac:dyDescent="0.25">
      <c r="A160" s="7">
        <v>159</v>
      </c>
      <c r="B160" s="3">
        <v>43541</v>
      </c>
      <c r="C160" s="2" t="s">
        <v>57</v>
      </c>
      <c r="D160" s="2" t="s">
        <v>23</v>
      </c>
      <c r="E160" s="2" t="s">
        <v>24</v>
      </c>
      <c r="F160" s="2" t="s">
        <v>86</v>
      </c>
      <c r="G160" s="3">
        <v>34384</v>
      </c>
      <c r="H160" s="2">
        <v>26</v>
      </c>
      <c r="I160" s="2" t="s">
        <v>87</v>
      </c>
      <c r="J160" s="2" t="s">
        <v>88</v>
      </c>
      <c r="K160" s="2" t="s">
        <v>37</v>
      </c>
      <c r="L160" s="2" t="s">
        <v>55</v>
      </c>
      <c r="M160" s="2" t="s">
        <v>38</v>
      </c>
      <c r="N160" s="2" t="s">
        <v>39</v>
      </c>
      <c r="O160" s="2" t="s">
        <v>40</v>
      </c>
      <c r="P160" s="2" t="s">
        <v>41</v>
      </c>
      <c r="Q160" s="2">
        <v>1</v>
      </c>
      <c r="R160" s="2">
        <v>1</v>
      </c>
      <c r="S160" s="2"/>
      <c r="T160" s="2"/>
      <c r="U160" s="3"/>
      <c r="V160" s="8">
        <v>22000</v>
      </c>
    </row>
    <row r="161" spans="1:22" ht="15" customHeight="1" x14ac:dyDescent="0.25">
      <c r="A161" s="7">
        <v>160</v>
      </c>
      <c r="B161" s="3">
        <v>43541</v>
      </c>
      <c r="C161" s="2" t="s">
        <v>57</v>
      </c>
      <c r="D161" s="2" t="s">
        <v>23</v>
      </c>
      <c r="E161" s="2" t="s">
        <v>24</v>
      </c>
      <c r="F161" s="2" t="s">
        <v>86</v>
      </c>
      <c r="G161" s="3">
        <v>34384</v>
      </c>
      <c r="H161" s="2">
        <v>26</v>
      </c>
      <c r="I161" s="2" t="s">
        <v>87</v>
      </c>
      <c r="J161" s="2" t="s">
        <v>88</v>
      </c>
      <c r="K161" s="2" t="s">
        <v>37</v>
      </c>
      <c r="L161" s="2" t="s">
        <v>55</v>
      </c>
      <c r="M161" s="2" t="s">
        <v>38</v>
      </c>
      <c r="N161" s="2" t="s">
        <v>39</v>
      </c>
      <c r="O161" s="2" t="s">
        <v>40</v>
      </c>
      <c r="P161" s="2" t="s">
        <v>41</v>
      </c>
      <c r="Q161" s="2">
        <v>1</v>
      </c>
      <c r="R161" s="2">
        <v>1</v>
      </c>
      <c r="S161" s="2"/>
      <c r="T161" s="2"/>
      <c r="U161" s="3"/>
      <c r="V161" s="8">
        <v>22000</v>
      </c>
    </row>
    <row r="162" spans="1:22" ht="15" customHeight="1" x14ac:dyDescent="0.25">
      <c r="A162" s="7">
        <v>161</v>
      </c>
      <c r="B162" s="3">
        <v>43541</v>
      </c>
      <c r="C162" s="2" t="s">
        <v>66</v>
      </c>
      <c r="D162" s="2" t="s">
        <v>23</v>
      </c>
      <c r="E162" s="2" t="s">
        <v>24</v>
      </c>
      <c r="F162" s="2" t="s">
        <v>94</v>
      </c>
      <c r="G162" s="3">
        <v>33667</v>
      </c>
      <c r="H162" s="2">
        <v>28</v>
      </c>
      <c r="I162" s="2" t="s">
        <v>26</v>
      </c>
      <c r="J162" s="2" t="s">
        <v>27</v>
      </c>
      <c r="K162" s="2" t="s">
        <v>37</v>
      </c>
      <c r="L162" s="2" t="s">
        <v>92</v>
      </c>
      <c r="M162" s="2" t="s">
        <v>38</v>
      </c>
      <c r="N162" s="2" t="s">
        <v>39</v>
      </c>
      <c r="O162" s="2" t="s">
        <v>46</v>
      </c>
      <c r="P162" s="2" t="s">
        <v>95</v>
      </c>
      <c r="Q162" s="2">
        <v>1</v>
      </c>
      <c r="R162" s="2">
        <v>1</v>
      </c>
      <c r="S162" s="2"/>
      <c r="T162" s="2"/>
      <c r="U162" s="3"/>
      <c r="V162" s="8">
        <v>120000</v>
      </c>
    </row>
    <row r="163" spans="1:22" ht="15" customHeight="1" x14ac:dyDescent="0.25">
      <c r="A163" s="7">
        <v>162</v>
      </c>
      <c r="B163" s="3">
        <v>43542</v>
      </c>
      <c r="C163" s="2" t="s">
        <v>48</v>
      </c>
      <c r="D163" s="2" t="s">
        <v>23</v>
      </c>
      <c r="E163" s="2" t="s">
        <v>24</v>
      </c>
      <c r="F163" s="2" t="s">
        <v>117</v>
      </c>
      <c r="G163" s="3">
        <v>33144</v>
      </c>
      <c r="H163" s="2">
        <v>29</v>
      </c>
      <c r="I163" s="2" t="s">
        <v>87</v>
      </c>
      <c r="J163" s="2" t="s">
        <v>27</v>
      </c>
      <c r="K163" s="2" t="s">
        <v>37</v>
      </c>
      <c r="L163" s="2" t="s">
        <v>92</v>
      </c>
      <c r="M163" s="2" t="s">
        <v>38</v>
      </c>
      <c r="N163" s="2" t="s">
        <v>56</v>
      </c>
      <c r="O163" s="2"/>
      <c r="P163" s="2"/>
      <c r="Q163" s="2">
        <v>1</v>
      </c>
      <c r="R163" s="2"/>
      <c r="S163" s="2"/>
      <c r="T163" s="2"/>
      <c r="U163" s="3"/>
      <c r="V163" s="8">
        <v>150000</v>
      </c>
    </row>
    <row r="164" spans="1:22" ht="15" customHeight="1" x14ac:dyDescent="0.25">
      <c r="A164" s="7">
        <v>163</v>
      </c>
      <c r="B164" s="3">
        <v>43542</v>
      </c>
      <c r="C164" s="2" t="s">
        <v>57</v>
      </c>
      <c r="D164" s="2" t="s">
        <v>23</v>
      </c>
      <c r="E164" s="2" t="s">
        <v>24</v>
      </c>
      <c r="F164" s="2" t="s">
        <v>96</v>
      </c>
      <c r="G164" s="3">
        <v>35008</v>
      </c>
      <c r="H164" s="2">
        <v>24</v>
      </c>
      <c r="I164" s="2" t="s">
        <v>26</v>
      </c>
      <c r="J164" s="2" t="s">
        <v>97</v>
      </c>
      <c r="K164" s="2" t="s">
        <v>37</v>
      </c>
      <c r="L164" s="2" t="s">
        <v>45</v>
      </c>
      <c r="M164" s="2" t="s">
        <v>38</v>
      </c>
      <c r="N164" s="2" t="s">
        <v>63</v>
      </c>
      <c r="O164" s="2" t="s">
        <v>64</v>
      </c>
      <c r="P164" s="2"/>
      <c r="Q164" s="2">
        <v>1</v>
      </c>
      <c r="R164" s="2">
        <v>1</v>
      </c>
      <c r="S164" s="2"/>
      <c r="T164" s="2"/>
      <c r="U164" s="3"/>
      <c r="V164" s="8">
        <v>22000</v>
      </c>
    </row>
    <row r="165" spans="1:22" ht="15" customHeight="1" x14ac:dyDescent="0.25">
      <c r="A165" s="7">
        <v>164</v>
      </c>
      <c r="B165" s="3">
        <v>43542</v>
      </c>
      <c r="C165" s="2" t="s">
        <v>22</v>
      </c>
      <c r="D165" s="2" t="s">
        <v>67</v>
      </c>
      <c r="E165" s="2" t="s">
        <v>68</v>
      </c>
      <c r="F165" s="2" t="s">
        <v>98</v>
      </c>
      <c r="G165" s="3">
        <v>34231</v>
      </c>
      <c r="H165" s="2">
        <v>26</v>
      </c>
      <c r="I165" s="2" t="s">
        <v>26</v>
      </c>
      <c r="J165" s="2" t="s">
        <v>88</v>
      </c>
      <c r="K165" s="2" t="s">
        <v>37</v>
      </c>
      <c r="L165" s="2" t="s">
        <v>45</v>
      </c>
      <c r="M165" s="2" t="s">
        <v>38</v>
      </c>
      <c r="N165" s="2" t="s">
        <v>63</v>
      </c>
      <c r="O165" s="2" t="s">
        <v>64</v>
      </c>
      <c r="P165" s="2"/>
      <c r="Q165" s="2">
        <v>1</v>
      </c>
      <c r="R165" s="2"/>
      <c r="S165" s="2"/>
      <c r="T165" s="2"/>
      <c r="U165" s="3"/>
      <c r="V165" s="8">
        <v>121000</v>
      </c>
    </row>
    <row r="166" spans="1:22" ht="15" customHeight="1" x14ac:dyDescent="0.25">
      <c r="A166" s="7">
        <v>165</v>
      </c>
      <c r="B166" s="3">
        <v>43542</v>
      </c>
      <c r="C166" s="2" t="s">
        <v>22</v>
      </c>
      <c r="D166" s="2" t="s">
        <v>67</v>
      </c>
      <c r="E166" s="2" t="s">
        <v>68</v>
      </c>
      <c r="F166" s="2" t="s">
        <v>98</v>
      </c>
      <c r="G166" s="3">
        <v>34231</v>
      </c>
      <c r="H166" s="2">
        <v>26</v>
      </c>
      <c r="I166" s="2" t="s">
        <v>26</v>
      </c>
      <c r="J166" s="2" t="s">
        <v>88</v>
      </c>
      <c r="K166" s="2" t="s">
        <v>37</v>
      </c>
      <c r="L166" s="2" t="s">
        <v>45</v>
      </c>
      <c r="M166" s="2" t="s">
        <v>38</v>
      </c>
      <c r="N166" s="2" t="s">
        <v>63</v>
      </c>
      <c r="O166" s="2" t="s">
        <v>64</v>
      </c>
      <c r="P166" s="2"/>
      <c r="Q166" s="2">
        <v>1</v>
      </c>
      <c r="R166" s="2"/>
      <c r="S166" s="2"/>
      <c r="T166" s="2"/>
      <c r="U166" s="3"/>
      <c r="V166" s="8">
        <v>121000</v>
      </c>
    </row>
    <row r="167" spans="1:22" ht="15" customHeight="1" x14ac:dyDescent="0.25">
      <c r="A167" s="7">
        <v>166</v>
      </c>
      <c r="B167" s="3">
        <v>43542</v>
      </c>
      <c r="C167" s="2" t="s">
        <v>57</v>
      </c>
      <c r="D167" s="2" t="s">
        <v>23</v>
      </c>
      <c r="E167" s="2" t="s">
        <v>24</v>
      </c>
      <c r="F167" s="2" t="s">
        <v>53</v>
      </c>
      <c r="G167" s="3">
        <v>32589</v>
      </c>
      <c r="H167" s="2">
        <v>31</v>
      </c>
      <c r="I167" s="2" t="s">
        <v>26</v>
      </c>
      <c r="J167" s="2" t="s">
        <v>50</v>
      </c>
      <c r="K167" s="2" t="s">
        <v>28</v>
      </c>
      <c r="L167" s="2" t="s">
        <v>45</v>
      </c>
      <c r="M167" s="2" t="s">
        <v>38</v>
      </c>
      <c r="N167" s="2" t="s">
        <v>39</v>
      </c>
      <c r="O167" s="2" t="s">
        <v>40</v>
      </c>
      <c r="P167" s="2" t="s">
        <v>41</v>
      </c>
      <c r="Q167" s="2">
        <v>1</v>
      </c>
      <c r="R167" s="2"/>
      <c r="S167" s="2"/>
      <c r="T167" s="2"/>
      <c r="U167" s="3"/>
      <c r="V167" s="8"/>
    </row>
    <row r="168" spans="1:22" ht="15" customHeight="1" x14ac:dyDescent="0.25">
      <c r="A168" s="7">
        <v>167</v>
      </c>
      <c r="B168" s="3">
        <v>43543</v>
      </c>
      <c r="C168" s="2" t="s">
        <v>32</v>
      </c>
      <c r="D168" s="2" t="s">
        <v>33</v>
      </c>
      <c r="E168" s="2" t="s">
        <v>129</v>
      </c>
      <c r="F168" s="2" t="s">
        <v>99</v>
      </c>
      <c r="G168" s="3">
        <v>33577</v>
      </c>
      <c r="H168" s="2">
        <v>28</v>
      </c>
      <c r="I168" s="2" t="s">
        <v>26</v>
      </c>
      <c r="J168" s="2" t="s">
        <v>27</v>
      </c>
      <c r="K168" s="2" t="s">
        <v>37</v>
      </c>
      <c r="L168" s="2" t="s">
        <v>92</v>
      </c>
      <c r="M168" s="2" t="s">
        <v>38</v>
      </c>
      <c r="N168" s="2" t="s">
        <v>63</v>
      </c>
      <c r="O168" s="2" t="s">
        <v>64</v>
      </c>
      <c r="P168" s="2"/>
      <c r="Q168" s="2">
        <v>1</v>
      </c>
      <c r="R168" s="2">
        <v>1</v>
      </c>
      <c r="S168" s="2"/>
      <c r="T168" s="2"/>
      <c r="U168" s="3"/>
      <c r="V168" s="8">
        <v>122000</v>
      </c>
    </row>
    <row r="169" spans="1:22" ht="15" customHeight="1" x14ac:dyDescent="0.25">
      <c r="A169" s="7">
        <v>168</v>
      </c>
      <c r="B169" s="3">
        <v>43543</v>
      </c>
      <c r="C169" s="2" t="s">
        <v>22</v>
      </c>
      <c r="D169" s="2" t="s">
        <v>67</v>
      </c>
      <c r="E169" s="2" t="s">
        <v>68</v>
      </c>
      <c r="F169" s="2" t="s">
        <v>100</v>
      </c>
      <c r="G169" s="3">
        <v>33409</v>
      </c>
      <c r="H169" s="2">
        <v>29</v>
      </c>
      <c r="I169" s="2" t="s">
        <v>26</v>
      </c>
      <c r="J169" s="2" t="s">
        <v>75</v>
      </c>
      <c r="K169" s="2" t="s">
        <v>91</v>
      </c>
      <c r="L169" s="2" t="s">
        <v>55</v>
      </c>
      <c r="M169" s="2" t="s">
        <v>38</v>
      </c>
      <c r="N169" s="2" t="s">
        <v>39</v>
      </c>
      <c r="O169" s="2" t="s">
        <v>46</v>
      </c>
      <c r="P169" s="2" t="s">
        <v>84</v>
      </c>
      <c r="Q169" s="2">
        <v>1</v>
      </c>
      <c r="R169" s="2"/>
      <c r="S169" s="2"/>
      <c r="T169" s="2"/>
      <c r="U169" s="3"/>
      <c r="V169" s="8">
        <v>121000</v>
      </c>
    </row>
    <row r="170" spans="1:22" ht="15" customHeight="1" x14ac:dyDescent="0.25">
      <c r="A170" s="7">
        <v>169</v>
      </c>
      <c r="B170" s="3">
        <v>43544</v>
      </c>
      <c r="C170" s="2" t="s">
        <v>57</v>
      </c>
      <c r="D170" s="2" t="s">
        <v>67</v>
      </c>
      <c r="E170" s="2" t="s">
        <v>68</v>
      </c>
      <c r="F170" s="2" t="s">
        <v>101</v>
      </c>
      <c r="G170" s="3">
        <v>33840</v>
      </c>
      <c r="H170" s="2">
        <v>28</v>
      </c>
      <c r="I170" s="2" t="s">
        <v>87</v>
      </c>
      <c r="J170" s="2" t="s">
        <v>102</v>
      </c>
      <c r="K170" s="2" t="s">
        <v>37</v>
      </c>
      <c r="L170" s="2" t="s">
        <v>103</v>
      </c>
      <c r="M170" s="2" t="s">
        <v>38</v>
      </c>
      <c r="N170" s="2" t="s">
        <v>89</v>
      </c>
      <c r="O170" s="2"/>
      <c r="P170" s="2"/>
      <c r="Q170" s="2">
        <v>1</v>
      </c>
      <c r="R170" s="2">
        <v>1</v>
      </c>
      <c r="S170" s="2"/>
      <c r="T170" s="2"/>
      <c r="U170" s="3"/>
      <c r="V170" s="8">
        <v>120000</v>
      </c>
    </row>
    <row r="171" spans="1:22" ht="15" customHeight="1" x14ac:dyDescent="0.25">
      <c r="A171" s="7">
        <v>170</v>
      </c>
      <c r="B171" s="3">
        <v>43544</v>
      </c>
      <c r="C171" s="2" t="s">
        <v>32</v>
      </c>
      <c r="D171" s="2" t="s">
        <v>42</v>
      </c>
      <c r="E171" s="2" t="s">
        <v>43</v>
      </c>
      <c r="F171" s="2" t="s">
        <v>104</v>
      </c>
      <c r="G171" s="3">
        <v>34542</v>
      </c>
      <c r="H171" s="2">
        <v>26</v>
      </c>
      <c r="I171" s="2" t="s">
        <v>26</v>
      </c>
      <c r="J171" s="2" t="s">
        <v>27</v>
      </c>
      <c r="K171" s="2" t="s">
        <v>91</v>
      </c>
      <c r="L171" s="2" t="s">
        <v>55</v>
      </c>
      <c r="M171" s="2" t="s">
        <v>38</v>
      </c>
      <c r="N171" s="2" t="s">
        <v>56</v>
      </c>
      <c r="O171" s="2"/>
      <c r="P171" s="2"/>
      <c r="Q171" s="2">
        <v>1</v>
      </c>
      <c r="R171" s="2">
        <v>1</v>
      </c>
      <c r="S171" s="2"/>
      <c r="T171" s="2"/>
      <c r="U171" s="3"/>
      <c r="V171" s="8">
        <v>122000</v>
      </c>
    </row>
    <row r="172" spans="1:22" ht="15" customHeight="1" x14ac:dyDescent="0.25">
      <c r="A172" s="7">
        <v>171</v>
      </c>
      <c r="B172" s="3">
        <v>43544</v>
      </c>
      <c r="C172" s="2" t="s">
        <v>57</v>
      </c>
      <c r="D172" s="2" t="s">
        <v>67</v>
      </c>
      <c r="E172" s="2" t="s">
        <v>68</v>
      </c>
      <c r="F172" s="2" t="s">
        <v>101</v>
      </c>
      <c r="G172" s="3">
        <v>33840</v>
      </c>
      <c r="H172" s="2">
        <v>28</v>
      </c>
      <c r="I172" s="2" t="s">
        <v>87</v>
      </c>
      <c r="J172" s="2" t="s">
        <v>102</v>
      </c>
      <c r="K172" s="2" t="s">
        <v>37</v>
      </c>
      <c r="L172" s="2" t="s">
        <v>103</v>
      </c>
      <c r="M172" s="2" t="s">
        <v>38</v>
      </c>
      <c r="N172" s="2" t="s">
        <v>89</v>
      </c>
      <c r="O172" s="2"/>
      <c r="P172" s="2"/>
      <c r="Q172" s="2">
        <v>1</v>
      </c>
      <c r="R172" s="2">
        <v>1</v>
      </c>
      <c r="S172" s="2"/>
      <c r="T172" s="2"/>
      <c r="U172" s="3"/>
      <c r="V172" s="8">
        <v>120000</v>
      </c>
    </row>
    <row r="173" spans="1:22" ht="15" customHeight="1" x14ac:dyDescent="0.25">
      <c r="A173" s="7">
        <v>172</v>
      </c>
      <c r="B173" s="3">
        <v>43544</v>
      </c>
      <c r="C173" s="2" t="s">
        <v>32</v>
      </c>
      <c r="D173" s="2" t="s">
        <v>42</v>
      </c>
      <c r="E173" s="2" t="s">
        <v>43</v>
      </c>
      <c r="F173" s="2" t="s">
        <v>104</v>
      </c>
      <c r="G173" s="3">
        <v>34542</v>
      </c>
      <c r="H173" s="2">
        <v>26</v>
      </c>
      <c r="I173" s="2" t="s">
        <v>26</v>
      </c>
      <c r="J173" s="2" t="s">
        <v>27</v>
      </c>
      <c r="K173" s="2" t="s">
        <v>91</v>
      </c>
      <c r="L173" s="2" t="s">
        <v>55</v>
      </c>
      <c r="M173" s="2" t="s">
        <v>38</v>
      </c>
      <c r="N173" s="2" t="s">
        <v>56</v>
      </c>
      <c r="O173" s="2"/>
      <c r="P173" s="2"/>
      <c r="Q173" s="2">
        <v>1</v>
      </c>
      <c r="R173" s="2">
        <v>1</v>
      </c>
      <c r="S173" s="2"/>
      <c r="T173" s="2"/>
      <c r="U173" s="3"/>
      <c r="V173" s="8">
        <v>122000</v>
      </c>
    </row>
    <row r="174" spans="1:22" ht="15" customHeight="1" x14ac:dyDescent="0.25">
      <c r="A174" s="7">
        <v>173</v>
      </c>
      <c r="B174" s="3">
        <v>43544</v>
      </c>
      <c r="C174" s="2" t="s">
        <v>57</v>
      </c>
      <c r="D174" s="2" t="s">
        <v>67</v>
      </c>
      <c r="E174" s="2" t="s">
        <v>68</v>
      </c>
      <c r="F174" s="2" t="s">
        <v>60</v>
      </c>
      <c r="G174" s="3">
        <v>33409</v>
      </c>
      <c r="H174" s="2">
        <v>29</v>
      </c>
      <c r="I174" s="2" t="s">
        <v>26</v>
      </c>
      <c r="J174" s="2" t="s">
        <v>27</v>
      </c>
      <c r="K174" s="2" t="s">
        <v>37</v>
      </c>
      <c r="L174" s="2" t="s">
        <v>45</v>
      </c>
      <c r="M174" s="2" t="s">
        <v>30</v>
      </c>
      <c r="N174" s="2" t="s">
        <v>31</v>
      </c>
      <c r="O174" s="2"/>
      <c r="P174" s="2"/>
      <c r="Q174" s="2">
        <v>1</v>
      </c>
      <c r="R174" s="2"/>
      <c r="S174" s="2"/>
      <c r="T174" s="2"/>
      <c r="U174" s="3"/>
      <c r="V174" s="8">
        <v>445000</v>
      </c>
    </row>
    <row r="175" spans="1:22" ht="15" customHeight="1" x14ac:dyDescent="0.25">
      <c r="A175" s="7">
        <v>174</v>
      </c>
      <c r="B175" s="3">
        <v>43544</v>
      </c>
      <c r="C175" s="2" t="s">
        <v>66</v>
      </c>
      <c r="D175" s="2" t="s">
        <v>67</v>
      </c>
      <c r="E175" s="2" t="s">
        <v>68</v>
      </c>
      <c r="F175" s="2" t="s">
        <v>105</v>
      </c>
      <c r="G175" s="3">
        <v>33144</v>
      </c>
      <c r="H175" s="2">
        <v>29</v>
      </c>
      <c r="I175" s="2" t="s">
        <v>26</v>
      </c>
      <c r="J175" s="2" t="s">
        <v>27</v>
      </c>
      <c r="K175" s="2" t="s">
        <v>37</v>
      </c>
      <c r="L175" s="2" t="s">
        <v>55</v>
      </c>
      <c r="M175" s="2" t="s">
        <v>30</v>
      </c>
      <c r="N175" s="2" t="s">
        <v>31</v>
      </c>
      <c r="O175" s="2"/>
      <c r="P175" s="2"/>
      <c r="Q175" s="2">
        <v>1</v>
      </c>
      <c r="R175" s="2">
        <v>1</v>
      </c>
      <c r="S175" s="2">
        <v>1</v>
      </c>
      <c r="T175" s="2">
        <v>1</v>
      </c>
      <c r="U175" s="3">
        <v>43543</v>
      </c>
      <c r="V175" s="8"/>
    </row>
    <row r="176" spans="1:22" ht="15" customHeight="1" x14ac:dyDescent="0.25">
      <c r="A176" s="7">
        <v>175</v>
      </c>
      <c r="B176" s="3">
        <v>43545</v>
      </c>
      <c r="C176" s="2" t="s">
        <v>57</v>
      </c>
      <c r="D176" s="2" t="s">
        <v>51</v>
      </c>
      <c r="E176" s="2" t="s">
        <v>52</v>
      </c>
      <c r="F176" s="2" t="s">
        <v>106</v>
      </c>
      <c r="G176" s="3">
        <v>33868</v>
      </c>
      <c r="H176" s="2">
        <v>27</v>
      </c>
      <c r="I176" s="2" t="s">
        <v>26</v>
      </c>
      <c r="J176" s="2" t="s">
        <v>79</v>
      </c>
      <c r="K176" s="2" t="s">
        <v>91</v>
      </c>
      <c r="L176" s="2" t="s">
        <v>45</v>
      </c>
      <c r="M176" s="2" t="s">
        <v>30</v>
      </c>
      <c r="N176" s="2" t="s">
        <v>81</v>
      </c>
      <c r="O176" s="2"/>
      <c r="P176" s="2"/>
      <c r="Q176" s="2">
        <v>1</v>
      </c>
      <c r="R176" s="2"/>
      <c r="S176" s="2"/>
      <c r="T176" s="2"/>
      <c r="U176" s="3"/>
      <c r="V176" s="8">
        <v>121000</v>
      </c>
    </row>
    <row r="177" spans="1:22" ht="15" customHeight="1" x14ac:dyDescent="0.25">
      <c r="A177" s="7">
        <v>176</v>
      </c>
      <c r="B177" s="3">
        <v>43545</v>
      </c>
      <c r="C177" s="2" t="s">
        <v>32</v>
      </c>
      <c r="D177" s="2" t="s">
        <v>71</v>
      </c>
      <c r="E177" s="2" t="s">
        <v>132</v>
      </c>
      <c r="F177" s="2" t="s">
        <v>107</v>
      </c>
      <c r="G177" s="3">
        <v>33429</v>
      </c>
      <c r="H177" s="2">
        <v>29</v>
      </c>
      <c r="I177" s="2" t="s">
        <v>87</v>
      </c>
      <c r="J177" s="2" t="s">
        <v>108</v>
      </c>
      <c r="K177" s="2" t="s">
        <v>37</v>
      </c>
      <c r="L177" s="2" t="s">
        <v>45</v>
      </c>
      <c r="M177" s="2" t="s">
        <v>30</v>
      </c>
      <c r="N177" s="2" t="s">
        <v>31</v>
      </c>
      <c r="O177" s="2"/>
      <c r="P177" s="2"/>
      <c r="Q177" s="2">
        <v>1</v>
      </c>
      <c r="R177" s="2"/>
      <c r="S177" s="2"/>
      <c r="T177" s="2"/>
      <c r="U177" s="3"/>
      <c r="V177" s="8">
        <v>150000</v>
      </c>
    </row>
    <row r="178" spans="1:22" ht="15" customHeight="1" x14ac:dyDescent="0.25">
      <c r="A178" s="7">
        <v>177</v>
      </c>
      <c r="B178" s="3">
        <v>43545</v>
      </c>
      <c r="C178" s="2" t="s">
        <v>57</v>
      </c>
      <c r="D178" s="2" t="s">
        <v>51</v>
      </c>
      <c r="E178" s="2" t="s">
        <v>52</v>
      </c>
      <c r="F178" s="2" t="s">
        <v>69</v>
      </c>
      <c r="G178" s="3">
        <v>32996</v>
      </c>
      <c r="H178" s="2">
        <v>30</v>
      </c>
      <c r="I178" s="2" t="s">
        <v>26</v>
      </c>
      <c r="J178" s="2" t="s">
        <v>110</v>
      </c>
      <c r="K178" s="2" t="s">
        <v>37</v>
      </c>
      <c r="L178" s="2" t="s">
        <v>45</v>
      </c>
      <c r="M178" s="2" t="s">
        <v>30</v>
      </c>
      <c r="N178" s="2" t="s">
        <v>31</v>
      </c>
      <c r="O178" s="2"/>
      <c r="P178" s="2"/>
      <c r="Q178" s="2">
        <v>1</v>
      </c>
      <c r="R178" s="2">
        <v>1</v>
      </c>
      <c r="S178" s="2"/>
      <c r="T178" s="2"/>
      <c r="U178" s="3"/>
      <c r="V178" s="8">
        <v>261000</v>
      </c>
    </row>
    <row r="179" spans="1:22" ht="15" customHeight="1" x14ac:dyDescent="0.25">
      <c r="A179" s="7">
        <v>178</v>
      </c>
      <c r="B179" s="3">
        <v>43545</v>
      </c>
      <c r="C179" s="2" t="s">
        <v>57</v>
      </c>
      <c r="D179" s="2" t="s">
        <v>51</v>
      </c>
      <c r="E179" s="2" t="s">
        <v>52</v>
      </c>
      <c r="F179" s="2" t="s">
        <v>106</v>
      </c>
      <c r="G179" s="3">
        <v>33868</v>
      </c>
      <c r="H179" s="2">
        <v>27</v>
      </c>
      <c r="I179" s="2" t="s">
        <v>26</v>
      </c>
      <c r="J179" s="2" t="s">
        <v>79</v>
      </c>
      <c r="K179" s="2" t="s">
        <v>91</v>
      </c>
      <c r="L179" s="2" t="s">
        <v>45</v>
      </c>
      <c r="M179" s="2" t="s">
        <v>30</v>
      </c>
      <c r="N179" s="2" t="s">
        <v>81</v>
      </c>
      <c r="O179" s="2"/>
      <c r="P179" s="2"/>
      <c r="Q179" s="2">
        <v>1</v>
      </c>
      <c r="R179" s="2"/>
      <c r="S179" s="2"/>
      <c r="T179" s="2"/>
      <c r="U179" s="3"/>
      <c r="V179" s="8">
        <v>121000</v>
      </c>
    </row>
    <row r="180" spans="1:22" ht="15" customHeight="1" x14ac:dyDescent="0.25">
      <c r="A180" s="7">
        <v>179</v>
      </c>
      <c r="B180" s="3">
        <v>43545</v>
      </c>
      <c r="C180" s="2" t="s">
        <v>32</v>
      </c>
      <c r="D180" s="2" t="s">
        <v>71</v>
      </c>
      <c r="E180" s="2" t="s">
        <v>132</v>
      </c>
      <c r="F180" s="2" t="s">
        <v>107</v>
      </c>
      <c r="G180" s="3">
        <v>33429</v>
      </c>
      <c r="H180" s="2">
        <v>29</v>
      </c>
      <c r="I180" s="2" t="s">
        <v>87</v>
      </c>
      <c r="J180" s="2" t="s">
        <v>108</v>
      </c>
      <c r="K180" s="2" t="s">
        <v>37</v>
      </c>
      <c r="L180" s="2" t="s">
        <v>45</v>
      </c>
      <c r="M180" s="2" t="s">
        <v>30</v>
      </c>
      <c r="N180" s="2" t="s">
        <v>31</v>
      </c>
      <c r="O180" s="2"/>
      <c r="P180" s="2"/>
      <c r="Q180" s="2">
        <v>1</v>
      </c>
      <c r="R180" s="2"/>
      <c r="S180" s="2"/>
      <c r="T180" s="2"/>
      <c r="U180" s="3"/>
      <c r="V180" s="8">
        <v>150000</v>
      </c>
    </row>
    <row r="181" spans="1:22" ht="15" customHeight="1" x14ac:dyDescent="0.25">
      <c r="A181" s="7">
        <v>180</v>
      </c>
      <c r="B181" s="3">
        <v>43545</v>
      </c>
      <c r="C181" s="2" t="s">
        <v>57</v>
      </c>
      <c r="D181" s="2" t="s">
        <v>51</v>
      </c>
      <c r="E181" s="2" t="s">
        <v>52</v>
      </c>
      <c r="F181" s="2" t="s">
        <v>69</v>
      </c>
      <c r="G181" s="3">
        <v>32996</v>
      </c>
      <c r="H181" s="2">
        <v>30</v>
      </c>
      <c r="I181" s="2" t="s">
        <v>26</v>
      </c>
      <c r="J181" s="2" t="s">
        <v>110</v>
      </c>
      <c r="K181" s="2" t="s">
        <v>37</v>
      </c>
      <c r="L181" s="2" t="s">
        <v>45</v>
      </c>
      <c r="M181" s="2" t="s">
        <v>30</v>
      </c>
      <c r="N181" s="2" t="s">
        <v>31</v>
      </c>
      <c r="O181" s="2"/>
      <c r="P181" s="2"/>
      <c r="Q181" s="2">
        <v>1</v>
      </c>
      <c r="R181" s="2">
        <v>1</v>
      </c>
      <c r="S181" s="2"/>
      <c r="T181" s="2"/>
      <c r="U181" s="3"/>
      <c r="V181" s="8">
        <v>261000</v>
      </c>
    </row>
    <row r="182" spans="1:22" ht="15" customHeight="1" x14ac:dyDescent="0.25">
      <c r="A182" s="7">
        <v>181</v>
      </c>
      <c r="B182" s="3">
        <v>43545</v>
      </c>
      <c r="C182" s="2" t="s">
        <v>66</v>
      </c>
      <c r="D182" s="2" t="s">
        <v>23</v>
      </c>
      <c r="E182" s="2" t="s">
        <v>24</v>
      </c>
      <c r="F182" s="2" t="s">
        <v>111</v>
      </c>
      <c r="G182" s="3">
        <v>32919</v>
      </c>
      <c r="H182" s="2">
        <v>30</v>
      </c>
      <c r="I182" s="2" t="s">
        <v>87</v>
      </c>
      <c r="J182" s="2" t="s">
        <v>50</v>
      </c>
      <c r="K182" s="2" t="s">
        <v>91</v>
      </c>
      <c r="L182" s="2" t="s">
        <v>45</v>
      </c>
      <c r="M182" s="2" t="s">
        <v>38</v>
      </c>
      <c r="N182" s="2" t="s">
        <v>39</v>
      </c>
      <c r="O182" s="2" t="s">
        <v>40</v>
      </c>
      <c r="P182" s="2" t="s">
        <v>112</v>
      </c>
      <c r="Q182" s="2">
        <v>1</v>
      </c>
      <c r="R182" s="2">
        <v>1</v>
      </c>
      <c r="S182" s="2"/>
      <c r="T182" s="2"/>
      <c r="U182" s="3"/>
      <c r="V182" s="8">
        <v>120000</v>
      </c>
    </row>
    <row r="183" spans="1:22" ht="15" customHeight="1" x14ac:dyDescent="0.25">
      <c r="A183" s="7">
        <v>182</v>
      </c>
      <c r="B183" s="3">
        <v>43546</v>
      </c>
      <c r="C183" s="2" t="s">
        <v>22</v>
      </c>
      <c r="D183" s="2" t="s">
        <v>67</v>
      </c>
      <c r="E183" s="2" t="s">
        <v>68</v>
      </c>
      <c r="F183" s="2" t="s">
        <v>115</v>
      </c>
      <c r="G183" s="3">
        <v>32589</v>
      </c>
      <c r="H183" s="2">
        <v>31</v>
      </c>
      <c r="I183" s="2" t="s">
        <v>26</v>
      </c>
      <c r="J183" s="2" t="s">
        <v>27</v>
      </c>
      <c r="K183" s="2" t="s">
        <v>37</v>
      </c>
      <c r="L183" s="2" t="s">
        <v>45</v>
      </c>
      <c r="M183" s="2" t="s">
        <v>38</v>
      </c>
      <c r="N183" s="2" t="s">
        <v>89</v>
      </c>
      <c r="O183" s="2"/>
      <c r="P183" s="2"/>
      <c r="Q183" s="2">
        <v>1</v>
      </c>
      <c r="R183" s="2"/>
      <c r="S183" s="2"/>
      <c r="T183" s="2"/>
      <c r="U183" s="3"/>
      <c r="V183" s="8">
        <v>121000</v>
      </c>
    </row>
    <row r="184" spans="1:22" ht="15" customHeight="1" x14ac:dyDescent="0.25">
      <c r="A184" s="7">
        <v>183</v>
      </c>
      <c r="B184" s="3">
        <v>43546</v>
      </c>
      <c r="C184" s="2" t="s">
        <v>22</v>
      </c>
      <c r="D184" s="2" t="s">
        <v>67</v>
      </c>
      <c r="E184" s="2" t="s">
        <v>68</v>
      </c>
      <c r="F184" s="2" t="s">
        <v>115</v>
      </c>
      <c r="G184" s="3">
        <v>32589</v>
      </c>
      <c r="H184" s="2">
        <v>31</v>
      </c>
      <c r="I184" s="2" t="s">
        <v>26</v>
      </c>
      <c r="J184" s="2" t="s">
        <v>27</v>
      </c>
      <c r="K184" s="2" t="s">
        <v>37</v>
      </c>
      <c r="L184" s="2" t="s">
        <v>45</v>
      </c>
      <c r="M184" s="2" t="s">
        <v>38</v>
      </c>
      <c r="N184" s="2" t="s">
        <v>89</v>
      </c>
      <c r="O184" s="2"/>
      <c r="P184" s="2"/>
      <c r="Q184" s="2">
        <v>1</v>
      </c>
      <c r="R184" s="2"/>
      <c r="S184" s="2"/>
      <c r="T184" s="2"/>
      <c r="U184" s="3"/>
      <c r="V184" s="8">
        <v>121000</v>
      </c>
    </row>
    <row r="185" spans="1:22" ht="15" customHeight="1" x14ac:dyDescent="0.25">
      <c r="A185" s="7">
        <v>184</v>
      </c>
      <c r="B185" s="3">
        <v>43546</v>
      </c>
      <c r="C185" s="2" t="s">
        <v>48</v>
      </c>
      <c r="D185" s="2" t="s">
        <v>67</v>
      </c>
      <c r="E185" s="2" t="s">
        <v>130</v>
      </c>
      <c r="F185" s="2" t="s">
        <v>116</v>
      </c>
      <c r="G185" s="3">
        <v>34652</v>
      </c>
      <c r="H185" s="2">
        <v>25</v>
      </c>
      <c r="I185" s="2" t="s">
        <v>26</v>
      </c>
      <c r="J185" s="2" t="s">
        <v>88</v>
      </c>
      <c r="K185" s="2" t="s">
        <v>91</v>
      </c>
      <c r="L185" s="2" t="s">
        <v>45</v>
      </c>
      <c r="M185" s="2" t="s">
        <v>38</v>
      </c>
      <c r="N185" s="2" t="s">
        <v>39</v>
      </c>
      <c r="O185" s="2" t="s">
        <v>46</v>
      </c>
      <c r="P185" s="2" t="s">
        <v>47</v>
      </c>
      <c r="Q185" s="2">
        <v>1</v>
      </c>
      <c r="R185" s="2"/>
      <c r="S185" s="2"/>
      <c r="T185" s="2"/>
      <c r="U185" s="3"/>
      <c r="V185" s="8">
        <v>120000</v>
      </c>
    </row>
    <row r="186" spans="1:22" ht="15" customHeight="1" x14ac:dyDescent="0.25">
      <c r="A186" s="7">
        <v>185</v>
      </c>
      <c r="B186" s="3">
        <v>43547</v>
      </c>
      <c r="C186" s="2" t="s">
        <v>32</v>
      </c>
      <c r="D186" s="2" t="s">
        <v>33</v>
      </c>
      <c r="E186" s="2" t="s">
        <v>129</v>
      </c>
      <c r="F186" s="2" t="s">
        <v>86</v>
      </c>
      <c r="G186" s="3">
        <v>31553</v>
      </c>
      <c r="H186" s="2">
        <v>34</v>
      </c>
      <c r="I186" s="2" t="s">
        <v>26</v>
      </c>
      <c r="J186" s="2" t="s">
        <v>27</v>
      </c>
      <c r="K186" s="2" t="s">
        <v>91</v>
      </c>
      <c r="L186" s="2" t="s">
        <v>45</v>
      </c>
      <c r="M186" s="2" t="s">
        <v>30</v>
      </c>
      <c r="N186" s="2" t="s">
        <v>81</v>
      </c>
      <c r="O186" s="2"/>
      <c r="P186" s="2"/>
      <c r="Q186" s="2">
        <v>1</v>
      </c>
      <c r="R186" s="2"/>
      <c r="S186" s="2"/>
      <c r="T186" s="2"/>
      <c r="U186" s="3"/>
      <c r="V186" s="8">
        <v>645000</v>
      </c>
    </row>
    <row r="187" spans="1:22" ht="15" customHeight="1" x14ac:dyDescent="0.25">
      <c r="A187" s="7">
        <v>186</v>
      </c>
      <c r="B187" s="3">
        <v>43548</v>
      </c>
      <c r="C187" s="2" t="s">
        <v>32</v>
      </c>
      <c r="D187" s="2" t="s">
        <v>42</v>
      </c>
      <c r="E187" s="2" t="s">
        <v>43</v>
      </c>
      <c r="F187" s="2" t="s">
        <v>96</v>
      </c>
      <c r="G187" s="3">
        <v>33409</v>
      </c>
      <c r="H187" s="2">
        <v>29</v>
      </c>
      <c r="I187" s="2" t="s">
        <v>26</v>
      </c>
      <c r="J187" s="2" t="s">
        <v>110</v>
      </c>
      <c r="K187" s="2" t="s">
        <v>28</v>
      </c>
      <c r="L187" s="2" t="s">
        <v>114</v>
      </c>
      <c r="M187" s="2" t="s">
        <v>30</v>
      </c>
      <c r="N187" s="2" t="s">
        <v>81</v>
      </c>
      <c r="O187" s="2"/>
      <c r="P187" s="2"/>
      <c r="Q187" s="2">
        <v>1</v>
      </c>
      <c r="R187" s="2"/>
      <c r="S187" s="2"/>
      <c r="T187" s="2"/>
      <c r="U187" s="3"/>
      <c r="V187" s="8">
        <v>522000</v>
      </c>
    </row>
    <row r="188" spans="1:22" ht="15" customHeight="1" x14ac:dyDescent="0.25">
      <c r="A188" s="7">
        <v>187</v>
      </c>
      <c r="B188" s="3">
        <v>43539</v>
      </c>
      <c r="C188" s="2" t="s">
        <v>57</v>
      </c>
      <c r="D188" s="2" t="s">
        <v>67</v>
      </c>
      <c r="E188" s="2" t="s">
        <v>68</v>
      </c>
      <c r="F188" s="2" t="s">
        <v>80</v>
      </c>
      <c r="G188" s="3">
        <v>33016</v>
      </c>
      <c r="H188" s="2">
        <v>30</v>
      </c>
      <c r="I188" s="2" t="s">
        <v>26</v>
      </c>
      <c r="J188" s="2" t="s">
        <v>61</v>
      </c>
      <c r="K188" s="2" t="s">
        <v>28</v>
      </c>
      <c r="L188" s="2" t="s">
        <v>92</v>
      </c>
      <c r="M188" s="2" t="s">
        <v>38</v>
      </c>
      <c r="N188" s="2" t="s">
        <v>39</v>
      </c>
      <c r="O188" s="2" t="s">
        <v>40</v>
      </c>
      <c r="P188" s="2" t="s">
        <v>41</v>
      </c>
      <c r="Q188" s="2">
        <v>1</v>
      </c>
      <c r="R188" s="2">
        <v>1</v>
      </c>
      <c r="S188" s="2">
        <v>1</v>
      </c>
      <c r="T188" s="2">
        <v>1</v>
      </c>
      <c r="U188" s="3">
        <v>43551</v>
      </c>
      <c r="V188" s="8"/>
    </row>
    <row r="189" spans="1:22" ht="15" customHeight="1" x14ac:dyDescent="0.25">
      <c r="A189" s="7">
        <v>188</v>
      </c>
      <c r="B189" s="3">
        <v>43556</v>
      </c>
      <c r="C189" s="2" t="s">
        <v>48</v>
      </c>
      <c r="D189" s="2" t="s">
        <v>67</v>
      </c>
      <c r="E189" s="2" t="s">
        <v>130</v>
      </c>
      <c r="F189" s="2" t="s">
        <v>25</v>
      </c>
      <c r="G189" s="3">
        <v>33409</v>
      </c>
      <c r="H189" s="2">
        <v>29</v>
      </c>
      <c r="I189" s="2" t="s">
        <v>26</v>
      </c>
      <c r="J189" s="2" t="s">
        <v>27</v>
      </c>
      <c r="K189" s="2" t="s">
        <v>28</v>
      </c>
      <c r="L189" s="2" t="s">
        <v>29</v>
      </c>
      <c r="M189" s="2" t="s">
        <v>30</v>
      </c>
      <c r="N189" s="2" t="s">
        <v>31</v>
      </c>
      <c r="O189" s="2"/>
      <c r="P189" s="2"/>
      <c r="Q189" s="2">
        <v>1</v>
      </c>
      <c r="R189" s="2"/>
      <c r="S189" s="2"/>
      <c r="T189" s="2"/>
      <c r="U189" s="3"/>
      <c r="V189" s="8"/>
    </row>
    <row r="190" spans="1:22" ht="15" customHeight="1" x14ac:dyDescent="0.25">
      <c r="A190" s="7">
        <v>189</v>
      </c>
      <c r="B190" s="3">
        <v>43556</v>
      </c>
      <c r="C190" s="2" t="s">
        <v>32</v>
      </c>
      <c r="D190" s="2" t="s">
        <v>33</v>
      </c>
      <c r="E190" s="2" t="s">
        <v>129</v>
      </c>
      <c r="F190" s="2" t="s">
        <v>35</v>
      </c>
      <c r="G190" s="3">
        <v>33016</v>
      </c>
      <c r="H190" s="2">
        <v>30</v>
      </c>
      <c r="I190" s="2" t="s">
        <v>26</v>
      </c>
      <c r="J190" s="2" t="s">
        <v>36</v>
      </c>
      <c r="K190" s="2" t="s">
        <v>37</v>
      </c>
      <c r="L190" s="2" t="s">
        <v>29</v>
      </c>
      <c r="M190" s="2" t="s">
        <v>38</v>
      </c>
      <c r="N190" s="2" t="s">
        <v>39</v>
      </c>
      <c r="O190" s="2" t="s">
        <v>40</v>
      </c>
      <c r="P190" s="2" t="s">
        <v>41</v>
      </c>
      <c r="Q190" s="2">
        <v>1</v>
      </c>
      <c r="R190" s="2"/>
      <c r="S190" s="2"/>
      <c r="T190" s="2"/>
      <c r="U190" s="3"/>
      <c r="V190" s="8"/>
    </row>
    <row r="191" spans="1:22" ht="15" customHeight="1" x14ac:dyDescent="0.25">
      <c r="A191" s="7">
        <v>190</v>
      </c>
      <c r="B191" s="3">
        <v>43557</v>
      </c>
      <c r="C191" s="2" t="s">
        <v>32</v>
      </c>
      <c r="D191" s="2" t="s">
        <v>133</v>
      </c>
      <c r="E191" s="2" t="s">
        <v>134</v>
      </c>
      <c r="F191" s="2" t="s">
        <v>44</v>
      </c>
      <c r="G191" s="3">
        <v>33327</v>
      </c>
      <c r="H191" s="2">
        <v>29</v>
      </c>
      <c r="I191" s="2" t="s">
        <v>26</v>
      </c>
      <c r="J191" s="2" t="s">
        <v>27</v>
      </c>
      <c r="K191" s="2" t="s">
        <v>37</v>
      </c>
      <c r="L191" s="2" t="s">
        <v>45</v>
      </c>
      <c r="M191" s="2" t="s">
        <v>38</v>
      </c>
      <c r="N191" s="2" t="s">
        <v>39</v>
      </c>
      <c r="O191" s="2" t="s">
        <v>40</v>
      </c>
      <c r="P191" s="2" t="s">
        <v>41</v>
      </c>
      <c r="Q191" s="2">
        <v>1</v>
      </c>
      <c r="R191" s="2">
        <v>1</v>
      </c>
      <c r="S191" s="2">
        <v>1</v>
      </c>
      <c r="T191" s="2">
        <v>1</v>
      </c>
      <c r="U191" s="3">
        <v>43563</v>
      </c>
      <c r="V191" s="8">
        <v>21000</v>
      </c>
    </row>
    <row r="192" spans="1:22" ht="15" customHeight="1" x14ac:dyDescent="0.25">
      <c r="A192" s="7">
        <v>191</v>
      </c>
      <c r="B192" s="3">
        <v>43557</v>
      </c>
      <c r="C192" s="2" t="s">
        <v>22</v>
      </c>
      <c r="D192" s="2" t="s">
        <v>23</v>
      </c>
      <c r="E192" s="2" t="s">
        <v>24</v>
      </c>
      <c r="F192" s="2" t="s">
        <v>49</v>
      </c>
      <c r="G192" s="3">
        <v>32996</v>
      </c>
      <c r="H192" s="2">
        <v>30</v>
      </c>
      <c r="I192" s="2" t="s">
        <v>26</v>
      </c>
      <c r="J192" s="2" t="s">
        <v>50</v>
      </c>
      <c r="K192" s="2" t="s">
        <v>37</v>
      </c>
      <c r="L192" s="2" t="s">
        <v>45</v>
      </c>
      <c r="M192" s="2" t="s">
        <v>38</v>
      </c>
      <c r="N192" s="2" t="s">
        <v>39</v>
      </c>
      <c r="O192" s="2" t="s">
        <v>46</v>
      </c>
      <c r="P192" s="2" t="s">
        <v>47</v>
      </c>
      <c r="Q192" s="2">
        <v>1</v>
      </c>
      <c r="R192" s="2">
        <v>1</v>
      </c>
      <c r="S192" s="2">
        <v>1</v>
      </c>
      <c r="T192" s="2">
        <v>1</v>
      </c>
      <c r="U192" s="3">
        <v>43575</v>
      </c>
      <c r="V192" s="8">
        <v>300000</v>
      </c>
    </row>
    <row r="193" spans="1:22" ht="15" customHeight="1" x14ac:dyDescent="0.25">
      <c r="A193" s="7">
        <v>192</v>
      </c>
      <c r="B193" s="3">
        <v>43557</v>
      </c>
      <c r="C193" s="2" t="s">
        <v>32</v>
      </c>
      <c r="D193" s="2" t="s">
        <v>133</v>
      </c>
      <c r="E193" s="2" t="s">
        <v>134</v>
      </c>
      <c r="F193" s="2" t="s">
        <v>44</v>
      </c>
      <c r="G193" s="3">
        <v>33327</v>
      </c>
      <c r="H193" s="2">
        <v>29</v>
      </c>
      <c r="I193" s="2" t="s">
        <v>26</v>
      </c>
      <c r="J193" s="2" t="s">
        <v>27</v>
      </c>
      <c r="K193" s="2" t="s">
        <v>37</v>
      </c>
      <c r="L193" s="2" t="s">
        <v>45</v>
      </c>
      <c r="M193" s="2" t="s">
        <v>38</v>
      </c>
      <c r="N193" s="2" t="s">
        <v>39</v>
      </c>
      <c r="O193" s="2" t="s">
        <v>40</v>
      </c>
      <c r="P193" s="2" t="s">
        <v>41</v>
      </c>
      <c r="Q193" s="2">
        <v>1</v>
      </c>
      <c r="R193" s="2">
        <v>1</v>
      </c>
      <c r="S193" s="2">
        <v>1</v>
      </c>
      <c r="T193" s="2">
        <v>1</v>
      </c>
      <c r="U193" s="3">
        <v>43563</v>
      </c>
      <c r="V193" s="8">
        <v>21000</v>
      </c>
    </row>
    <row r="194" spans="1:22" ht="15" customHeight="1" x14ac:dyDescent="0.25">
      <c r="A194" s="7">
        <v>193</v>
      </c>
      <c r="B194" s="3">
        <v>43557</v>
      </c>
      <c r="C194" s="2" t="s">
        <v>22</v>
      </c>
      <c r="D194" s="2" t="s">
        <v>23</v>
      </c>
      <c r="E194" s="2" t="s">
        <v>24</v>
      </c>
      <c r="F194" s="2" t="s">
        <v>49</v>
      </c>
      <c r="G194" s="3">
        <v>32996</v>
      </c>
      <c r="H194" s="2">
        <v>30</v>
      </c>
      <c r="I194" s="2" t="s">
        <v>26</v>
      </c>
      <c r="J194" s="2" t="s">
        <v>50</v>
      </c>
      <c r="K194" s="2" t="s">
        <v>37</v>
      </c>
      <c r="L194" s="2" t="s">
        <v>45</v>
      </c>
      <c r="M194" s="2" t="s">
        <v>38</v>
      </c>
      <c r="N194" s="2" t="s">
        <v>39</v>
      </c>
      <c r="O194" s="2" t="s">
        <v>46</v>
      </c>
      <c r="P194" s="2" t="s">
        <v>47</v>
      </c>
      <c r="Q194" s="2">
        <v>1</v>
      </c>
      <c r="R194" s="2">
        <v>1</v>
      </c>
      <c r="S194" s="2">
        <v>1</v>
      </c>
      <c r="T194" s="2">
        <v>1</v>
      </c>
      <c r="U194" s="3">
        <v>43575</v>
      </c>
      <c r="V194" s="8">
        <v>300000</v>
      </c>
    </row>
    <row r="195" spans="1:22" ht="15" customHeight="1" x14ac:dyDescent="0.25">
      <c r="A195" s="7">
        <v>194</v>
      </c>
      <c r="B195" s="3">
        <v>43558</v>
      </c>
      <c r="C195" s="2" t="s">
        <v>57</v>
      </c>
      <c r="D195" s="2" t="s">
        <v>23</v>
      </c>
      <c r="E195" s="2" t="s">
        <v>24</v>
      </c>
      <c r="F195" s="2" t="s">
        <v>53</v>
      </c>
      <c r="G195" s="3">
        <v>33041</v>
      </c>
      <c r="H195" s="2">
        <v>30</v>
      </c>
      <c r="I195" s="2" t="s">
        <v>26</v>
      </c>
      <c r="J195" s="2" t="s">
        <v>50</v>
      </c>
      <c r="K195" s="2" t="s">
        <v>37</v>
      </c>
      <c r="L195" s="2" t="s">
        <v>45</v>
      </c>
      <c r="M195" s="2" t="s">
        <v>38</v>
      </c>
      <c r="N195" s="2" t="s">
        <v>39</v>
      </c>
      <c r="O195" s="2" t="s">
        <v>46</v>
      </c>
      <c r="P195" s="2" t="s">
        <v>47</v>
      </c>
      <c r="Q195" s="2">
        <v>1</v>
      </c>
      <c r="R195" s="2">
        <v>1</v>
      </c>
      <c r="S195" s="2"/>
      <c r="T195" s="2"/>
      <c r="U195" s="3"/>
      <c r="V195" s="8">
        <v>300000</v>
      </c>
    </row>
    <row r="196" spans="1:22" ht="15" customHeight="1" x14ac:dyDescent="0.25">
      <c r="A196" s="7">
        <v>195</v>
      </c>
      <c r="B196" s="3">
        <v>43559</v>
      </c>
      <c r="C196" s="2" t="s">
        <v>66</v>
      </c>
      <c r="D196" s="2" t="s">
        <v>51</v>
      </c>
      <c r="E196" s="2" t="s">
        <v>59</v>
      </c>
      <c r="F196" s="2" t="s">
        <v>58</v>
      </c>
      <c r="G196" s="3">
        <v>33144</v>
      </c>
      <c r="H196" s="2">
        <v>29</v>
      </c>
      <c r="I196" s="2" t="s">
        <v>26</v>
      </c>
      <c r="J196" s="2" t="s">
        <v>50</v>
      </c>
      <c r="K196" s="2" t="s">
        <v>28</v>
      </c>
      <c r="L196" s="2" t="s">
        <v>45</v>
      </c>
      <c r="M196" s="2" t="s">
        <v>38</v>
      </c>
      <c r="N196" s="2" t="s">
        <v>89</v>
      </c>
      <c r="O196" s="2"/>
      <c r="P196" s="2"/>
      <c r="Q196" s="2">
        <v>1</v>
      </c>
      <c r="R196" s="2"/>
      <c r="S196" s="2"/>
      <c r="T196" s="2"/>
      <c r="U196" s="3"/>
      <c r="V196" s="8"/>
    </row>
    <row r="197" spans="1:22" ht="15" customHeight="1" x14ac:dyDescent="0.25">
      <c r="A197" s="7">
        <v>196</v>
      </c>
      <c r="B197" s="3">
        <v>43559</v>
      </c>
      <c r="C197" s="2" t="s">
        <v>66</v>
      </c>
      <c r="D197" s="2" t="s">
        <v>51</v>
      </c>
      <c r="E197" s="2" t="s">
        <v>59</v>
      </c>
      <c r="F197" s="2" t="s">
        <v>54</v>
      </c>
      <c r="G197" s="3">
        <v>33132</v>
      </c>
      <c r="H197" s="2">
        <v>29</v>
      </c>
      <c r="I197" s="2" t="s">
        <v>26</v>
      </c>
      <c r="J197" s="2" t="s">
        <v>27</v>
      </c>
      <c r="K197" s="2" t="s">
        <v>37</v>
      </c>
      <c r="L197" s="2" t="s">
        <v>55</v>
      </c>
      <c r="M197" s="2" t="s">
        <v>38</v>
      </c>
      <c r="N197" s="2" t="s">
        <v>56</v>
      </c>
      <c r="O197" s="2"/>
      <c r="P197" s="2"/>
      <c r="Q197" s="2">
        <v>1</v>
      </c>
      <c r="R197" s="2"/>
      <c r="S197" s="2"/>
      <c r="T197" s="2"/>
      <c r="U197" s="3"/>
      <c r="V197" s="8">
        <v>45000</v>
      </c>
    </row>
    <row r="198" spans="1:22" ht="15" customHeight="1" x14ac:dyDescent="0.25">
      <c r="A198" s="7">
        <v>197</v>
      </c>
      <c r="B198" s="3">
        <v>43560</v>
      </c>
      <c r="C198" s="2" t="s">
        <v>32</v>
      </c>
      <c r="D198" s="2" t="s">
        <v>33</v>
      </c>
      <c r="E198" s="2" t="s">
        <v>129</v>
      </c>
      <c r="F198" s="2" t="s">
        <v>60</v>
      </c>
      <c r="G198" s="3">
        <v>32919</v>
      </c>
      <c r="H198" s="2">
        <v>30</v>
      </c>
      <c r="I198" s="2" t="s">
        <v>26</v>
      </c>
      <c r="J198" s="2" t="s">
        <v>61</v>
      </c>
      <c r="K198" s="2" t="s">
        <v>37</v>
      </c>
      <c r="L198" s="2" t="s">
        <v>62</v>
      </c>
      <c r="M198" s="2" t="s">
        <v>38</v>
      </c>
      <c r="N198" s="2" t="s">
        <v>39</v>
      </c>
      <c r="O198" s="2" t="s">
        <v>46</v>
      </c>
      <c r="P198" s="2" t="s">
        <v>47</v>
      </c>
      <c r="Q198" s="2">
        <v>1</v>
      </c>
      <c r="R198" s="2"/>
      <c r="S198" s="2"/>
      <c r="T198" s="2"/>
      <c r="U198" s="3"/>
      <c r="V198" s="8">
        <v>300000</v>
      </c>
    </row>
    <row r="199" spans="1:22" ht="15" customHeight="1" x14ac:dyDescent="0.25">
      <c r="A199" s="7">
        <v>198</v>
      </c>
      <c r="B199" s="3">
        <v>43561</v>
      </c>
      <c r="C199" s="2" t="s">
        <v>32</v>
      </c>
      <c r="D199" s="2" t="s">
        <v>133</v>
      </c>
      <c r="E199" s="2" t="s">
        <v>134</v>
      </c>
      <c r="F199" s="2" t="s">
        <v>69</v>
      </c>
      <c r="G199" s="3">
        <v>32589</v>
      </c>
      <c r="H199" s="2">
        <v>31</v>
      </c>
      <c r="I199" s="2" t="s">
        <v>26</v>
      </c>
      <c r="J199" s="2" t="s">
        <v>70</v>
      </c>
      <c r="K199" s="2" t="s">
        <v>28</v>
      </c>
      <c r="L199" s="2" t="s">
        <v>45</v>
      </c>
      <c r="M199" s="2" t="s">
        <v>38</v>
      </c>
      <c r="N199" s="2" t="s">
        <v>39</v>
      </c>
      <c r="O199" s="2" t="s">
        <v>46</v>
      </c>
      <c r="P199" s="2" t="s">
        <v>47</v>
      </c>
      <c r="Q199" s="2">
        <v>1</v>
      </c>
      <c r="R199" s="2">
        <v>1</v>
      </c>
      <c r="S199" s="2"/>
      <c r="T199" s="2"/>
      <c r="U199" s="3"/>
      <c r="V199" s="8">
        <v>300000</v>
      </c>
    </row>
    <row r="200" spans="1:22" ht="15" customHeight="1" x14ac:dyDescent="0.25">
      <c r="A200" s="7">
        <v>199</v>
      </c>
      <c r="B200" s="3">
        <v>43561</v>
      </c>
      <c r="C200" s="2" t="s">
        <v>57</v>
      </c>
      <c r="D200" s="2" t="s">
        <v>67</v>
      </c>
      <c r="E200" s="2" t="s">
        <v>68</v>
      </c>
      <c r="F200" s="2" t="s">
        <v>65</v>
      </c>
      <c r="G200" s="3">
        <v>34195</v>
      </c>
      <c r="H200" s="2">
        <v>27</v>
      </c>
      <c r="I200" s="2" t="s">
        <v>26</v>
      </c>
      <c r="J200" s="2" t="s">
        <v>27</v>
      </c>
      <c r="K200" s="2" t="s">
        <v>37</v>
      </c>
      <c r="L200" s="2" t="s">
        <v>45</v>
      </c>
      <c r="M200" s="2" t="s">
        <v>38</v>
      </c>
      <c r="N200" s="2" t="s">
        <v>39</v>
      </c>
      <c r="O200" s="2" t="s">
        <v>46</v>
      </c>
      <c r="P200" s="2" t="s">
        <v>135</v>
      </c>
      <c r="Q200" s="2">
        <v>1</v>
      </c>
      <c r="R200" s="2">
        <v>1</v>
      </c>
      <c r="S200" s="2"/>
      <c r="T200" s="2"/>
      <c r="U200" s="3"/>
      <c r="V200" s="8">
        <v>200000</v>
      </c>
    </row>
    <row r="201" spans="1:22" ht="15" customHeight="1" x14ac:dyDescent="0.25">
      <c r="A201" s="7">
        <v>200</v>
      </c>
      <c r="B201" s="3">
        <v>43563</v>
      </c>
      <c r="C201" s="2" t="s">
        <v>48</v>
      </c>
      <c r="D201" s="2" t="s">
        <v>67</v>
      </c>
      <c r="E201" s="2" t="s">
        <v>130</v>
      </c>
      <c r="F201" s="2" t="s">
        <v>143</v>
      </c>
      <c r="G201" s="3">
        <v>33476</v>
      </c>
      <c r="H201" s="2">
        <v>29</v>
      </c>
      <c r="I201" s="2" t="s">
        <v>26</v>
      </c>
      <c r="J201" s="2" t="s">
        <v>73</v>
      </c>
      <c r="K201" s="2" t="s">
        <v>37</v>
      </c>
      <c r="L201" s="2" t="s">
        <v>45</v>
      </c>
      <c r="M201" s="2" t="s">
        <v>38</v>
      </c>
      <c r="N201" s="2" t="s">
        <v>39</v>
      </c>
      <c r="O201" s="2" t="s">
        <v>46</v>
      </c>
      <c r="P201" s="2" t="s">
        <v>135</v>
      </c>
      <c r="Q201" s="2">
        <v>1</v>
      </c>
      <c r="R201" s="2">
        <v>1</v>
      </c>
      <c r="S201" s="2">
        <v>1</v>
      </c>
      <c r="T201" s="2"/>
      <c r="U201" s="3"/>
      <c r="V201" s="8">
        <v>200000</v>
      </c>
    </row>
    <row r="202" spans="1:22" ht="15" customHeight="1" x14ac:dyDescent="0.25">
      <c r="A202" s="7">
        <v>201</v>
      </c>
      <c r="B202" s="3">
        <v>43563</v>
      </c>
      <c r="C202" s="2" t="s">
        <v>48</v>
      </c>
      <c r="D202" s="2" t="s">
        <v>67</v>
      </c>
      <c r="E202" s="2" t="s">
        <v>130</v>
      </c>
      <c r="F202" s="2" t="s">
        <v>72</v>
      </c>
      <c r="G202" s="3">
        <v>33476</v>
      </c>
      <c r="H202" s="2">
        <v>29</v>
      </c>
      <c r="I202" s="2" t="s">
        <v>26</v>
      </c>
      <c r="J202" s="2" t="s">
        <v>73</v>
      </c>
      <c r="K202" s="2" t="s">
        <v>37</v>
      </c>
      <c r="L202" s="2" t="s">
        <v>45</v>
      </c>
      <c r="M202" s="2" t="s">
        <v>38</v>
      </c>
      <c r="N202" s="2" t="s">
        <v>39</v>
      </c>
      <c r="O202" s="2" t="s">
        <v>46</v>
      </c>
      <c r="P202" s="2" t="s">
        <v>135</v>
      </c>
      <c r="Q202" s="2">
        <v>1</v>
      </c>
      <c r="R202" s="2">
        <v>1</v>
      </c>
      <c r="S202" s="2">
        <v>1</v>
      </c>
      <c r="T202" s="2"/>
      <c r="U202" s="3"/>
      <c r="V202" s="8">
        <v>200000</v>
      </c>
    </row>
    <row r="203" spans="1:22" ht="15" customHeight="1" x14ac:dyDescent="0.25">
      <c r="A203" s="7">
        <v>202</v>
      </c>
      <c r="B203" s="3">
        <v>43564</v>
      </c>
      <c r="C203" s="2" t="s">
        <v>57</v>
      </c>
      <c r="D203" s="2" t="s">
        <v>51</v>
      </c>
      <c r="E203" s="2" t="s">
        <v>52</v>
      </c>
      <c r="F203" s="2" t="s">
        <v>122</v>
      </c>
      <c r="G203" s="3">
        <v>33041</v>
      </c>
      <c r="H203" s="2">
        <v>30</v>
      </c>
      <c r="I203" s="2" t="s">
        <v>26</v>
      </c>
      <c r="J203" s="2" t="s">
        <v>27</v>
      </c>
      <c r="K203" s="2" t="s">
        <v>37</v>
      </c>
      <c r="L203" s="2" t="s">
        <v>92</v>
      </c>
      <c r="M203" s="2" t="s">
        <v>38</v>
      </c>
      <c r="N203" s="2" t="s">
        <v>39</v>
      </c>
      <c r="O203" s="2" t="s">
        <v>40</v>
      </c>
      <c r="P203" s="2" t="s">
        <v>84</v>
      </c>
      <c r="Q203" s="2">
        <v>1</v>
      </c>
      <c r="R203" s="2"/>
      <c r="S203" s="2"/>
      <c r="T203" s="2"/>
      <c r="U203" s="3"/>
      <c r="V203" s="8">
        <v>300000</v>
      </c>
    </row>
    <row r="204" spans="1:22" ht="15" customHeight="1" x14ac:dyDescent="0.25">
      <c r="A204" s="7">
        <v>203</v>
      </c>
      <c r="B204" s="3">
        <v>43564</v>
      </c>
      <c r="C204" s="2" t="s">
        <v>57</v>
      </c>
      <c r="D204" s="2" t="s">
        <v>23</v>
      </c>
      <c r="E204" s="2" t="s">
        <v>24</v>
      </c>
      <c r="F204" s="2" t="s">
        <v>74</v>
      </c>
      <c r="G204" s="3">
        <v>32558</v>
      </c>
      <c r="H204" s="2">
        <v>31</v>
      </c>
      <c r="I204" s="2" t="s">
        <v>26</v>
      </c>
      <c r="J204" s="2" t="s">
        <v>75</v>
      </c>
      <c r="K204" s="2" t="s">
        <v>37</v>
      </c>
      <c r="L204" s="2" t="s">
        <v>76</v>
      </c>
      <c r="M204" s="2" t="s">
        <v>38</v>
      </c>
      <c r="N204" s="2" t="s">
        <v>39</v>
      </c>
      <c r="O204" s="2" t="s">
        <v>40</v>
      </c>
      <c r="P204" s="2" t="s">
        <v>77</v>
      </c>
      <c r="Q204" s="2">
        <v>1</v>
      </c>
      <c r="R204" s="2">
        <v>1</v>
      </c>
      <c r="S204" s="2">
        <v>1</v>
      </c>
      <c r="T204" s="2">
        <v>1</v>
      </c>
      <c r="U204" s="3">
        <v>43567</v>
      </c>
      <c r="V204" s="8"/>
    </row>
    <row r="205" spans="1:22" ht="15" customHeight="1" x14ac:dyDescent="0.25">
      <c r="A205" s="7">
        <v>204</v>
      </c>
      <c r="B205" s="3">
        <v>43565</v>
      </c>
      <c r="C205" s="2" t="s">
        <v>22</v>
      </c>
      <c r="D205" s="2" t="s">
        <v>23</v>
      </c>
      <c r="E205" s="2" t="s">
        <v>24</v>
      </c>
      <c r="F205" s="2" t="s">
        <v>78</v>
      </c>
      <c r="G205" s="3">
        <v>33573</v>
      </c>
      <c r="H205" s="2">
        <v>28</v>
      </c>
      <c r="I205" s="2" t="s">
        <v>26</v>
      </c>
      <c r="J205" s="2" t="s">
        <v>79</v>
      </c>
      <c r="K205" s="2" t="s">
        <v>37</v>
      </c>
      <c r="L205" s="2" t="s">
        <v>45</v>
      </c>
      <c r="M205" s="2" t="s">
        <v>38</v>
      </c>
      <c r="N205" s="2" t="s">
        <v>39</v>
      </c>
      <c r="O205" s="2" t="s">
        <v>46</v>
      </c>
      <c r="P205" s="2" t="s">
        <v>47</v>
      </c>
      <c r="Q205" s="2">
        <v>1</v>
      </c>
      <c r="R205" s="2">
        <v>1</v>
      </c>
      <c r="S205" s="2"/>
      <c r="T205" s="2"/>
      <c r="U205" s="3"/>
      <c r="V205" s="8">
        <v>300000</v>
      </c>
    </row>
    <row r="206" spans="1:22" ht="15" customHeight="1" x14ac:dyDescent="0.25">
      <c r="A206" s="7">
        <v>205</v>
      </c>
      <c r="B206" s="3">
        <v>43566</v>
      </c>
      <c r="C206" s="2" t="s">
        <v>57</v>
      </c>
      <c r="D206" s="2" t="s">
        <v>67</v>
      </c>
      <c r="E206" s="2" t="s">
        <v>68</v>
      </c>
      <c r="F206" s="2" t="s">
        <v>80</v>
      </c>
      <c r="G206" s="3">
        <v>33088</v>
      </c>
      <c r="H206" s="2">
        <v>30</v>
      </c>
      <c r="I206" s="2" t="s">
        <v>26</v>
      </c>
      <c r="J206" s="2" t="s">
        <v>75</v>
      </c>
      <c r="K206" s="2" t="s">
        <v>37</v>
      </c>
      <c r="L206" s="2" t="s">
        <v>45</v>
      </c>
      <c r="M206" s="2" t="s">
        <v>30</v>
      </c>
      <c r="N206" s="2" t="s">
        <v>81</v>
      </c>
      <c r="O206" s="2"/>
      <c r="P206" s="2"/>
      <c r="Q206" s="2">
        <v>1</v>
      </c>
      <c r="R206" s="2"/>
      <c r="S206" s="2"/>
      <c r="T206" s="2"/>
      <c r="U206" s="3"/>
      <c r="V206" s="8"/>
    </row>
    <row r="207" spans="1:22" ht="15" customHeight="1" x14ac:dyDescent="0.25">
      <c r="A207" s="7">
        <v>206</v>
      </c>
      <c r="B207" s="3">
        <v>43567</v>
      </c>
      <c r="C207" s="2" t="s">
        <v>57</v>
      </c>
      <c r="D207" s="2" t="s">
        <v>51</v>
      </c>
      <c r="E207" s="2" t="s">
        <v>52</v>
      </c>
      <c r="F207" s="2" t="s">
        <v>82</v>
      </c>
      <c r="G207" s="3">
        <v>33594</v>
      </c>
      <c r="H207" s="2">
        <v>28</v>
      </c>
      <c r="I207" s="2" t="s">
        <v>26</v>
      </c>
      <c r="J207" s="2" t="s">
        <v>83</v>
      </c>
      <c r="K207" s="2" t="s">
        <v>37</v>
      </c>
      <c r="L207" s="2" t="s">
        <v>45</v>
      </c>
      <c r="M207" s="2" t="s">
        <v>38</v>
      </c>
      <c r="N207" s="2" t="s">
        <v>63</v>
      </c>
      <c r="O207" s="2" t="s">
        <v>64</v>
      </c>
      <c r="P207" s="2"/>
      <c r="Q207" s="2">
        <v>1</v>
      </c>
      <c r="R207" s="2">
        <v>1</v>
      </c>
      <c r="S207" s="2">
        <v>1</v>
      </c>
      <c r="T207" s="2">
        <v>1</v>
      </c>
      <c r="U207" s="3">
        <v>43567</v>
      </c>
      <c r="V207" s="8">
        <v>150000</v>
      </c>
    </row>
    <row r="208" spans="1:22" ht="15" customHeight="1" x14ac:dyDescent="0.25">
      <c r="A208" s="7">
        <v>207</v>
      </c>
      <c r="B208" s="3">
        <v>43568</v>
      </c>
      <c r="C208" s="2" t="s">
        <v>57</v>
      </c>
      <c r="D208" s="2" t="s">
        <v>23</v>
      </c>
      <c r="E208" s="2" t="s">
        <v>24</v>
      </c>
      <c r="F208" s="2" t="s">
        <v>117</v>
      </c>
      <c r="G208" s="3">
        <v>34021</v>
      </c>
      <c r="H208" s="2">
        <v>27</v>
      </c>
      <c r="I208" s="2" t="s">
        <v>26</v>
      </c>
      <c r="J208" s="2" t="s">
        <v>27</v>
      </c>
      <c r="K208" s="2" t="s">
        <v>28</v>
      </c>
      <c r="L208" s="2" t="s">
        <v>45</v>
      </c>
      <c r="M208" s="2" t="s">
        <v>38</v>
      </c>
      <c r="N208" s="2" t="s">
        <v>39</v>
      </c>
      <c r="O208" s="2" t="s">
        <v>46</v>
      </c>
      <c r="P208" s="2" t="s">
        <v>118</v>
      </c>
      <c r="Q208" s="2">
        <v>1</v>
      </c>
      <c r="R208" s="2">
        <v>1</v>
      </c>
      <c r="S208" s="2">
        <v>1</v>
      </c>
      <c r="T208" s="2">
        <v>1</v>
      </c>
      <c r="U208" s="3">
        <v>43564</v>
      </c>
      <c r="V208" s="8">
        <v>150000</v>
      </c>
    </row>
    <row r="209" spans="1:22" ht="15" customHeight="1" x14ac:dyDescent="0.25">
      <c r="A209" s="7">
        <v>208</v>
      </c>
      <c r="B209" s="3">
        <v>43570</v>
      </c>
      <c r="C209" s="2" t="s">
        <v>57</v>
      </c>
      <c r="D209" s="2" t="s">
        <v>67</v>
      </c>
      <c r="E209" s="2" t="s">
        <v>68</v>
      </c>
      <c r="F209" s="2" t="s">
        <v>121</v>
      </c>
      <c r="G209" s="3">
        <v>33041</v>
      </c>
      <c r="H209" s="2">
        <v>30</v>
      </c>
      <c r="I209" s="2" t="s">
        <v>26</v>
      </c>
      <c r="J209" s="2" t="s">
        <v>70</v>
      </c>
      <c r="K209" s="2" t="s">
        <v>91</v>
      </c>
      <c r="L209" s="2" t="s">
        <v>45</v>
      </c>
      <c r="M209" s="2" t="s">
        <v>30</v>
      </c>
      <c r="N209" s="2" t="s">
        <v>81</v>
      </c>
      <c r="O209" s="2"/>
      <c r="P209" s="2"/>
      <c r="Q209" s="2">
        <v>1</v>
      </c>
      <c r="R209" s="2">
        <v>1</v>
      </c>
      <c r="S209" s="2"/>
      <c r="T209" s="2"/>
      <c r="U209" s="3"/>
      <c r="V209" s="8"/>
    </row>
    <row r="210" spans="1:22" ht="15" customHeight="1" x14ac:dyDescent="0.25">
      <c r="A210" s="7">
        <v>209</v>
      </c>
      <c r="B210" s="3">
        <v>43570</v>
      </c>
      <c r="C210" s="2" t="s">
        <v>48</v>
      </c>
      <c r="D210" s="2" t="s">
        <v>67</v>
      </c>
      <c r="E210" s="2" t="s">
        <v>130</v>
      </c>
      <c r="F210" s="2" t="s">
        <v>119</v>
      </c>
      <c r="G210" s="3">
        <v>34295</v>
      </c>
      <c r="H210" s="2">
        <v>26</v>
      </c>
      <c r="I210" s="2" t="s">
        <v>26</v>
      </c>
      <c r="J210" s="2" t="s">
        <v>27</v>
      </c>
      <c r="K210" s="2" t="s">
        <v>37</v>
      </c>
      <c r="L210" s="2" t="s">
        <v>45</v>
      </c>
      <c r="M210" s="2" t="s">
        <v>38</v>
      </c>
      <c r="N210" s="2" t="s">
        <v>56</v>
      </c>
      <c r="O210" s="2"/>
      <c r="P210" s="2"/>
      <c r="Q210" s="2">
        <v>1</v>
      </c>
      <c r="R210" s="2"/>
      <c r="S210" s="2"/>
      <c r="T210" s="2"/>
      <c r="U210" s="3"/>
      <c r="V210" s="8"/>
    </row>
    <row r="211" spans="1:22" ht="15" customHeight="1" x14ac:dyDescent="0.25">
      <c r="A211" s="7">
        <v>210</v>
      </c>
      <c r="B211" s="3">
        <v>43570</v>
      </c>
      <c r="C211" s="2" t="s">
        <v>57</v>
      </c>
      <c r="D211" s="2" t="s">
        <v>67</v>
      </c>
      <c r="E211" s="2" t="s">
        <v>68</v>
      </c>
      <c r="F211" s="2" t="s">
        <v>121</v>
      </c>
      <c r="G211" s="3">
        <v>33041</v>
      </c>
      <c r="H211" s="2">
        <v>30</v>
      </c>
      <c r="I211" s="2" t="s">
        <v>26</v>
      </c>
      <c r="J211" s="2" t="s">
        <v>70</v>
      </c>
      <c r="K211" s="2" t="s">
        <v>91</v>
      </c>
      <c r="L211" s="2" t="s">
        <v>45</v>
      </c>
      <c r="M211" s="2" t="s">
        <v>30</v>
      </c>
      <c r="N211" s="2" t="s">
        <v>81</v>
      </c>
      <c r="O211" s="2"/>
      <c r="P211" s="2"/>
      <c r="Q211" s="2">
        <v>1</v>
      </c>
      <c r="R211" s="2">
        <v>1</v>
      </c>
      <c r="S211" s="2"/>
      <c r="T211" s="2"/>
      <c r="U211" s="3"/>
      <c r="V211" s="8"/>
    </row>
    <row r="212" spans="1:22" ht="15" customHeight="1" x14ac:dyDescent="0.25">
      <c r="A212" s="7">
        <v>211</v>
      </c>
      <c r="B212" s="3">
        <v>43571</v>
      </c>
      <c r="C212" s="2" t="s">
        <v>57</v>
      </c>
      <c r="D212" s="2" t="s">
        <v>23</v>
      </c>
      <c r="E212" s="2" t="s">
        <v>24</v>
      </c>
      <c r="F212" s="2" t="s">
        <v>120</v>
      </c>
      <c r="G212" s="3">
        <v>34118</v>
      </c>
      <c r="H212" s="2">
        <v>27</v>
      </c>
      <c r="I212" s="2" t="s">
        <v>26</v>
      </c>
      <c r="J212" s="2" t="s">
        <v>79</v>
      </c>
      <c r="K212" s="2" t="s">
        <v>28</v>
      </c>
      <c r="L212" s="2" t="s">
        <v>45</v>
      </c>
      <c r="M212" s="2" t="s">
        <v>38</v>
      </c>
      <c r="N212" s="2" t="s">
        <v>63</v>
      </c>
      <c r="O212" s="2" t="s">
        <v>64</v>
      </c>
      <c r="P212" s="2"/>
      <c r="Q212" s="2">
        <v>1</v>
      </c>
      <c r="R212" s="2"/>
      <c r="S212" s="2"/>
      <c r="T212" s="2"/>
      <c r="U212" s="3"/>
      <c r="V212" s="8">
        <v>100000</v>
      </c>
    </row>
    <row r="213" spans="1:22" ht="15" customHeight="1" x14ac:dyDescent="0.25">
      <c r="A213" s="7">
        <v>212</v>
      </c>
      <c r="B213" s="3">
        <v>43571</v>
      </c>
      <c r="C213" s="2" t="s">
        <v>57</v>
      </c>
      <c r="D213" s="2" t="s">
        <v>23</v>
      </c>
      <c r="E213" s="2" t="s">
        <v>24</v>
      </c>
      <c r="F213" s="2" t="s">
        <v>101</v>
      </c>
      <c r="G213" s="3">
        <v>33016</v>
      </c>
      <c r="H213" s="2">
        <v>30</v>
      </c>
      <c r="I213" s="2" t="s">
        <v>26</v>
      </c>
      <c r="J213" s="2" t="s">
        <v>93</v>
      </c>
      <c r="K213" s="2" t="s">
        <v>37</v>
      </c>
      <c r="L213" s="2" t="s">
        <v>45</v>
      </c>
      <c r="M213" s="2" t="s">
        <v>38</v>
      </c>
      <c r="N213" s="2" t="s">
        <v>39</v>
      </c>
      <c r="O213" s="2" t="s">
        <v>46</v>
      </c>
      <c r="P213" s="2" t="s">
        <v>95</v>
      </c>
      <c r="Q213" s="2">
        <v>1</v>
      </c>
      <c r="R213" s="2">
        <v>1</v>
      </c>
      <c r="S213" s="2">
        <v>1</v>
      </c>
      <c r="T213" s="2"/>
      <c r="U213" s="3"/>
      <c r="V213" s="8">
        <v>150000</v>
      </c>
    </row>
    <row r="214" spans="1:22" ht="15" customHeight="1" x14ac:dyDescent="0.25">
      <c r="A214" s="7">
        <v>213</v>
      </c>
      <c r="B214" s="3">
        <v>43572</v>
      </c>
      <c r="C214" s="2" t="s">
        <v>57</v>
      </c>
      <c r="D214" s="2" t="s">
        <v>51</v>
      </c>
      <c r="E214" s="2" t="s">
        <v>52</v>
      </c>
      <c r="F214" s="2" t="s">
        <v>86</v>
      </c>
      <c r="G214" s="3">
        <v>34384</v>
      </c>
      <c r="H214" s="2">
        <v>26</v>
      </c>
      <c r="I214" s="2" t="s">
        <v>87</v>
      </c>
      <c r="J214" s="2" t="s">
        <v>88</v>
      </c>
      <c r="K214" s="2" t="s">
        <v>37</v>
      </c>
      <c r="L214" s="2" t="s">
        <v>55</v>
      </c>
      <c r="M214" s="2" t="s">
        <v>38</v>
      </c>
      <c r="N214" s="2" t="s">
        <v>39</v>
      </c>
      <c r="O214" s="2" t="s">
        <v>40</v>
      </c>
      <c r="P214" s="2" t="s">
        <v>41</v>
      </c>
      <c r="Q214" s="2">
        <v>1</v>
      </c>
      <c r="R214" s="2">
        <v>1</v>
      </c>
      <c r="S214" s="2"/>
      <c r="T214" s="2"/>
      <c r="U214" s="3"/>
      <c r="V214" s="8"/>
    </row>
    <row r="215" spans="1:22" ht="15" customHeight="1" x14ac:dyDescent="0.25">
      <c r="A215" s="7">
        <v>214</v>
      </c>
      <c r="B215" s="3">
        <v>43572</v>
      </c>
      <c r="C215" s="2" t="s">
        <v>57</v>
      </c>
      <c r="D215" s="2" t="s">
        <v>67</v>
      </c>
      <c r="E215" s="2" t="s">
        <v>68</v>
      </c>
      <c r="F215" s="2" t="s">
        <v>94</v>
      </c>
      <c r="G215" s="3">
        <v>33667</v>
      </c>
      <c r="H215" s="2">
        <v>28</v>
      </c>
      <c r="I215" s="2" t="s">
        <v>26</v>
      </c>
      <c r="J215" s="2" t="s">
        <v>27</v>
      </c>
      <c r="K215" s="2" t="s">
        <v>37</v>
      </c>
      <c r="L215" s="2" t="s">
        <v>92</v>
      </c>
      <c r="M215" s="2" t="s">
        <v>38</v>
      </c>
      <c r="N215" s="2" t="s">
        <v>39</v>
      </c>
      <c r="O215" s="2" t="s">
        <v>46</v>
      </c>
      <c r="P215" s="2" t="s">
        <v>95</v>
      </c>
      <c r="Q215" s="2">
        <v>1</v>
      </c>
      <c r="R215" s="2">
        <v>1</v>
      </c>
      <c r="S215" s="2">
        <v>1</v>
      </c>
      <c r="T215" s="2"/>
      <c r="U215" s="3"/>
      <c r="V215" s="8">
        <v>200000</v>
      </c>
    </row>
    <row r="216" spans="1:22" ht="15" customHeight="1" x14ac:dyDescent="0.25">
      <c r="A216" s="7">
        <v>215</v>
      </c>
      <c r="B216" s="3">
        <v>43573</v>
      </c>
      <c r="C216" s="2" t="s">
        <v>57</v>
      </c>
      <c r="D216" s="2" t="s">
        <v>51</v>
      </c>
      <c r="E216" s="2" t="s">
        <v>52</v>
      </c>
      <c r="F216" s="2" t="s">
        <v>117</v>
      </c>
      <c r="G216" s="3">
        <v>33144</v>
      </c>
      <c r="H216" s="2">
        <v>29</v>
      </c>
      <c r="I216" s="2" t="s">
        <v>87</v>
      </c>
      <c r="J216" s="2" t="s">
        <v>27</v>
      </c>
      <c r="K216" s="2" t="s">
        <v>37</v>
      </c>
      <c r="L216" s="2" t="s">
        <v>92</v>
      </c>
      <c r="M216" s="2" t="s">
        <v>38</v>
      </c>
      <c r="N216" s="2" t="s">
        <v>56</v>
      </c>
      <c r="O216" s="2"/>
      <c r="P216" s="2"/>
      <c r="Q216" s="2">
        <v>1</v>
      </c>
      <c r="R216" s="2"/>
      <c r="S216" s="2"/>
      <c r="T216" s="2"/>
      <c r="U216" s="3"/>
      <c r="V216" s="8"/>
    </row>
    <row r="217" spans="1:22" ht="15" customHeight="1" x14ac:dyDescent="0.25">
      <c r="A217" s="7">
        <v>216</v>
      </c>
      <c r="B217" s="3">
        <v>43573</v>
      </c>
      <c r="C217" s="2" t="s">
        <v>57</v>
      </c>
      <c r="D217" s="2" t="s">
        <v>51</v>
      </c>
      <c r="E217" s="2" t="s">
        <v>52</v>
      </c>
      <c r="F217" s="2" t="s">
        <v>98</v>
      </c>
      <c r="G217" s="3">
        <v>34231</v>
      </c>
      <c r="H217" s="2">
        <v>26</v>
      </c>
      <c r="I217" s="2" t="s">
        <v>26</v>
      </c>
      <c r="J217" s="2" t="s">
        <v>88</v>
      </c>
      <c r="K217" s="2" t="s">
        <v>37</v>
      </c>
      <c r="L217" s="2" t="s">
        <v>45</v>
      </c>
      <c r="M217" s="2" t="s">
        <v>38</v>
      </c>
      <c r="N217" s="2" t="s">
        <v>63</v>
      </c>
      <c r="O217" s="2" t="s">
        <v>64</v>
      </c>
      <c r="P217" s="2"/>
      <c r="Q217" s="2">
        <v>1</v>
      </c>
      <c r="R217" s="2"/>
      <c r="S217" s="2"/>
      <c r="T217" s="2"/>
      <c r="U217" s="3"/>
      <c r="V217" s="8">
        <v>150000</v>
      </c>
    </row>
    <row r="218" spans="1:22" ht="15" customHeight="1" x14ac:dyDescent="0.25">
      <c r="A218" s="7">
        <v>217</v>
      </c>
      <c r="B218" s="3">
        <v>43573</v>
      </c>
      <c r="C218" s="2" t="s">
        <v>66</v>
      </c>
      <c r="D218" s="2" t="s">
        <v>51</v>
      </c>
      <c r="E218" s="2" t="s">
        <v>59</v>
      </c>
      <c r="F218" s="2" t="s">
        <v>53</v>
      </c>
      <c r="G218" s="3">
        <v>32589</v>
      </c>
      <c r="H218" s="2">
        <v>31</v>
      </c>
      <c r="I218" s="2" t="s">
        <v>26</v>
      </c>
      <c r="J218" s="2" t="s">
        <v>50</v>
      </c>
      <c r="K218" s="2" t="s">
        <v>28</v>
      </c>
      <c r="L218" s="2" t="s">
        <v>45</v>
      </c>
      <c r="M218" s="2" t="s">
        <v>38</v>
      </c>
      <c r="N218" s="2" t="s">
        <v>39</v>
      </c>
      <c r="O218" s="2" t="s">
        <v>40</v>
      </c>
      <c r="P218" s="2" t="s">
        <v>41</v>
      </c>
      <c r="Q218" s="2">
        <v>1</v>
      </c>
      <c r="R218" s="2"/>
      <c r="S218" s="2"/>
      <c r="T218" s="2"/>
      <c r="U218" s="3"/>
      <c r="V218" s="8">
        <v>100000</v>
      </c>
    </row>
    <row r="219" spans="1:22" ht="15" customHeight="1" x14ac:dyDescent="0.25">
      <c r="A219" s="7">
        <v>218</v>
      </c>
      <c r="B219" s="3">
        <v>43573</v>
      </c>
      <c r="C219" s="2" t="s">
        <v>32</v>
      </c>
      <c r="D219" s="2" t="s">
        <v>33</v>
      </c>
      <c r="E219" s="2" t="s">
        <v>129</v>
      </c>
      <c r="F219" s="2" t="s">
        <v>96</v>
      </c>
      <c r="G219" s="3">
        <v>35008</v>
      </c>
      <c r="H219" s="2">
        <v>24</v>
      </c>
      <c r="I219" s="2" t="s">
        <v>26</v>
      </c>
      <c r="J219" s="2" t="s">
        <v>97</v>
      </c>
      <c r="K219" s="2" t="s">
        <v>37</v>
      </c>
      <c r="L219" s="2" t="s">
        <v>45</v>
      </c>
      <c r="M219" s="2" t="s">
        <v>38</v>
      </c>
      <c r="N219" s="2" t="s">
        <v>39</v>
      </c>
      <c r="O219" s="2" t="s">
        <v>46</v>
      </c>
      <c r="P219" s="2" t="s">
        <v>135</v>
      </c>
      <c r="Q219" s="2">
        <v>1</v>
      </c>
      <c r="R219" s="2">
        <v>1</v>
      </c>
      <c r="S219" s="2"/>
      <c r="T219" s="2"/>
      <c r="U219" s="3"/>
      <c r="V219" s="8">
        <v>200000</v>
      </c>
    </row>
    <row r="220" spans="1:22" ht="15" customHeight="1" x14ac:dyDescent="0.25">
      <c r="A220" s="7">
        <v>219</v>
      </c>
      <c r="B220" s="3">
        <v>43574</v>
      </c>
      <c r="C220" s="2" t="s">
        <v>66</v>
      </c>
      <c r="D220" s="2" t="s">
        <v>51</v>
      </c>
      <c r="E220" s="2" t="s">
        <v>59</v>
      </c>
      <c r="F220" s="2" t="s">
        <v>99</v>
      </c>
      <c r="G220" s="3">
        <v>33577</v>
      </c>
      <c r="H220" s="2">
        <v>28</v>
      </c>
      <c r="I220" s="2" t="s">
        <v>26</v>
      </c>
      <c r="J220" s="2" t="s">
        <v>27</v>
      </c>
      <c r="K220" s="2" t="s">
        <v>37</v>
      </c>
      <c r="L220" s="2" t="s">
        <v>92</v>
      </c>
      <c r="M220" s="2" t="s">
        <v>38</v>
      </c>
      <c r="N220" s="2" t="s">
        <v>63</v>
      </c>
      <c r="O220" s="2" t="s">
        <v>64</v>
      </c>
      <c r="P220" s="2"/>
      <c r="Q220" s="2">
        <v>1</v>
      </c>
      <c r="R220" s="2">
        <v>1</v>
      </c>
      <c r="S220" s="2"/>
      <c r="T220" s="2"/>
      <c r="U220" s="3"/>
      <c r="V220" s="8">
        <v>150000</v>
      </c>
    </row>
    <row r="221" spans="1:22" ht="15" customHeight="1" x14ac:dyDescent="0.25">
      <c r="A221" s="7">
        <v>220</v>
      </c>
      <c r="B221" s="3">
        <v>43575</v>
      </c>
      <c r="C221" s="2" t="s">
        <v>32</v>
      </c>
      <c r="D221" s="2" t="s">
        <v>133</v>
      </c>
      <c r="E221" s="2" t="s">
        <v>134</v>
      </c>
      <c r="F221" s="2" t="s">
        <v>101</v>
      </c>
      <c r="G221" s="3">
        <v>33840</v>
      </c>
      <c r="H221" s="2">
        <v>28</v>
      </c>
      <c r="I221" s="2" t="s">
        <v>87</v>
      </c>
      <c r="J221" s="2" t="s">
        <v>102</v>
      </c>
      <c r="K221" s="2" t="s">
        <v>37</v>
      </c>
      <c r="L221" s="2" t="s">
        <v>103</v>
      </c>
      <c r="M221" s="2" t="s">
        <v>38</v>
      </c>
      <c r="N221" s="2" t="s">
        <v>89</v>
      </c>
      <c r="O221" s="2"/>
      <c r="P221" s="2"/>
      <c r="Q221" s="2">
        <v>1</v>
      </c>
      <c r="R221" s="2">
        <v>1</v>
      </c>
      <c r="S221" s="2"/>
      <c r="T221" s="2"/>
      <c r="U221" s="3"/>
      <c r="V221" s="8"/>
    </row>
    <row r="222" spans="1:22" ht="15" customHeight="1" x14ac:dyDescent="0.25">
      <c r="A222" s="7">
        <v>221</v>
      </c>
      <c r="B222" s="3">
        <v>43575</v>
      </c>
      <c r="C222" s="2" t="s">
        <v>22</v>
      </c>
      <c r="D222" s="2" t="s">
        <v>23</v>
      </c>
      <c r="E222" s="2" t="s">
        <v>24</v>
      </c>
      <c r="F222" s="2" t="s">
        <v>104</v>
      </c>
      <c r="G222" s="3">
        <v>34542</v>
      </c>
      <c r="H222" s="2">
        <v>26</v>
      </c>
      <c r="I222" s="2" t="s">
        <v>26</v>
      </c>
      <c r="J222" s="2" t="s">
        <v>27</v>
      </c>
      <c r="K222" s="2" t="s">
        <v>91</v>
      </c>
      <c r="L222" s="2" t="s">
        <v>55</v>
      </c>
      <c r="M222" s="2" t="s">
        <v>38</v>
      </c>
      <c r="N222" s="2" t="s">
        <v>56</v>
      </c>
      <c r="O222" s="2"/>
      <c r="P222" s="2"/>
      <c r="Q222" s="2">
        <v>1</v>
      </c>
      <c r="R222" s="2">
        <v>1</v>
      </c>
      <c r="S222" s="2"/>
      <c r="T222" s="2"/>
      <c r="U222" s="3"/>
      <c r="V222" s="8"/>
    </row>
    <row r="223" spans="1:22" ht="15" customHeight="1" x14ac:dyDescent="0.25">
      <c r="A223" s="7">
        <v>222</v>
      </c>
      <c r="B223" s="3">
        <v>43575</v>
      </c>
      <c r="C223" s="2" t="s">
        <v>32</v>
      </c>
      <c r="D223" s="2" t="s">
        <v>133</v>
      </c>
      <c r="E223" s="2" t="s">
        <v>134</v>
      </c>
      <c r="F223" s="2" t="s">
        <v>101</v>
      </c>
      <c r="G223" s="3">
        <v>33840</v>
      </c>
      <c r="H223" s="2">
        <v>28</v>
      </c>
      <c r="I223" s="2" t="s">
        <v>87</v>
      </c>
      <c r="J223" s="2" t="s">
        <v>102</v>
      </c>
      <c r="K223" s="2" t="s">
        <v>37</v>
      </c>
      <c r="L223" s="2" t="s">
        <v>103</v>
      </c>
      <c r="M223" s="2" t="s">
        <v>38</v>
      </c>
      <c r="N223" s="2" t="s">
        <v>89</v>
      </c>
      <c r="O223" s="2"/>
      <c r="P223" s="2"/>
      <c r="Q223" s="2">
        <v>1</v>
      </c>
      <c r="R223" s="2">
        <v>1</v>
      </c>
      <c r="S223" s="2"/>
      <c r="T223" s="2"/>
      <c r="U223" s="3"/>
      <c r="V223" s="8"/>
    </row>
    <row r="224" spans="1:22" ht="15" customHeight="1" x14ac:dyDescent="0.25">
      <c r="A224" s="7">
        <v>223</v>
      </c>
      <c r="B224" s="3">
        <v>43575</v>
      </c>
      <c r="C224" s="2" t="s">
        <v>22</v>
      </c>
      <c r="D224" s="2" t="s">
        <v>23</v>
      </c>
      <c r="E224" s="2" t="s">
        <v>24</v>
      </c>
      <c r="F224" s="2" t="s">
        <v>104</v>
      </c>
      <c r="G224" s="3">
        <v>34542</v>
      </c>
      <c r="H224" s="2">
        <v>26</v>
      </c>
      <c r="I224" s="2" t="s">
        <v>26</v>
      </c>
      <c r="J224" s="2" t="s">
        <v>27</v>
      </c>
      <c r="K224" s="2" t="s">
        <v>91</v>
      </c>
      <c r="L224" s="2" t="s">
        <v>55</v>
      </c>
      <c r="M224" s="2" t="s">
        <v>38</v>
      </c>
      <c r="N224" s="2" t="s">
        <v>56</v>
      </c>
      <c r="O224" s="2"/>
      <c r="P224" s="2"/>
      <c r="Q224" s="2">
        <v>1</v>
      </c>
      <c r="R224" s="2">
        <v>1</v>
      </c>
      <c r="S224" s="2"/>
      <c r="T224" s="2"/>
      <c r="U224" s="3"/>
      <c r="V224" s="8"/>
    </row>
    <row r="225" spans="1:22" ht="15" customHeight="1" x14ac:dyDescent="0.25">
      <c r="A225" s="7">
        <v>224</v>
      </c>
      <c r="B225" s="3">
        <v>43575</v>
      </c>
      <c r="C225" s="2" t="s">
        <v>66</v>
      </c>
      <c r="D225" s="2" t="s">
        <v>51</v>
      </c>
      <c r="E225" s="2" t="s">
        <v>59</v>
      </c>
      <c r="F225" s="2" t="s">
        <v>105</v>
      </c>
      <c r="G225" s="3">
        <v>33144</v>
      </c>
      <c r="H225" s="2">
        <v>29</v>
      </c>
      <c r="I225" s="2" t="s">
        <v>26</v>
      </c>
      <c r="J225" s="2" t="s">
        <v>27</v>
      </c>
      <c r="K225" s="2" t="s">
        <v>37</v>
      </c>
      <c r="L225" s="2" t="s">
        <v>55</v>
      </c>
      <c r="M225" s="2" t="s">
        <v>30</v>
      </c>
      <c r="N225" s="2" t="s">
        <v>31</v>
      </c>
      <c r="O225" s="2"/>
      <c r="P225" s="2"/>
      <c r="Q225" s="2">
        <v>1</v>
      </c>
      <c r="R225" s="2">
        <v>1</v>
      </c>
      <c r="S225" s="2">
        <v>1</v>
      </c>
      <c r="T225" s="2">
        <v>1</v>
      </c>
      <c r="U225" s="3">
        <v>43575</v>
      </c>
      <c r="V225" s="8">
        <v>500000</v>
      </c>
    </row>
    <row r="226" spans="1:22" ht="15" customHeight="1" x14ac:dyDescent="0.25">
      <c r="A226" s="7">
        <v>225</v>
      </c>
      <c r="B226" s="3">
        <v>43575</v>
      </c>
      <c r="C226" s="2" t="s">
        <v>22</v>
      </c>
      <c r="D226" s="2" t="s">
        <v>23</v>
      </c>
      <c r="E226" s="2" t="s">
        <v>24</v>
      </c>
      <c r="F226" s="2" t="s">
        <v>60</v>
      </c>
      <c r="G226" s="3">
        <v>33409</v>
      </c>
      <c r="H226" s="2">
        <v>29</v>
      </c>
      <c r="I226" s="2" t="s">
        <v>26</v>
      </c>
      <c r="J226" s="2" t="s">
        <v>27</v>
      </c>
      <c r="K226" s="2" t="s">
        <v>37</v>
      </c>
      <c r="L226" s="2" t="s">
        <v>45</v>
      </c>
      <c r="M226" s="2" t="s">
        <v>30</v>
      </c>
      <c r="N226" s="2" t="s">
        <v>31</v>
      </c>
      <c r="O226" s="2"/>
      <c r="P226" s="2"/>
      <c r="Q226" s="2">
        <v>1</v>
      </c>
      <c r="R226" s="2">
        <v>1</v>
      </c>
      <c r="S226" s="2">
        <v>1</v>
      </c>
      <c r="T226" s="2">
        <v>1</v>
      </c>
      <c r="U226" s="3">
        <v>43581</v>
      </c>
      <c r="V226" s="8">
        <v>1000000</v>
      </c>
    </row>
    <row r="227" spans="1:22" ht="15" customHeight="1" x14ac:dyDescent="0.25">
      <c r="A227" s="7">
        <v>226</v>
      </c>
      <c r="B227" s="3">
        <v>43576</v>
      </c>
      <c r="C227" s="2" t="s">
        <v>48</v>
      </c>
      <c r="D227" s="2" t="s">
        <v>67</v>
      </c>
      <c r="E227" s="2" t="s">
        <v>130</v>
      </c>
      <c r="F227" s="2" t="s">
        <v>106</v>
      </c>
      <c r="G227" s="3">
        <v>33868</v>
      </c>
      <c r="H227" s="2">
        <v>27</v>
      </c>
      <c r="I227" s="2" t="s">
        <v>26</v>
      </c>
      <c r="J227" s="2" t="s">
        <v>79</v>
      </c>
      <c r="K227" s="2" t="s">
        <v>91</v>
      </c>
      <c r="L227" s="2" t="s">
        <v>45</v>
      </c>
      <c r="M227" s="2" t="s">
        <v>30</v>
      </c>
      <c r="N227" s="2" t="s">
        <v>81</v>
      </c>
      <c r="O227" s="2"/>
      <c r="P227" s="2"/>
      <c r="Q227" s="2">
        <v>1</v>
      </c>
      <c r="R227" s="2"/>
      <c r="S227" s="2"/>
      <c r="T227" s="2"/>
      <c r="U227" s="3"/>
      <c r="V227" s="8"/>
    </row>
    <row r="228" spans="1:22" ht="15" customHeight="1" x14ac:dyDescent="0.25">
      <c r="A228" s="7">
        <v>227</v>
      </c>
      <c r="B228" s="3">
        <v>43576</v>
      </c>
      <c r="C228" s="2" t="s">
        <v>32</v>
      </c>
      <c r="D228" s="2" t="s">
        <v>33</v>
      </c>
      <c r="E228" s="2" t="s">
        <v>129</v>
      </c>
      <c r="F228" s="2" t="s">
        <v>107</v>
      </c>
      <c r="G228" s="3">
        <v>33429</v>
      </c>
      <c r="H228" s="2">
        <v>29</v>
      </c>
      <c r="I228" s="2" t="s">
        <v>87</v>
      </c>
      <c r="J228" s="2" t="s">
        <v>108</v>
      </c>
      <c r="K228" s="2" t="s">
        <v>37</v>
      </c>
      <c r="L228" s="2" t="s">
        <v>45</v>
      </c>
      <c r="M228" s="2" t="s">
        <v>30</v>
      </c>
      <c r="N228" s="2" t="s">
        <v>31</v>
      </c>
      <c r="O228" s="2"/>
      <c r="P228" s="2"/>
      <c r="Q228" s="2">
        <v>1</v>
      </c>
      <c r="R228" s="2"/>
      <c r="S228" s="2"/>
      <c r="T228" s="2"/>
      <c r="U228" s="3"/>
      <c r="V228" s="8"/>
    </row>
    <row r="229" spans="1:22" ht="15" customHeight="1" x14ac:dyDescent="0.25">
      <c r="A229" s="7">
        <v>228</v>
      </c>
      <c r="B229" s="3">
        <v>43576</v>
      </c>
      <c r="C229" s="2" t="s">
        <v>48</v>
      </c>
      <c r="D229" s="2" t="s">
        <v>67</v>
      </c>
      <c r="E229" s="2" t="s">
        <v>130</v>
      </c>
      <c r="F229" s="2" t="s">
        <v>106</v>
      </c>
      <c r="G229" s="3">
        <v>33868</v>
      </c>
      <c r="H229" s="2">
        <v>27</v>
      </c>
      <c r="I229" s="2" t="s">
        <v>26</v>
      </c>
      <c r="J229" s="2" t="s">
        <v>79</v>
      </c>
      <c r="K229" s="2" t="s">
        <v>91</v>
      </c>
      <c r="L229" s="2" t="s">
        <v>45</v>
      </c>
      <c r="M229" s="2" t="s">
        <v>30</v>
      </c>
      <c r="N229" s="2" t="s">
        <v>81</v>
      </c>
      <c r="O229" s="2"/>
      <c r="P229" s="2"/>
      <c r="Q229" s="2">
        <v>1</v>
      </c>
      <c r="R229" s="2"/>
      <c r="S229" s="2"/>
      <c r="T229" s="2"/>
      <c r="U229" s="3"/>
      <c r="V229" s="8"/>
    </row>
    <row r="230" spans="1:22" ht="15" customHeight="1" x14ac:dyDescent="0.25">
      <c r="A230" s="7">
        <v>229</v>
      </c>
      <c r="B230" s="3">
        <v>43576</v>
      </c>
      <c r="C230" s="2" t="s">
        <v>32</v>
      </c>
      <c r="D230" s="2" t="s">
        <v>33</v>
      </c>
      <c r="E230" s="2" t="s">
        <v>129</v>
      </c>
      <c r="F230" s="2" t="s">
        <v>107</v>
      </c>
      <c r="G230" s="3">
        <v>33429</v>
      </c>
      <c r="H230" s="2">
        <v>29</v>
      </c>
      <c r="I230" s="2" t="s">
        <v>87</v>
      </c>
      <c r="J230" s="2" t="s">
        <v>108</v>
      </c>
      <c r="K230" s="2" t="s">
        <v>37</v>
      </c>
      <c r="L230" s="2" t="s">
        <v>45</v>
      </c>
      <c r="M230" s="2" t="s">
        <v>30</v>
      </c>
      <c r="N230" s="2" t="s">
        <v>31</v>
      </c>
      <c r="O230" s="2"/>
      <c r="P230" s="2"/>
      <c r="Q230" s="2">
        <v>1</v>
      </c>
      <c r="R230" s="2"/>
      <c r="S230" s="2"/>
      <c r="T230" s="2"/>
      <c r="U230" s="3"/>
      <c r="V230" s="8"/>
    </row>
    <row r="231" spans="1:22" ht="15" customHeight="1" x14ac:dyDescent="0.25">
      <c r="A231" s="7">
        <v>230</v>
      </c>
      <c r="B231" s="3">
        <v>43576</v>
      </c>
      <c r="C231" s="2" t="s">
        <v>22</v>
      </c>
      <c r="D231" s="2" t="s">
        <v>23</v>
      </c>
      <c r="E231" s="2" t="s">
        <v>24</v>
      </c>
      <c r="F231" s="2" t="s">
        <v>111</v>
      </c>
      <c r="G231" s="3">
        <v>32919</v>
      </c>
      <c r="H231" s="2">
        <v>30</v>
      </c>
      <c r="I231" s="2" t="s">
        <v>87</v>
      </c>
      <c r="J231" s="2" t="s">
        <v>50</v>
      </c>
      <c r="K231" s="2" t="s">
        <v>91</v>
      </c>
      <c r="L231" s="2" t="s">
        <v>45</v>
      </c>
      <c r="M231" s="2" t="s">
        <v>38</v>
      </c>
      <c r="N231" s="2" t="s">
        <v>39</v>
      </c>
      <c r="O231" s="2" t="s">
        <v>40</v>
      </c>
      <c r="P231" s="2" t="s">
        <v>112</v>
      </c>
      <c r="Q231" s="2">
        <v>1</v>
      </c>
      <c r="R231" s="2">
        <v>1</v>
      </c>
      <c r="S231" s="2"/>
      <c r="T231" s="2"/>
      <c r="U231" s="3"/>
      <c r="V231" s="8">
        <v>300000</v>
      </c>
    </row>
    <row r="232" spans="1:22" ht="15" customHeight="1" x14ac:dyDescent="0.25">
      <c r="A232" s="7">
        <v>231</v>
      </c>
      <c r="B232" s="3">
        <v>43577</v>
      </c>
      <c r="C232" s="2" t="s">
        <v>32</v>
      </c>
      <c r="D232" s="2" t="s">
        <v>33</v>
      </c>
      <c r="E232" s="2" t="s">
        <v>129</v>
      </c>
      <c r="F232" s="2" t="s">
        <v>115</v>
      </c>
      <c r="G232" s="3">
        <v>32589</v>
      </c>
      <c r="H232" s="2">
        <v>31</v>
      </c>
      <c r="I232" s="2" t="s">
        <v>26</v>
      </c>
      <c r="J232" s="2" t="s">
        <v>27</v>
      </c>
      <c r="K232" s="2" t="s">
        <v>37</v>
      </c>
      <c r="L232" s="2" t="s">
        <v>45</v>
      </c>
      <c r="M232" s="2" t="s">
        <v>38</v>
      </c>
      <c r="N232" s="2" t="s">
        <v>39</v>
      </c>
      <c r="O232" s="2" t="s">
        <v>46</v>
      </c>
      <c r="P232" s="2" t="s">
        <v>135</v>
      </c>
      <c r="Q232" s="2">
        <v>1</v>
      </c>
      <c r="R232" s="2"/>
      <c r="S232" s="2"/>
      <c r="T232" s="2"/>
      <c r="U232" s="3"/>
      <c r="V232" s="8">
        <v>200000</v>
      </c>
    </row>
    <row r="233" spans="1:22" ht="15" customHeight="1" x14ac:dyDescent="0.25">
      <c r="A233" s="7">
        <v>232</v>
      </c>
      <c r="B233" s="3">
        <v>43577</v>
      </c>
      <c r="C233" s="2" t="s">
        <v>48</v>
      </c>
      <c r="D233" s="2" t="s">
        <v>23</v>
      </c>
      <c r="E233" s="2" t="s">
        <v>24</v>
      </c>
      <c r="F233" s="2" t="s">
        <v>116</v>
      </c>
      <c r="G233" s="3">
        <v>34652</v>
      </c>
      <c r="H233" s="2">
        <v>25</v>
      </c>
      <c r="I233" s="2" t="s">
        <v>26</v>
      </c>
      <c r="J233" s="2" t="s">
        <v>88</v>
      </c>
      <c r="K233" s="2" t="s">
        <v>91</v>
      </c>
      <c r="L233" s="2" t="s">
        <v>45</v>
      </c>
      <c r="M233" s="2" t="s">
        <v>38</v>
      </c>
      <c r="N233" s="2" t="s">
        <v>39</v>
      </c>
      <c r="O233" s="2" t="s">
        <v>46</v>
      </c>
      <c r="P233" s="2" t="s">
        <v>47</v>
      </c>
      <c r="Q233" s="2">
        <v>1</v>
      </c>
      <c r="R233" s="2">
        <v>1</v>
      </c>
      <c r="S233" s="2">
        <v>1</v>
      </c>
      <c r="T233" s="2">
        <v>1</v>
      </c>
      <c r="U233" s="3">
        <v>43570</v>
      </c>
      <c r="V233" s="8">
        <v>300000</v>
      </c>
    </row>
    <row r="234" spans="1:22" ht="15" customHeight="1" x14ac:dyDescent="0.25">
      <c r="A234" s="7">
        <v>233</v>
      </c>
      <c r="B234" s="3">
        <v>43578</v>
      </c>
      <c r="C234" s="2" t="s">
        <v>32</v>
      </c>
      <c r="D234" s="2" t="s">
        <v>133</v>
      </c>
      <c r="E234" s="2" t="s">
        <v>134</v>
      </c>
      <c r="F234" s="2" t="s">
        <v>86</v>
      </c>
      <c r="G234" s="3">
        <v>31553</v>
      </c>
      <c r="H234" s="2">
        <v>34</v>
      </c>
      <c r="I234" s="2" t="s">
        <v>26</v>
      </c>
      <c r="J234" s="2" t="s">
        <v>27</v>
      </c>
      <c r="K234" s="2" t="s">
        <v>91</v>
      </c>
      <c r="L234" s="2" t="s">
        <v>45</v>
      </c>
      <c r="M234" s="2" t="s">
        <v>30</v>
      </c>
      <c r="N234" s="2" t="s">
        <v>81</v>
      </c>
      <c r="O234" s="2"/>
      <c r="P234" s="2"/>
      <c r="Q234" s="2">
        <v>1</v>
      </c>
      <c r="R234" s="2"/>
      <c r="S234" s="2">
        <v>1</v>
      </c>
      <c r="T234" s="2">
        <v>1</v>
      </c>
      <c r="U234" s="3">
        <v>43562</v>
      </c>
      <c r="V234" s="8">
        <v>500000</v>
      </c>
    </row>
    <row r="235" spans="1:22" ht="15" customHeight="1" x14ac:dyDescent="0.25">
      <c r="A235" s="7">
        <v>234</v>
      </c>
      <c r="B235" s="3">
        <v>43579</v>
      </c>
      <c r="C235" s="2" t="s">
        <v>48</v>
      </c>
      <c r="D235" s="2" t="s">
        <v>67</v>
      </c>
      <c r="E235" s="2" t="s">
        <v>130</v>
      </c>
      <c r="F235" s="2" t="s">
        <v>96</v>
      </c>
      <c r="G235" s="3">
        <v>33409</v>
      </c>
      <c r="H235" s="2">
        <v>29</v>
      </c>
      <c r="I235" s="2" t="s">
        <v>26</v>
      </c>
      <c r="J235" s="2" t="s">
        <v>110</v>
      </c>
      <c r="K235" s="2" t="s">
        <v>28</v>
      </c>
      <c r="L235" s="2" t="s">
        <v>114</v>
      </c>
      <c r="M235" s="2" t="s">
        <v>38</v>
      </c>
      <c r="N235" s="2" t="s">
        <v>39</v>
      </c>
      <c r="O235" s="2" t="s">
        <v>46</v>
      </c>
      <c r="P235" s="2" t="s">
        <v>95</v>
      </c>
      <c r="Q235" s="2">
        <v>1</v>
      </c>
      <c r="R235" s="2"/>
      <c r="S235" s="2"/>
      <c r="T235" s="2"/>
      <c r="U235" s="3"/>
      <c r="V235" s="8">
        <v>200000</v>
      </c>
    </row>
    <row r="236" spans="1:22" ht="15" customHeight="1" x14ac:dyDescent="0.25">
      <c r="A236" s="7">
        <v>235</v>
      </c>
      <c r="B236" s="3">
        <v>43582</v>
      </c>
      <c r="C236" s="2" t="s">
        <v>57</v>
      </c>
      <c r="D236" s="2" t="s">
        <v>67</v>
      </c>
      <c r="E236" s="2" t="s">
        <v>68</v>
      </c>
      <c r="F236" s="2" t="s">
        <v>80</v>
      </c>
      <c r="G236" s="3">
        <v>33016</v>
      </c>
      <c r="H236" s="2">
        <v>30</v>
      </c>
      <c r="I236" s="2" t="s">
        <v>26</v>
      </c>
      <c r="J236" s="2" t="s">
        <v>61</v>
      </c>
      <c r="K236" s="2" t="s">
        <v>28</v>
      </c>
      <c r="L236" s="2" t="s">
        <v>92</v>
      </c>
      <c r="M236" s="2" t="s">
        <v>38</v>
      </c>
      <c r="N236" s="2" t="s">
        <v>63</v>
      </c>
      <c r="O236" s="2" t="s">
        <v>64</v>
      </c>
      <c r="P236" s="2"/>
      <c r="Q236" s="2">
        <v>1</v>
      </c>
      <c r="R236" s="2">
        <v>1</v>
      </c>
      <c r="S236" s="2"/>
      <c r="T236" s="2"/>
      <c r="U236" s="3"/>
      <c r="V236" s="8">
        <v>100000</v>
      </c>
    </row>
    <row r="237" spans="1:22" x14ac:dyDescent="0.25">
      <c r="A237" s="7">
        <v>236</v>
      </c>
      <c r="B237" s="3">
        <v>43586</v>
      </c>
      <c r="C237" s="2" t="s">
        <v>66</v>
      </c>
      <c r="D237" s="2" t="s">
        <v>51</v>
      </c>
      <c r="E237" s="2" t="s">
        <v>59</v>
      </c>
      <c r="F237" s="2" t="s">
        <v>25</v>
      </c>
      <c r="G237" s="3">
        <v>33409</v>
      </c>
      <c r="H237" s="2">
        <v>29</v>
      </c>
      <c r="I237" s="2" t="s">
        <v>26</v>
      </c>
      <c r="J237" s="2" t="s">
        <v>27</v>
      </c>
      <c r="K237" s="2" t="s">
        <v>28</v>
      </c>
      <c r="L237" s="2" t="s">
        <v>29</v>
      </c>
      <c r="M237" s="2" t="s">
        <v>30</v>
      </c>
      <c r="N237" s="2" t="s">
        <v>31</v>
      </c>
      <c r="O237" s="2"/>
      <c r="P237" s="2"/>
      <c r="Q237" s="2">
        <v>1</v>
      </c>
      <c r="R237" s="2"/>
      <c r="S237" s="2"/>
      <c r="T237" s="2"/>
      <c r="U237" s="3"/>
      <c r="V237" s="8"/>
    </row>
    <row r="238" spans="1:22" x14ac:dyDescent="0.25">
      <c r="A238" s="7">
        <v>237</v>
      </c>
      <c r="B238" s="3">
        <v>43586</v>
      </c>
      <c r="C238" s="2" t="s">
        <v>32</v>
      </c>
      <c r="D238" s="2" t="s">
        <v>71</v>
      </c>
      <c r="E238" s="2" t="s">
        <v>136</v>
      </c>
      <c r="F238" s="2" t="s">
        <v>35</v>
      </c>
      <c r="G238" s="3">
        <v>33016</v>
      </c>
      <c r="H238" s="2">
        <v>30</v>
      </c>
      <c r="I238" s="2" t="s">
        <v>26</v>
      </c>
      <c r="J238" s="2" t="s">
        <v>36</v>
      </c>
      <c r="K238" s="2" t="s">
        <v>37</v>
      </c>
      <c r="L238" s="2" t="s">
        <v>29</v>
      </c>
      <c r="M238" s="2" t="s">
        <v>38</v>
      </c>
      <c r="N238" s="2" t="s">
        <v>39</v>
      </c>
      <c r="O238" s="2" t="s">
        <v>40</v>
      </c>
      <c r="P238" s="2" t="s">
        <v>41</v>
      </c>
      <c r="Q238" s="2">
        <v>1</v>
      </c>
      <c r="R238" s="2"/>
      <c r="S238" s="2"/>
      <c r="T238" s="2"/>
      <c r="U238" s="3"/>
      <c r="V238" s="8"/>
    </row>
    <row r="239" spans="1:22" x14ac:dyDescent="0.25">
      <c r="A239" s="7">
        <v>238</v>
      </c>
      <c r="B239" s="3">
        <v>43587</v>
      </c>
      <c r="C239" s="2" t="s">
        <v>57</v>
      </c>
      <c r="D239" s="2" t="s">
        <v>51</v>
      </c>
      <c r="E239" s="2" t="s">
        <v>52</v>
      </c>
      <c r="F239" s="2" t="s">
        <v>49</v>
      </c>
      <c r="G239" s="3">
        <v>32996</v>
      </c>
      <c r="H239" s="2">
        <v>30</v>
      </c>
      <c r="I239" s="2" t="s">
        <v>26</v>
      </c>
      <c r="J239" s="2" t="s">
        <v>50</v>
      </c>
      <c r="K239" s="2" t="s">
        <v>37</v>
      </c>
      <c r="L239" s="2" t="s">
        <v>45</v>
      </c>
      <c r="M239" s="2" t="s">
        <v>38</v>
      </c>
      <c r="N239" s="2" t="s">
        <v>63</v>
      </c>
      <c r="O239" s="2" t="s">
        <v>64</v>
      </c>
      <c r="P239" s="2"/>
      <c r="Q239" s="2">
        <v>1</v>
      </c>
      <c r="R239" s="2">
        <v>1</v>
      </c>
      <c r="S239" s="2"/>
      <c r="T239" s="2"/>
      <c r="U239" s="3"/>
      <c r="V239" s="8"/>
    </row>
    <row r="240" spans="1:22" x14ac:dyDescent="0.25">
      <c r="A240" s="7">
        <v>239</v>
      </c>
      <c r="B240" s="3">
        <v>43587</v>
      </c>
      <c r="C240" s="2" t="s">
        <v>48</v>
      </c>
      <c r="D240" s="2" t="s">
        <v>23</v>
      </c>
      <c r="E240" s="2" t="s">
        <v>24</v>
      </c>
      <c r="F240" s="2" t="s">
        <v>44</v>
      </c>
      <c r="G240" s="3">
        <v>33327</v>
      </c>
      <c r="H240" s="2">
        <v>29</v>
      </c>
      <c r="I240" s="2" t="s">
        <v>26</v>
      </c>
      <c r="J240" s="2" t="s">
        <v>27</v>
      </c>
      <c r="K240" s="2" t="s">
        <v>37</v>
      </c>
      <c r="L240" s="2" t="s">
        <v>45</v>
      </c>
      <c r="M240" s="2" t="s">
        <v>38</v>
      </c>
      <c r="N240" s="2" t="s">
        <v>39</v>
      </c>
      <c r="O240" s="2" t="s">
        <v>40</v>
      </c>
      <c r="P240" s="2" t="s">
        <v>41</v>
      </c>
      <c r="Q240" s="2">
        <v>1</v>
      </c>
      <c r="R240" s="2">
        <v>1</v>
      </c>
      <c r="S240" s="2">
        <v>1</v>
      </c>
      <c r="T240" s="2">
        <v>1</v>
      </c>
      <c r="U240" s="3">
        <v>43593</v>
      </c>
      <c r="V240" s="8">
        <v>21000</v>
      </c>
    </row>
    <row r="241" spans="1:22" x14ac:dyDescent="0.25">
      <c r="A241" s="7">
        <v>240</v>
      </c>
      <c r="B241" s="3">
        <v>43588</v>
      </c>
      <c r="C241" s="2" t="s">
        <v>57</v>
      </c>
      <c r="D241" s="2" t="s">
        <v>51</v>
      </c>
      <c r="E241" s="2" t="s">
        <v>52</v>
      </c>
      <c r="F241" s="2" t="s">
        <v>53</v>
      </c>
      <c r="G241" s="3">
        <v>33041</v>
      </c>
      <c r="H241" s="2">
        <v>30</v>
      </c>
      <c r="I241" s="2" t="s">
        <v>26</v>
      </c>
      <c r="J241" s="2" t="s">
        <v>50</v>
      </c>
      <c r="K241" s="2" t="s">
        <v>37</v>
      </c>
      <c r="L241" s="2" t="s">
        <v>45</v>
      </c>
      <c r="M241" s="2" t="s">
        <v>38</v>
      </c>
      <c r="N241" s="2" t="s">
        <v>63</v>
      </c>
      <c r="O241" s="2" t="s">
        <v>64</v>
      </c>
      <c r="P241" s="2"/>
      <c r="Q241" s="2">
        <v>1</v>
      </c>
      <c r="R241" s="2">
        <v>1</v>
      </c>
      <c r="S241" s="2"/>
      <c r="T241" s="2"/>
      <c r="U241" s="3"/>
      <c r="V241" s="8">
        <v>150000</v>
      </c>
    </row>
    <row r="242" spans="1:22" x14ac:dyDescent="0.25">
      <c r="A242" s="7">
        <v>241</v>
      </c>
      <c r="B242" s="3">
        <v>43589</v>
      </c>
      <c r="C242" s="2" t="s">
        <v>57</v>
      </c>
      <c r="D242" s="2" t="s">
        <v>67</v>
      </c>
      <c r="E242" s="2" t="s">
        <v>68</v>
      </c>
      <c r="F242" s="2" t="s">
        <v>54</v>
      </c>
      <c r="G242" s="3">
        <v>33132</v>
      </c>
      <c r="H242" s="2">
        <v>29</v>
      </c>
      <c r="I242" s="2" t="s">
        <v>26</v>
      </c>
      <c r="J242" s="2" t="s">
        <v>27</v>
      </c>
      <c r="K242" s="2" t="s">
        <v>37</v>
      </c>
      <c r="L242" s="2" t="s">
        <v>55</v>
      </c>
      <c r="M242" s="2" t="s">
        <v>38</v>
      </c>
      <c r="N242" s="2" t="s">
        <v>56</v>
      </c>
      <c r="O242" s="2"/>
      <c r="P242" s="2"/>
      <c r="Q242" s="2">
        <v>1</v>
      </c>
      <c r="R242" s="2"/>
      <c r="S242" s="2"/>
      <c r="T242" s="2"/>
      <c r="U242" s="3"/>
      <c r="V242" s="8"/>
    </row>
    <row r="243" spans="1:22" x14ac:dyDescent="0.25">
      <c r="A243" s="7">
        <v>242</v>
      </c>
      <c r="B243" s="3">
        <v>43589</v>
      </c>
      <c r="C243" s="2" t="s">
        <v>32</v>
      </c>
      <c r="D243" s="2" t="s">
        <v>71</v>
      </c>
      <c r="E243" s="2" t="s">
        <v>136</v>
      </c>
      <c r="F243" s="2" t="s">
        <v>58</v>
      </c>
      <c r="G243" s="3">
        <v>33144</v>
      </c>
      <c r="H243" s="2">
        <v>29</v>
      </c>
      <c r="I243" s="2" t="s">
        <v>26</v>
      </c>
      <c r="J243" s="2" t="s">
        <v>50</v>
      </c>
      <c r="K243" s="2" t="s">
        <v>28</v>
      </c>
      <c r="L243" s="2" t="s">
        <v>45</v>
      </c>
      <c r="M243" s="2" t="s">
        <v>38</v>
      </c>
      <c r="N243" s="2" t="s">
        <v>39</v>
      </c>
      <c r="O243" s="2" t="s">
        <v>46</v>
      </c>
      <c r="P243" s="2" t="s">
        <v>47</v>
      </c>
      <c r="Q243" s="2">
        <v>1</v>
      </c>
      <c r="R243" s="2"/>
      <c r="S243" s="2"/>
      <c r="T243" s="2"/>
      <c r="U243" s="3"/>
      <c r="V243" s="8">
        <v>300000</v>
      </c>
    </row>
    <row r="244" spans="1:22" x14ac:dyDescent="0.25">
      <c r="A244" s="7">
        <v>243</v>
      </c>
      <c r="B244" s="3">
        <v>43590</v>
      </c>
      <c r="C244" s="2" t="s">
        <v>57</v>
      </c>
      <c r="D244" s="2" t="s">
        <v>67</v>
      </c>
      <c r="E244" s="2" t="s">
        <v>68</v>
      </c>
      <c r="F244" s="2" t="s">
        <v>60</v>
      </c>
      <c r="G244" s="3">
        <v>32919</v>
      </c>
      <c r="H244" s="2">
        <v>30</v>
      </c>
      <c r="I244" s="2" t="s">
        <v>26</v>
      </c>
      <c r="J244" s="2" t="s">
        <v>61</v>
      </c>
      <c r="K244" s="2" t="s">
        <v>37</v>
      </c>
      <c r="L244" s="2" t="s">
        <v>62</v>
      </c>
      <c r="M244" s="2" t="s">
        <v>38</v>
      </c>
      <c r="N244" s="2" t="s">
        <v>39</v>
      </c>
      <c r="O244" s="2" t="s">
        <v>46</v>
      </c>
      <c r="P244" s="2" t="s">
        <v>95</v>
      </c>
      <c r="Q244" s="2">
        <v>1</v>
      </c>
      <c r="R244" s="2"/>
      <c r="S244" s="2"/>
      <c r="T244" s="2"/>
      <c r="U244" s="3"/>
      <c r="V244" s="8">
        <v>150000</v>
      </c>
    </row>
    <row r="245" spans="1:22" x14ac:dyDescent="0.25">
      <c r="A245" s="7">
        <v>244</v>
      </c>
      <c r="B245" s="3">
        <v>43591</v>
      </c>
      <c r="C245" s="2" t="s">
        <v>66</v>
      </c>
      <c r="D245" s="2" t="s">
        <v>51</v>
      </c>
      <c r="E245" s="2" t="s">
        <v>59</v>
      </c>
      <c r="F245" s="2" t="s">
        <v>65</v>
      </c>
      <c r="G245" s="3">
        <v>34195</v>
      </c>
      <c r="H245" s="2">
        <v>27</v>
      </c>
      <c r="I245" s="2" t="s">
        <v>26</v>
      </c>
      <c r="J245" s="2" t="s">
        <v>27</v>
      </c>
      <c r="K245" s="2" t="s">
        <v>37</v>
      </c>
      <c r="L245" s="2" t="s">
        <v>45</v>
      </c>
      <c r="M245" s="2" t="s">
        <v>38</v>
      </c>
      <c r="N245" s="2" t="s">
        <v>63</v>
      </c>
      <c r="O245" s="2" t="s">
        <v>64</v>
      </c>
      <c r="P245" s="2"/>
      <c r="Q245" s="2">
        <v>1</v>
      </c>
      <c r="R245" s="2">
        <v>1</v>
      </c>
      <c r="S245" s="2"/>
      <c r="T245" s="2"/>
      <c r="U245" s="3"/>
      <c r="V245" s="8">
        <v>150000</v>
      </c>
    </row>
    <row r="246" spans="1:22" x14ac:dyDescent="0.25">
      <c r="A246" s="7">
        <v>245</v>
      </c>
      <c r="B246" s="3">
        <v>43591</v>
      </c>
      <c r="C246" s="2" t="s">
        <v>57</v>
      </c>
      <c r="D246" s="2" t="s">
        <v>51</v>
      </c>
      <c r="E246" s="2" t="s">
        <v>52</v>
      </c>
      <c r="F246" s="2" t="s">
        <v>69</v>
      </c>
      <c r="G246" s="3">
        <v>32589</v>
      </c>
      <c r="H246" s="2">
        <v>31</v>
      </c>
      <c r="I246" s="2" t="s">
        <v>26</v>
      </c>
      <c r="J246" s="2" t="s">
        <v>70</v>
      </c>
      <c r="K246" s="2" t="s">
        <v>28</v>
      </c>
      <c r="L246" s="2" t="s">
        <v>45</v>
      </c>
      <c r="M246" s="2" t="s">
        <v>38</v>
      </c>
      <c r="N246" s="2" t="s">
        <v>63</v>
      </c>
      <c r="O246" s="2" t="s">
        <v>64</v>
      </c>
      <c r="P246" s="2"/>
      <c r="Q246" s="2">
        <v>1</v>
      </c>
      <c r="R246" s="2">
        <v>1</v>
      </c>
      <c r="S246" s="2"/>
      <c r="T246" s="2"/>
      <c r="U246" s="3"/>
      <c r="V246" s="8">
        <v>100000</v>
      </c>
    </row>
    <row r="247" spans="1:22" x14ac:dyDescent="0.25">
      <c r="A247" s="7">
        <v>246</v>
      </c>
      <c r="B247" s="3">
        <v>43593</v>
      </c>
      <c r="C247" s="2" t="s">
        <v>57</v>
      </c>
      <c r="D247" s="2" t="s">
        <v>67</v>
      </c>
      <c r="E247" s="2" t="s">
        <v>68</v>
      </c>
      <c r="F247" s="2" t="s">
        <v>72</v>
      </c>
      <c r="G247" s="3">
        <v>33476</v>
      </c>
      <c r="H247" s="2">
        <v>29</v>
      </c>
      <c r="I247" s="2" t="s">
        <v>26</v>
      </c>
      <c r="J247" s="2" t="s">
        <v>73</v>
      </c>
      <c r="K247" s="2" t="s">
        <v>37</v>
      </c>
      <c r="L247" s="2" t="s">
        <v>45</v>
      </c>
      <c r="M247" s="2" t="s">
        <v>38</v>
      </c>
      <c r="N247" s="2" t="s">
        <v>39</v>
      </c>
      <c r="O247" s="2" t="s">
        <v>46</v>
      </c>
      <c r="P247" s="2" t="s">
        <v>47</v>
      </c>
      <c r="Q247" s="2">
        <v>1</v>
      </c>
      <c r="R247" s="2">
        <v>1</v>
      </c>
      <c r="S247" s="2">
        <v>1</v>
      </c>
      <c r="T247" s="2"/>
      <c r="U247" s="3"/>
      <c r="V247" s="8">
        <v>300000</v>
      </c>
    </row>
    <row r="248" spans="1:22" x14ac:dyDescent="0.25">
      <c r="A248" s="7">
        <v>247</v>
      </c>
      <c r="B248" s="3">
        <v>43594</v>
      </c>
      <c r="C248" s="2" t="s">
        <v>22</v>
      </c>
      <c r="D248" s="2" t="s">
        <v>67</v>
      </c>
      <c r="E248" s="2" t="s">
        <v>68</v>
      </c>
      <c r="F248" s="2" t="s">
        <v>74</v>
      </c>
      <c r="G248" s="3">
        <v>32558</v>
      </c>
      <c r="H248" s="2">
        <v>31</v>
      </c>
      <c r="I248" s="2" t="s">
        <v>26</v>
      </c>
      <c r="J248" s="2" t="s">
        <v>75</v>
      </c>
      <c r="K248" s="2" t="s">
        <v>37</v>
      </c>
      <c r="L248" s="2" t="s">
        <v>76</v>
      </c>
      <c r="M248" s="2" t="s">
        <v>38</v>
      </c>
      <c r="N248" s="2" t="s">
        <v>39</v>
      </c>
      <c r="O248" s="2" t="s">
        <v>40</v>
      </c>
      <c r="P248" s="2" t="s">
        <v>77</v>
      </c>
      <c r="Q248" s="2">
        <v>1</v>
      </c>
      <c r="R248" s="2">
        <v>1</v>
      </c>
      <c r="S248" s="2"/>
      <c r="T248" s="2"/>
      <c r="U248" s="3"/>
      <c r="V248" s="8"/>
    </row>
    <row r="249" spans="1:22" x14ac:dyDescent="0.25">
      <c r="A249" s="7">
        <v>248</v>
      </c>
      <c r="B249" s="3">
        <v>43594</v>
      </c>
      <c r="C249" s="2" t="s">
        <v>22</v>
      </c>
      <c r="D249" s="2" t="s">
        <v>67</v>
      </c>
      <c r="E249" s="2" t="s">
        <v>68</v>
      </c>
      <c r="F249" s="2" t="s">
        <v>122</v>
      </c>
      <c r="G249" s="3">
        <v>33041</v>
      </c>
      <c r="H249" s="2">
        <v>30</v>
      </c>
      <c r="I249" s="2" t="s">
        <v>26</v>
      </c>
      <c r="J249" s="2" t="s">
        <v>27</v>
      </c>
      <c r="K249" s="2" t="s">
        <v>37</v>
      </c>
      <c r="L249" s="2" t="s">
        <v>92</v>
      </c>
      <c r="M249" s="2" t="s">
        <v>38</v>
      </c>
      <c r="N249" s="2" t="s">
        <v>39</v>
      </c>
      <c r="O249" s="2" t="s">
        <v>46</v>
      </c>
      <c r="P249" s="2" t="s">
        <v>137</v>
      </c>
      <c r="Q249" s="2">
        <v>1</v>
      </c>
      <c r="R249" s="2">
        <v>1</v>
      </c>
      <c r="S249" s="2">
        <v>1</v>
      </c>
      <c r="T249" s="2">
        <v>1</v>
      </c>
      <c r="U249" s="3">
        <v>43605</v>
      </c>
      <c r="V249" s="8">
        <v>122000</v>
      </c>
    </row>
    <row r="250" spans="1:22" x14ac:dyDescent="0.25">
      <c r="A250" s="7">
        <v>249</v>
      </c>
      <c r="B250" s="3">
        <v>43595</v>
      </c>
      <c r="C250" s="2" t="s">
        <v>48</v>
      </c>
      <c r="D250" s="2" t="s">
        <v>23</v>
      </c>
      <c r="E250" s="2" t="s">
        <v>24</v>
      </c>
      <c r="F250" s="2" t="s">
        <v>78</v>
      </c>
      <c r="G250" s="3">
        <v>33573</v>
      </c>
      <c r="H250" s="2">
        <v>28</v>
      </c>
      <c r="I250" s="2" t="s">
        <v>26</v>
      </c>
      <c r="J250" s="2" t="s">
        <v>79</v>
      </c>
      <c r="K250" s="2" t="s">
        <v>37</v>
      </c>
      <c r="L250" s="2" t="s">
        <v>45</v>
      </c>
      <c r="M250" s="2" t="s">
        <v>38</v>
      </c>
      <c r="N250" s="2" t="s">
        <v>89</v>
      </c>
      <c r="O250" s="2"/>
      <c r="P250" s="2"/>
      <c r="Q250" s="2">
        <v>1</v>
      </c>
      <c r="R250" s="2">
        <v>1</v>
      </c>
      <c r="S250" s="2"/>
      <c r="T250" s="2"/>
      <c r="U250" s="3"/>
      <c r="V250" s="8"/>
    </row>
    <row r="251" spans="1:22" x14ac:dyDescent="0.25">
      <c r="A251" s="7">
        <v>250</v>
      </c>
      <c r="B251" s="3">
        <v>43596</v>
      </c>
      <c r="C251" s="2" t="s">
        <v>32</v>
      </c>
      <c r="D251" s="2" t="s">
        <v>71</v>
      </c>
      <c r="E251" s="2" t="s">
        <v>136</v>
      </c>
      <c r="F251" s="2" t="s">
        <v>80</v>
      </c>
      <c r="G251" s="3">
        <v>33088</v>
      </c>
      <c r="H251" s="2">
        <v>30</v>
      </c>
      <c r="I251" s="2" t="s">
        <v>26</v>
      </c>
      <c r="J251" s="2" t="s">
        <v>75</v>
      </c>
      <c r="K251" s="2" t="s">
        <v>37</v>
      </c>
      <c r="L251" s="2" t="s">
        <v>45</v>
      </c>
      <c r="M251" s="2" t="s">
        <v>30</v>
      </c>
      <c r="N251" s="2" t="s">
        <v>81</v>
      </c>
      <c r="O251" s="2"/>
      <c r="P251" s="2"/>
      <c r="Q251" s="2">
        <v>1</v>
      </c>
      <c r="R251" s="2"/>
      <c r="S251" s="2"/>
      <c r="T251" s="2"/>
      <c r="U251" s="3"/>
      <c r="V251" s="8"/>
    </row>
    <row r="252" spans="1:22" x14ac:dyDescent="0.25">
      <c r="A252" s="7">
        <v>251</v>
      </c>
      <c r="B252" s="3">
        <v>43597</v>
      </c>
      <c r="C252" s="2" t="s">
        <v>66</v>
      </c>
      <c r="D252" s="2" t="s">
        <v>23</v>
      </c>
      <c r="E252" s="2" t="s">
        <v>24</v>
      </c>
      <c r="F252" s="2" t="s">
        <v>82</v>
      </c>
      <c r="G252" s="3">
        <v>33594</v>
      </c>
      <c r="H252" s="2">
        <v>28</v>
      </c>
      <c r="I252" s="2" t="s">
        <v>26</v>
      </c>
      <c r="J252" s="2" t="s">
        <v>83</v>
      </c>
      <c r="K252" s="2" t="s">
        <v>37</v>
      </c>
      <c r="L252" s="2" t="s">
        <v>45</v>
      </c>
      <c r="M252" s="2" t="s">
        <v>38</v>
      </c>
      <c r="N252" s="2" t="s">
        <v>39</v>
      </c>
      <c r="O252" s="2" t="s">
        <v>40</v>
      </c>
      <c r="P252" s="2" t="s">
        <v>137</v>
      </c>
      <c r="Q252" s="2">
        <v>1</v>
      </c>
      <c r="R252" s="2">
        <v>1</v>
      </c>
      <c r="S252" s="2">
        <v>1</v>
      </c>
      <c r="T252" s="2">
        <v>1</v>
      </c>
      <c r="U252" s="3">
        <v>43597</v>
      </c>
      <c r="V252" s="8">
        <v>121000</v>
      </c>
    </row>
    <row r="253" spans="1:22" x14ac:dyDescent="0.25">
      <c r="A253" s="7">
        <v>252</v>
      </c>
      <c r="B253" s="3">
        <v>43598</v>
      </c>
      <c r="C253" s="2" t="s">
        <v>48</v>
      </c>
      <c r="D253" s="2" t="s">
        <v>23</v>
      </c>
      <c r="E253" s="2" t="s">
        <v>24</v>
      </c>
      <c r="F253" s="2" t="s">
        <v>117</v>
      </c>
      <c r="G253" s="3">
        <v>34021</v>
      </c>
      <c r="H253" s="2">
        <v>27</v>
      </c>
      <c r="I253" s="2" t="s">
        <v>26</v>
      </c>
      <c r="J253" s="2" t="s">
        <v>27</v>
      </c>
      <c r="K253" s="2" t="s">
        <v>28</v>
      </c>
      <c r="L253" s="2" t="s">
        <v>45</v>
      </c>
      <c r="M253" s="2" t="s">
        <v>38</v>
      </c>
      <c r="N253" s="2" t="s">
        <v>39</v>
      </c>
      <c r="O253" s="2" t="s">
        <v>46</v>
      </c>
      <c r="P253" s="2" t="s">
        <v>118</v>
      </c>
      <c r="Q253" s="2">
        <v>1</v>
      </c>
      <c r="R253" s="2">
        <v>1</v>
      </c>
      <c r="S253" s="2">
        <v>1</v>
      </c>
      <c r="T253" s="2">
        <v>1</v>
      </c>
      <c r="U253" s="3">
        <v>43594</v>
      </c>
      <c r="V253" s="8">
        <v>150000</v>
      </c>
    </row>
    <row r="254" spans="1:22" x14ac:dyDescent="0.25">
      <c r="A254" s="7">
        <v>253</v>
      </c>
      <c r="B254" s="3">
        <v>43600</v>
      </c>
      <c r="C254" s="2" t="s">
        <v>57</v>
      </c>
      <c r="D254" s="2" t="s">
        <v>67</v>
      </c>
      <c r="E254" s="2" t="s">
        <v>68</v>
      </c>
      <c r="F254" s="2" t="s">
        <v>119</v>
      </c>
      <c r="G254" s="3">
        <v>34295</v>
      </c>
      <c r="H254" s="2">
        <v>26</v>
      </c>
      <c r="I254" s="2" t="s">
        <v>26</v>
      </c>
      <c r="J254" s="2" t="s">
        <v>27</v>
      </c>
      <c r="K254" s="2" t="s">
        <v>37</v>
      </c>
      <c r="L254" s="2" t="s">
        <v>45</v>
      </c>
      <c r="M254" s="2" t="s">
        <v>38</v>
      </c>
      <c r="N254" s="2" t="s">
        <v>39</v>
      </c>
      <c r="O254" s="2" t="s">
        <v>46</v>
      </c>
      <c r="P254" s="2" t="s">
        <v>135</v>
      </c>
      <c r="Q254" s="2">
        <v>1</v>
      </c>
      <c r="R254" s="2">
        <v>1</v>
      </c>
      <c r="S254" s="2">
        <v>1</v>
      </c>
      <c r="T254" s="2">
        <v>1</v>
      </c>
      <c r="U254" s="3">
        <v>43601</v>
      </c>
      <c r="V254" s="8">
        <v>150000</v>
      </c>
    </row>
    <row r="255" spans="1:22" x14ac:dyDescent="0.25">
      <c r="A255" s="7">
        <v>254</v>
      </c>
      <c r="B255" s="3">
        <v>43601</v>
      </c>
      <c r="C255" s="2" t="s">
        <v>57</v>
      </c>
      <c r="D255" s="2" t="s">
        <v>51</v>
      </c>
      <c r="E255" s="2" t="s">
        <v>52</v>
      </c>
      <c r="F255" s="2" t="s">
        <v>120</v>
      </c>
      <c r="G255" s="3">
        <v>34118</v>
      </c>
      <c r="H255" s="2">
        <v>27</v>
      </c>
      <c r="I255" s="2" t="s">
        <v>26</v>
      </c>
      <c r="J255" s="2" t="s">
        <v>79</v>
      </c>
      <c r="K255" s="2" t="s">
        <v>28</v>
      </c>
      <c r="L255" s="2" t="s">
        <v>45</v>
      </c>
      <c r="M255" s="2" t="s">
        <v>38</v>
      </c>
      <c r="N255" s="2" t="s">
        <v>63</v>
      </c>
      <c r="O255" s="2" t="s">
        <v>64</v>
      </c>
      <c r="P255" s="2"/>
      <c r="Q255" s="2">
        <v>1</v>
      </c>
      <c r="R255" s="2"/>
      <c r="S255" s="2"/>
      <c r="T255" s="2"/>
      <c r="U255" s="3"/>
      <c r="V255" s="8">
        <v>100000</v>
      </c>
    </row>
    <row r="256" spans="1:22" x14ac:dyDescent="0.25">
      <c r="A256" s="7">
        <v>255</v>
      </c>
      <c r="B256" s="3">
        <v>43602</v>
      </c>
      <c r="C256" s="2" t="s">
        <v>22</v>
      </c>
      <c r="D256" s="2" t="s">
        <v>67</v>
      </c>
      <c r="E256" s="2" t="s">
        <v>68</v>
      </c>
      <c r="F256" s="2" t="s">
        <v>86</v>
      </c>
      <c r="G256" s="3">
        <v>34384</v>
      </c>
      <c r="H256" s="2">
        <v>26</v>
      </c>
      <c r="I256" s="2" t="s">
        <v>87</v>
      </c>
      <c r="J256" s="2" t="s">
        <v>88</v>
      </c>
      <c r="K256" s="2" t="s">
        <v>37</v>
      </c>
      <c r="L256" s="2" t="s">
        <v>55</v>
      </c>
      <c r="M256" s="2" t="s">
        <v>38</v>
      </c>
      <c r="N256" s="2" t="s">
        <v>39</v>
      </c>
      <c r="O256" s="2" t="s">
        <v>40</v>
      </c>
      <c r="P256" s="2" t="s">
        <v>41</v>
      </c>
      <c r="Q256" s="2">
        <v>1</v>
      </c>
      <c r="R256" s="2">
        <v>1</v>
      </c>
      <c r="S256" s="2"/>
      <c r="T256" s="2"/>
      <c r="U256" s="3"/>
      <c r="V256" s="8"/>
    </row>
    <row r="257" spans="1:22" x14ac:dyDescent="0.25">
      <c r="A257" s="7">
        <v>256</v>
      </c>
      <c r="B257" s="3">
        <v>43602</v>
      </c>
      <c r="C257" s="2" t="s">
        <v>57</v>
      </c>
      <c r="D257" s="2" t="s">
        <v>67</v>
      </c>
      <c r="E257" s="2" t="s">
        <v>68</v>
      </c>
      <c r="F257" s="2" t="s">
        <v>94</v>
      </c>
      <c r="G257" s="3">
        <v>33667</v>
      </c>
      <c r="H257" s="2">
        <v>28</v>
      </c>
      <c r="I257" s="2" t="s">
        <v>26</v>
      </c>
      <c r="J257" s="2" t="s">
        <v>27</v>
      </c>
      <c r="K257" s="2" t="s">
        <v>37</v>
      </c>
      <c r="L257" s="2" t="s">
        <v>92</v>
      </c>
      <c r="M257" s="2" t="s">
        <v>38</v>
      </c>
      <c r="N257" s="2" t="s">
        <v>39</v>
      </c>
      <c r="O257" s="2" t="s">
        <v>46</v>
      </c>
      <c r="P257" s="2" t="s">
        <v>95</v>
      </c>
      <c r="Q257" s="2">
        <v>1</v>
      </c>
      <c r="R257" s="2">
        <v>1</v>
      </c>
      <c r="S257" s="2"/>
      <c r="T257" s="2"/>
      <c r="U257" s="3"/>
      <c r="V257" s="8">
        <v>200000</v>
      </c>
    </row>
    <row r="258" spans="1:22" x14ac:dyDescent="0.25">
      <c r="A258" s="7">
        <v>257</v>
      </c>
      <c r="B258" s="3">
        <v>43603</v>
      </c>
      <c r="C258" s="2" t="s">
        <v>66</v>
      </c>
      <c r="D258" s="2" t="s">
        <v>51</v>
      </c>
      <c r="E258" s="2" t="s">
        <v>59</v>
      </c>
      <c r="F258" s="2" t="s">
        <v>96</v>
      </c>
      <c r="G258" s="3">
        <v>35008</v>
      </c>
      <c r="H258" s="2">
        <v>24</v>
      </c>
      <c r="I258" s="2" t="s">
        <v>26</v>
      </c>
      <c r="J258" s="2" t="s">
        <v>97</v>
      </c>
      <c r="K258" s="2" t="s">
        <v>37</v>
      </c>
      <c r="L258" s="2" t="s">
        <v>45</v>
      </c>
      <c r="M258" s="2" t="s">
        <v>38</v>
      </c>
      <c r="N258" s="2" t="s">
        <v>63</v>
      </c>
      <c r="O258" s="2" t="s">
        <v>64</v>
      </c>
      <c r="P258" s="2"/>
      <c r="Q258" s="2">
        <v>1</v>
      </c>
      <c r="R258" s="2">
        <v>1</v>
      </c>
      <c r="S258" s="2"/>
      <c r="T258" s="2"/>
      <c r="U258" s="3"/>
      <c r="V258" s="8"/>
    </row>
    <row r="259" spans="1:22" x14ac:dyDescent="0.25">
      <c r="A259" s="7">
        <v>258</v>
      </c>
      <c r="B259" s="3">
        <v>43603</v>
      </c>
      <c r="C259" s="2" t="s">
        <v>57</v>
      </c>
      <c r="D259" s="2" t="s">
        <v>51</v>
      </c>
      <c r="E259" s="2" t="s">
        <v>52</v>
      </c>
      <c r="F259" s="2" t="s">
        <v>98</v>
      </c>
      <c r="G259" s="3">
        <v>34231</v>
      </c>
      <c r="H259" s="2">
        <v>26</v>
      </c>
      <c r="I259" s="2" t="s">
        <v>26</v>
      </c>
      <c r="J259" s="2" t="s">
        <v>88</v>
      </c>
      <c r="K259" s="2" t="s">
        <v>37</v>
      </c>
      <c r="L259" s="2" t="s">
        <v>45</v>
      </c>
      <c r="M259" s="2" t="s">
        <v>38</v>
      </c>
      <c r="N259" s="2" t="s">
        <v>63</v>
      </c>
      <c r="O259" s="2" t="s">
        <v>64</v>
      </c>
      <c r="P259" s="2"/>
      <c r="Q259" s="2">
        <v>1</v>
      </c>
      <c r="R259" s="2"/>
      <c r="S259" s="2"/>
      <c r="T259" s="2"/>
      <c r="U259" s="3"/>
      <c r="V259" s="8">
        <v>100000</v>
      </c>
    </row>
    <row r="260" spans="1:22" x14ac:dyDescent="0.25">
      <c r="A260" s="7">
        <v>259</v>
      </c>
      <c r="B260" s="3">
        <v>43604</v>
      </c>
      <c r="C260" s="2" t="s">
        <v>66</v>
      </c>
      <c r="D260" s="2" t="s">
        <v>51</v>
      </c>
      <c r="E260" s="2" t="s">
        <v>59</v>
      </c>
      <c r="F260" s="2" t="s">
        <v>99</v>
      </c>
      <c r="G260" s="3">
        <v>33577</v>
      </c>
      <c r="H260" s="2">
        <v>28</v>
      </c>
      <c r="I260" s="2" t="s">
        <v>26</v>
      </c>
      <c r="J260" s="2" t="s">
        <v>27</v>
      </c>
      <c r="K260" s="2" t="s">
        <v>37</v>
      </c>
      <c r="L260" s="2" t="s">
        <v>92</v>
      </c>
      <c r="M260" s="2" t="s">
        <v>38</v>
      </c>
      <c r="N260" s="2" t="s">
        <v>63</v>
      </c>
      <c r="O260" s="2" t="s">
        <v>64</v>
      </c>
      <c r="P260" s="2"/>
      <c r="Q260" s="2">
        <v>1</v>
      </c>
      <c r="R260" s="2">
        <v>1</v>
      </c>
      <c r="S260" s="2"/>
      <c r="T260" s="2"/>
      <c r="U260" s="3"/>
      <c r="V260" s="8">
        <v>100000</v>
      </c>
    </row>
    <row r="261" spans="1:22" x14ac:dyDescent="0.25">
      <c r="A261" s="7">
        <v>260</v>
      </c>
      <c r="B261" s="3">
        <v>43605</v>
      </c>
      <c r="C261" s="2" t="s">
        <v>22</v>
      </c>
      <c r="D261" s="2" t="s">
        <v>67</v>
      </c>
      <c r="E261" s="2" t="s">
        <v>68</v>
      </c>
      <c r="F261" s="2" t="s">
        <v>104</v>
      </c>
      <c r="G261" s="3">
        <v>34542</v>
      </c>
      <c r="H261" s="2">
        <v>26</v>
      </c>
      <c r="I261" s="2" t="s">
        <v>26</v>
      </c>
      <c r="J261" s="2" t="s">
        <v>27</v>
      </c>
      <c r="K261" s="2" t="s">
        <v>91</v>
      </c>
      <c r="L261" s="2" t="s">
        <v>55</v>
      </c>
      <c r="M261" s="2" t="s">
        <v>38</v>
      </c>
      <c r="N261" s="2" t="s">
        <v>56</v>
      </c>
      <c r="O261" s="2"/>
      <c r="P261" s="2"/>
      <c r="Q261" s="2">
        <v>1</v>
      </c>
      <c r="R261" s="2">
        <v>1</v>
      </c>
      <c r="S261" s="2"/>
      <c r="T261" s="2"/>
      <c r="U261" s="3"/>
      <c r="V261" s="8"/>
    </row>
    <row r="262" spans="1:22" x14ac:dyDescent="0.25">
      <c r="A262" s="7">
        <v>261</v>
      </c>
      <c r="B262" s="3">
        <v>43605</v>
      </c>
      <c r="C262" s="2" t="s">
        <v>32</v>
      </c>
      <c r="D262" s="2" t="s">
        <v>71</v>
      </c>
      <c r="E262" s="2" t="s">
        <v>136</v>
      </c>
      <c r="F262" s="2" t="s">
        <v>105</v>
      </c>
      <c r="G262" s="3">
        <v>33144</v>
      </c>
      <c r="H262" s="2">
        <v>29</v>
      </c>
      <c r="I262" s="2" t="s">
        <v>26</v>
      </c>
      <c r="J262" s="2" t="s">
        <v>27</v>
      </c>
      <c r="K262" s="2" t="s">
        <v>37</v>
      </c>
      <c r="L262" s="2" t="s">
        <v>55</v>
      </c>
      <c r="M262" s="2" t="s">
        <v>30</v>
      </c>
      <c r="N262" s="2" t="s">
        <v>31</v>
      </c>
      <c r="O262" s="2"/>
      <c r="P262" s="2"/>
      <c r="Q262" s="2">
        <v>1</v>
      </c>
      <c r="R262" s="2">
        <v>1</v>
      </c>
      <c r="S262" s="2">
        <v>1</v>
      </c>
      <c r="T262" s="2"/>
      <c r="U262" s="3"/>
      <c r="V262" s="8"/>
    </row>
    <row r="263" spans="1:22" x14ac:dyDescent="0.25">
      <c r="A263" s="7">
        <v>262</v>
      </c>
      <c r="B263" s="3">
        <v>43605</v>
      </c>
      <c r="C263" s="2" t="s">
        <v>22</v>
      </c>
      <c r="D263" s="2" t="s">
        <v>67</v>
      </c>
      <c r="E263" s="2" t="s">
        <v>68</v>
      </c>
      <c r="F263" s="2" t="s">
        <v>104</v>
      </c>
      <c r="G263" s="3">
        <v>34542</v>
      </c>
      <c r="H263" s="2">
        <v>26</v>
      </c>
      <c r="I263" s="2" t="s">
        <v>26</v>
      </c>
      <c r="J263" s="2" t="s">
        <v>27</v>
      </c>
      <c r="K263" s="2" t="s">
        <v>91</v>
      </c>
      <c r="L263" s="2" t="s">
        <v>55</v>
      </c>
      <c r="M263" s="2" t="s">
        <v>38</v>
      </c>
      <c r="N263" s="2" t="s">
        <v>56</v>
      </c>
      <c r="O263" s="2"/>
      <c r="P263" s="2"/>
      <c r="Q263" s="2">
        <v>1</v>
      </c>
      <c r="R263" s="2">
        <v>1</v>
      </c>
      <c r="S263" s="2"/>
      <c r="T263" s="2"/>
      <c r="U263" s="3"/>
      <c r="V263" s="8"/>
    </row>
    <row r="264" spans="1:22" x14ac:dyDescent="0.25">
      <c r="A264" s="7">
        <v>263</v>
      </c>
      <c r="B264" s="3">
        <v>43605</v>
      </c>
      <c r="C264" s="2" t="s">
        <v>32</v>
      </c>
      <c r="D264" s="2" t="s">
        <v>71</v>
      </c>
      <c r="E264" s="2" t="s">
        <v>136</v>
      </c>
      <c r="F264" s="2" t="s">
        <v>105</v>
      </c>
      <c r="G264" s="3">
        <v>33144</v>
      </c>
      <c r="H264" s="2">
        <v>29</v>
      </c>
      <c r="I264" s="2" t="s">
        <v>26</v>
      </c>
      <c r="J264" s="2" t="s">
        <v>27</v>
      </c>
      <c r="K264" s="2" t="s">
        <v>37</v>
      </c>
      <c r="L264" s="2" t="s">
        <v>55</v>
      </c>
      <c r="M264" s="2" t="s">
        <v>30</v>
      </c>
      <c r="N264" s="2" t="s">
        <v>31</v>
      </c>
      <c r="O264" s="2"/>
      <c r="P264" s="2"/>
      <c r="Q264" s="2">
        <v>1</v>
      </c>
      <c r="R264" s="2">
        <v>1</v>
      </c>
      <c r="S264" s="2">
        <v>1</v>
      </c>
      <c r="T264" s="2"/>
      <c r="U264" s="3"/>
      <c r="V264" s="8"/>
    </row>
    <row r="265" spans="1:22" x14ac:dyDescent="0.25">
      <c r="A265" s="7">
        <v>264</v>
      </c>
      <c r="B265" s="3">
        <v>43605</v>
      </c>
      <c r="C265" s="2" t="s">
        <v>22</v>
      </c>
      <c r="D265" s="2" t="s">
        <v>67</v>
      </c>
      <c r="E265" s="2" t="s">
        <v>68</v>
      </c>
      <c r="F265" s="2" t="s">
        <v>101</v>
      </c>
      <c r="G265" s="3">
        <v>33840</v>
      </c>
      <c r="H265" s="2">
        <v>28</v>
      </c>
      <c r="I265" s="2" t="s">
        <v>87</v>
      </c>
      <c r="J265" s="2" t="s">
        <v>102</v>
      </c>
      <c r="K265" s="2" t="s">
        <v>37</v>
      </c>
      <c r="L265" s="2" t="s">
        <v>103</v>
      </c>
      <c r="M265" s="2" t="s">
        <v>38</v>
      </c>
      <c r="N265" s="2" t="s">
        <v>39</v>
      </c>
      <c r="O265" s="2" t="s">
        <v>46</v>
      </c>
      <c r="P265" s="2" t="s">
        <v>135</v>
      </c>
      <c r="Q265" s="2">
        <v>1</v>
      </c>
      <c r="R265" s="2">
        <v>1</v>
      </c>
      <c r="S265" s="2"/>
      <c r="T265" s="2"/>
      <c r="U265" s="3"/>
      <c r="V265" s="8">
        <v>200000</v>
      </c>
    </row>
    <row r="266" spans="1:22" x14ac:dyDescent="0.25">
      <c r="A266" s="7">
        <v>265</v>
      </c>
      <c r="B266" s="3">
        <v>43606</v>
      </c>
      <c r="C266" s="2" t="s">
        <v>32</v>
      </c>
      <c r="D266" s="2" t="s">
        <v>71</v>
      </c>
      <c r="E266" s="2" t="s">
        <v>136</v>
      </c>
      <c r="F266" s="2" t="s">
        <v>106</v>
      </c>
      <c r="G266" s="3">
        <v>33868</v>
      </c>
      <c r="H266" s="2">
        <v>27</v>
      </c>
      <c r="I266" s="2" t="s">
        <v>26</v>
      </c>
      <c r="J266" s="2" t="s">
        <v>79</v>
      </c>
      <c r="K266" s="2" t="s">
        <v>91</v>
      </c>
      <c r="L266" s="2" t="s">
        <v>45</v>
      </c>
      <c r="M266" s="2" t="s">
        <v>30</v>
      </c>
      <c r="N266" s="2" t="s">
        <v>81</v>
      </c>
      <c r="O266" s="2"/>
      <c r="P266" s="2"/>
      <c r="Q266" s="2">
        <v>1</v>
      </c>
      <c r="R266" s="2"/>
      <c r="S266" s="2"/>
      <c r="T266" s="2"/>
      <c r="U266" s="3"/>
      <c r="V266" s="8"/>
    </row>
    <row r="267" spans="1:22" x14ac:dyDescent="0.25">
      <c r="A267" s="7">
        <v>266</v>
      </c>
      <c r="B267" s="3">
        <v>43606</v>
      </c>
      <c r="C267" s="2" t="s">
        <v>32</v>
      </c>
      <c r="D267" s="2" t="s">
        <v>71</v>
      </c>
      <c r="E267" s="2" t="s">
        <v>136</v>
      </c>
      <c r="F267" s="2" t="s">
        <v>107</v>
      </c>
      <c r="G267" s="3">
        <v>33429</v>
      </c>
      <c r="H267" s="2">
        <v>29</v>
      </c>
      <c r="I267" s="2" t="s">
        <v>87</v>
      </c>
      <c r="J267" s="2" t="s">
        <v>108</v>
      </c>
      <c r="K267" s="2" t="s">
        <v>37</v>
      </c>
      <c r="L267" s="2" t="s">
        <v>45</v>
      </c>
      <c r="M267" s="2" t="s">
        <v>30</v>
      </c>
      <c r="N267" s="2" t="s">
        <v>31</v>
      </c>
      <c r="O267" s="2"/>
      <c r="P267" s="2"/>
      <c r="Q267" s="2">
        <v>1</v>
      </c>
      <c r="R267" s="2"/>
      <c r="S267" s="2"/>
      <c r="T267" s="2"/>
      <c r="U267" s="3"/>
      <c r="V267" s="8"/>
    </row>
    <row r="268" spans="1:22" x14ac:dyDescent="0.25">
      <c r="A268" s="7">
        <v>267</v>
      </c>
      <c r="B268" s="3">
        <v>43606</v>
      </c>
      <c r="C268" s="2" t="s">
        <v>32</v>
      </c>
      <c r="D268" s="2" t="s">
        <v>71</v>
      </c>
      <c r="E268" s="2" t="s">
        <v>136</v>
      </c>
      <c r="F268" s="2" t="s">
        <v>106</v>
      </c>
      <c r="G268" s="3">
        <v>33868</v>
      </c>
      <c r="H268" s="2">
        <v>27</v>
      </c>
      <c r="I268" s="2" t="s">
        <v>26</v>
      </c>
      <c r="J268" s="2" t="s">
        <v>79</v>
      </c>
      <c r="K268" s="2" t="s">
        <v>91</v>
      </c>
      <c r="L268" s="2" t="s">
        <v>45</v>
      </c>
      <c r="M268" s="2" t="s">
        <v>30</v>
      </c>
      <c r="N268" s="2" t="s">
        <v>81</v>
      </c>
      <c r="O268" s="2"/>
      <c r="P268" s="2"/>
      <c r="Q268" s="2">
        <v>1</v>
      </c>
      <c r="R268" s="2"/>
      <c r="S268" s="2"/>
      <c r="T268" s="2"/>
      <c r="U268" s="3"/>
      <c r="V268" s="8"/>
    </row>
    <row r="269" spans="1:22" x14ac:dyDescent="0.25">
      <c r="A269" s="7">
        <v>268</v>
      </c>
      <c r="B269" s="3">
        <v>43606</v>
      </c>
      <c r="C269" s="2" t="s">
        <v>32</v>
      </c>
      <c r="D269" s="2" t="s">
        <v>71</v>
      </c>
      <c r="E269" s="2" t="s">
        <v>136</v>
      </c>
      <c r="F269" s="2" t="s">
        <v>107</v>
      </c>
      <c r="G269" s="3">
        <v>33429</v>
      </c>
      <c r="H269" s="2">
        <v>29</v>
      </c>
      <c r="I269" s="2" t="s">
        <v>87</v>
      </c>
      <c r="J269" s="2" t="s">
        <v>108</v>
      </c>
      <c r="K269" s="2" t="s">
        <v>37</v>
      </c>
      <c r="L269" s="2" t="s">
        <v>45</v>
      </c>
      <c r="M269" s="2" t="s">
        <v>30</v>
      </c>
      <c r="N269" s="2" t="s">
        <v>31</v>
      </c>
      <c r="O269" s="2"/>
      <c r="P269" s="2"/>
      <c r="Q269" s="2">
        <v>1</v>
      </c>
      <c r="R269" s="2"/>
      <c r="S269" s="2"/>
      <c r="T269" s="2"/>
      <c r="U269" s="3"/>
      <c r="V269" s="8"/>
    </row>
    <row r="270" spans="1:22" x14ac:dyDescent="0.25">
      <c r="A270" s="7">
        <v>269</v>
      </c>
      <c r="B270" s="3">
        <v>43606</v>
      </c>
      <c r="C270" s="2" t="s">
        <v>48</v>
      </c>
      <c r="D270" s="2" t="s">
        <v>23</v>
      </c>
      <c r="E270" s="2" t="s">
        <v>24</v>
      </c>
      <c r="F270" s="2" t="s">
        <v>111</v>
      </c>
      <c r="G270" s="3">
        <v>32919</v>
      </c>
      <c r="H270" s="2">
        <v>30</v>
      </c>
      <c r="I270" s="2" t="s">
        <v>87</v>
      </c>
      <c r="J270" s="2" t="s">
        <v>50</v>
      </c>
      <c r="K270" s="2" t="s">
        <v>91</v>
      </c>
      <c r="L270" s="2" t="s">
        <v>45</v>
      </c>
      <c r="M270" s="2" t="s">
        <v>38</v>
      </c>
      <c r="N270" s="2" t="s">
        <v>39</v>
      </c>
      <c r="O270" s="2" t="s">
        <v>40</v>
      </c>
      <c r="P270" s="2" t="s">
        <v>112</v>
      </c>
      <c r="Q270" s="2">
        <v>1</v>
      </c>
      <c r="R270" s="2">
        <v>1</v>
      </c>
      <c r="S270" s="2"/>
      <c r="T270" s="2"/>
      <c r="U270" s="3"/>
      <c r="V270" s="8"/>
    </row>
    <row r="271" spans="1:22" x14ac:dyDescent="0.25">
      <c r="A271" s="7">
        <v>270</v>
      </c>
      <c r="B271" s="3">
        <v>43607</v>
      </c>
      <c r="C271" s="2" t="s">
        <v>57</v>
      </c>
      <c r="D271" s="2" t="s">
        <v>67</v>
      </c>
      <c r="E271" s="2" t="s">
        <v>68</v>
      </c>
      <c r="F271" s="2" t="s">
        <v>115</v>
      </c>
      <c r="G271" s="3">
        <v>32589</v>
      </c>
      <c r="H271" s="2">
        <v>31</v>
      </c>
      <c r="I271" s="2" t="s">
        <v>26</v>
      </c>
      <c r="J271" s="2" t="s">
        <v>27</v>
      </c>
      <c r="K271" s="2" t="s">
        <v>37</v>
      </c>
      <c r="L271" s="2" t="s">
        <v>45</v>
      </c>
      <c r="M271" s="2" t="s">
        <v>38</v>
      </c>
      <c r="N271" s="2" t="s">
        <v>89</v>
      </c>
      <c r="O271" s="2"/>
      <c r="P271" s="2"/>
      <c r="Q271" s="2">
        <v>1</v>
      </c>
      <c r="R271" s="2"/>
      <c r="S271" s="2"/>
      <c r="T271" s="2"/>
      <c r="U271" s="3"/>
      <c r="V271" s="8"/>
    </row>
    <row r="272" spans="1:22" x14ac:dyDescent="0.25">
      <c r="A272" s="7">
        <v>271</v>
      </c>
      <c r="B272" s="3">
        <v>43607</v>
      </c>
      <c r="C272" s="2" t="s">
        <v>48</v>
      </c>
      <c r="D272" s="2" t="s">
        <v>23</v>
      </c>
      <c r="E272" s="2" t="s">
        <v>24</v>
      </c>
      <c r="F272" s="2" t="s">
        <v>116</v>
      </c>
      <c r="G272" s="3">
        <v>34652</v>
      </c>
      <c r="H272" s="2">
        <v>25</v>
      </c>
      <c r="I272" s="2" t="s">
        <v>26</v>
      </c>
      <c r="J272" s="2" t="s">
        <v>88</v>
      </c>
      <c r="K272" s="2" t="s">
        <v>91</v>
      </c>
      <c r="L272" s="2" t="s">
        <v>45</v>
      </c>
      <c r="M272" s="2" t="s">
        <v>38</v>
      </c>
      <c r="N272" s="2" t="s">
        <v>39</v>
      </c>
      <c r="O272" s="2" t="s">
        <v>46</v>
      </c>
      <c r="P272" s="2" t="s">
        <v>47</v>
      </c>
      <c r="Q272" s="2">
        <v>1</v>
      </c>
      <c r="R272" s="2"/>
      <c r="S272" s="2"/>
      <c r="T272" s="2"/>
      <c r="U272" s="3"/>
      <c r="V272" s="8">
        <v>300000</v>
      </c>
    </row>
    <row r="273" spans="1:22" x14ac:dyDescent="0.25">
      <c r="A273" s="7">
        <v>272</v>
      </c>
      <c r="B273" s="3">
        <v>43608</v>
      </c>
      <c r="C273" s="2" t="s">
        <v>57</v>
      </c>
      <c r="D273" s="2" t="s">
        <v>51</v>
      </c>
      <c r="E273" s="2" t="s">
        <v>52</v>
      </c>
      <c r="F273" s="2" t="s">
        <v>86</v>
      </c>
      <c r="G273" s="3">
        <v>31553</v>
      </c>
      <c r="H273" s="2">
        <v>34</v>
      </c>
      <c r="I273" s="2" t="s">
        <v>26</v>
      </c>
      <c r="J273" s="2" t="s">
        <v>27</v>
      </c>
      <c r="K273" s="2" t="s">
        <v>91</v>
      </c>
      <c r="L273" s="2" t="s">
        <v>45</v>
      </c>
      <c r="M273" s="2" t="s">
        <v>30</v>
      </c>
      <c r="N273" s="2" t="s">
        <v>31</v>
      </c>
      <c r="O273" s="2"/>
      <c r="P273" s="2"/>
      <c r="Q273" s="2">
        <v>1</v>
      </c>
      <c r="R273" s="2">
        <v>1</v>
      </c>
      <c r="S273" s="2">
        <v>1</v>
      </c>
      <c r="T273" s="2">
        <v>1</v>
      </c>
      <c r="U273" s="3">
        <v>43610</v>
      </c>
      <c r="V273" s="8">
        <v>500000</v>
      </c>
    </row>
    <row r="274" spans="1:22" x14ac:dyDescent="0.25">
      <c r="A274" s="7">
        <v>273</v>
      </c>
      <c r="B274" s="3">
        <v>43609</v>
      </c>
      <c r="C274" s="2" t="s">
        <v>66</v>
      </c>
      <c r="D274" s="2" t="s">
        <v>51</v>
      </c>
      <c r="E274" s="2" t="s">
        <v>59</v>
      </c>
      <c r="F274" s="2" t="s">
        <v>96</v>
      </c>
      <c r="G274" s="3">
        <v>33409</v>
      </c>
      <c r="H274" s="2">
        <v>29</v>
      </c>
      <c r="I274" s="2" t="s">
        <v>26</v>
      </c>
      <c r="J274" s="2" t="s">
        <v>110</v>
      </c>
      <c r="K274" s="2" t="s">
        <v>28</v>
      </c>
      <c r="L274" s="2" t="s">
        <v>114</v>
      </c>
      <c r="M274" s="2" t="s">
        <v>30</v>
      </c>
      <c r="N274" s="2" t="s">
        <v>31</v>
      </c>
      <c r="O274" s="2"/>
      <c r="P274" s="2"/>
      <c r="Q274" s="2">
        <v>1</v>
      </c>
      <c r="R274" s="2"/>
      <c r="S274" s="2"/>
      <c r="T274" s="2"/>
      <c r="U274" s="3"/>
      <c r="V274" s="8"/>
    </row>
    <row r="275" spans="1:22" x14ac:dyDescent="0.25">
      <c r="A275" s="7">
        <v>274</v>
      </c>
      <c r="B275" s="3">
        <v>43612</v>
      </c>
      <c r="C275" s="2" t="s">
        <v>66</v>
      </c>
      <c r="D275" s="2" t="s">
        <v>51</v>
      </c>
      <c r="E275" s="2" t="s">
        <v>59</v>
      </c>
      <c r="F275" s="2" t="s">
        <v>80</v>
      </c>
      <c r="G275" s="3">
        <v>33016</v>
      </c>
      <c r="H275" s="2">
        <v>30</v>
      </c>
      <c r="I275" s="2" t="s">
        <v>26</v>
      </c>
      <c r="J275" s="2" t="s">
        <v>61</v>
      </c>
      <c r="K275" s="2" t="s">
        <v>28</v>
      </c>
      <c r="L275" s="2" t="s">
        <v>92</v>
      </c>
      <c r="M275" s="2" t="s">
        <v>38</v>
      </c>
      <c r="N275" s="2" t="s">
        <v>63</v>
      </c>
      <c r="O275" s="2" t="s">
        <v>64</v>
      </c>
      <c r="P275" s="2"/>
      <c r="Q275" s="2">
        <v>1</v>
      </c>
      <c r="R275" s="2"/>
      <c r="S275" s="2"/>
      <c r="T275" s="2"/>
      <c r="U275" s="3"/>
      <c r="V275" s="8">
        <v>100000</v>
      </c>
    </row>
    <row r="276" spans="1:22" ht="15" customHeight="1" x14ac:dyDescent="0.25">
      <c r="A276" s="7">
        <v>275</v>
      </c>
      <c r="B276" s="3">
        <v>43617</v>
      </c>
      <c r="C276" s="2" t="s">
        <v>32</v>
      </c>
      <c r="D276" s="2" t="s">
        <v>33</v>
      </c>
      <c r="E276" s="2" t="s">
        <v>34</v>
      </c>
      <c r="F276" s="2" t="s">
        <v>35</v>
      </c>
      <c r="G276" s="3">
        <v>33016</v>
      </c>
      <c r="H276" s="2">
        <v>30</v>
      </c>
      <c r="I276" s="2" t="s">
        <v>26</v>
      </c>
      <c r="J276" s="2" t="s">
        <v>36</v>
      </c>
      <c r="K276" s="2" t="s">
        <v>37</v>
      </c>
      <c r="L276" s="2" t="s">
        <v>29</v>
      </c>
      <c r="M276" s="2" t="s">
        <v>38</v>
      </c>
      <c r="N276" s="2" t="s">
        <v>39</v>
      </c>
      <c r="O276" s="2" t="s">
        <v>40</v>
      </c>
      <c r="P276" s="2" t="s">
        <v>41</v>
      </c>
      <c r="Q276" s="2">
        <v>1</v>
      </c>
      <c r="R276" s="2"/>
      <c r="S276" s="2"/>
      <c r="T276" s="2"/>
      <c r="U276" s="3"/>
      <c r="V276" s="8"/>
    </row>
    <row r="277" spans="1:22" ht="15" customHeight="1" x14ac:dyDescent="0.25">
      <c r="A277" s="7">
        <v>276</v>
      </c>
      <c r="B277" s="3">
        <v>43617</v>
      </c>
      <c r="C277" s="2" t="s">
        <v>22</v>
      </c>
      <c r="D277" s="2" t="s">
        <v>23</v>
      </c>
      <c r="E277" s="2" t="s">
        <v>24</v>
      </c>
      <c r="F277" s="2" t="s">
        <v>25</v>
      </c>
      <c r="G277" s="3">
        <v>33409</v>
      </c>
      <c r="H277" s="2">
        <v>29</v>
      </c>
      <c r="I277" s="2" t="s">
        <v>26</v>
      </c>
      <c r="J277" s="2" t="s">
        <v>27</v>
      </c>
      <c r="K277" s="2" t="s">
        <v>28</v>
      </c>
      <c r="L277" s="2" t="s">
        <v>29</v>
      </c>
      <c r="M277" s="2" t="s">
        <v>38</v>
      </c>
      <c r="N277" s="2" t="s">
        <v>39</v>
      </c>
      <c r="O277" s="2" t="s">
        <v>40</v>
      </c>
      <c r="P277" s="2" t="s">
        <v>77</v>
      </c>
      <c r="Q277" s="2">
        <v>1</v>
      </c>
      <c r="R277" s="2"/>
      <c r="S277" s="2"/>
      <c r="T277" s="2"/>
      <c r="U277" s="3"/>
      <c r="V277" s="8"/>
    </row>
    <row r="278" spans="1:22" ht="15" customHeight="1" x14ac:dyDescent="0.25">
      <c r="A278" s="7">
        <v>277</v>
      </c>
      <c r="B278" s="3">
        <v>43618</v>
      </c>
      <c r="C278" s="2" t="s">
        <v>32</v>
      </c>
      <c r="D278" s="2" t="s">
        <v>42</v>
      </c>
      <c r="E278" s="2" t="s">
        <v>43</v>
      </c>
      <c r="F278" s="2" t="s">
        <v>44</v>
      </c>
      <c r="G278" s="3">
        <v>33327</v>
      </c>
      <c r="H278" s="2">
        <v>29</v>
      </c>
      <c r="I278" s="2" t="s">
        <v>26</v>
      </c>
      <c r="J278" s="2" t="s">
        <v>27</v>
      </c>
      <c r="K278" s="2" t="s">
        <v>37</v>
      </c>
      <c r="L278" s="2" t="s">
        <v>45</v>
      </c>
      <c r="M278" s="2" t="s">
        <v>38</v>
      </c>
      <c r="N278" s="2" t="s">
        <v>39</v>
      </c>
      <c r="O278" s="2" t="s">
        <v>40</v>
      </c>
      <c r="P278" s="2" t="s">
        <v>41</v>
      </c>
      <c r="Q278" s="2">
        <v>1</v>
      </c>
      <c r="R278" s="2">
        <v>1</v>
      </c>
      <c r="S278" s="2">
        <v>1</v>
      </c>
      <c r="T278" s="2"/>
      <c r="U278" s="3"/>
      <c r="V278" s="8"/>
    </row>
    <row r="279" spans="1:22" ht="15" customHeight="1" x14ac:dyDescent="0.25">
      <c r="A279" s="7">
        <v>278</v>
      </c>
      <c r="B279" s="3">
        <v>43618</v>
      </c>
      <c r="C279" s="2" t="s">
        <v>48</v>
      </c>
      <c r="D279" s="2" t="s">
        <v>23</v>
      </c>
      <c r="E279" s="2" t="s">
        <v>24</v>
      </c>
      <c r="F279" s="2" t="s">
        <v>49</v>
      </c>
      <c r="G279" s="3">
        <v>32996</v>
      </c>
      <c r="H279" s="2">
        <v>30</v>
      </c>
      <c r="I279" s="2" t="s">
        <v>26</v>
      </c>
      <c r="J279" s="2" t="s">
        <v>50</v>
      </c>
      <c r="K279" s="2" t="s">
        <v>37</v>
      </c>
      <c r="L279" s="2" t="s">
        <v>45</v>
      </c>
      <c r="M279" s="2" t="s">
        <v>38</v>
      </c>
      <c r="N279" s="2" t="s">
        <v>39</v>
      </c>
      <c r="O279" s="2" t="s">
        <v>46</v>
      </c>
      <c r="P279" s="2" t="s">
        <v>84</v>
      </c>
      <c r="Q279" s="2">
        <v>1</v>
      </c>
      <c r="R279" s="2">
        <v>1</v>
      </c>
      <c r="S279" s="2">
        <v>1</v>
      </c>
      <c r="T279" s="2">
        <v>1</v>
      </c>
      <c r="U279" s="3">
        <v>43636</v>
      </c>
      <c r="V279" s="8">
        <v>200000</v>
      </c>
    </row>
    <row r="280" spans="1:22" ht="15" customHeight="1" x14ac:dyDescent="0.25">
      <c r="A280" s="7">
        <v>279</v>
      </c>
      <c r="B280" s="3">
        <v>43619</v>
      </c>
      <c r="C280" s="2" t="s">
        <v>48</v>
      </c>
      <c r="D280" s="2" t="s">
        <v>51</v>
      </c>
      <c r="E280" s="2" t="s">
        <v>52</v>
      </c>
      <c r="F280" s="2" t="s">
        <v>53</v>
      </c>
      <c r="G280" s="3">
        <v>33041</v>
      </c>
      <c r="H280" s="2">
        <v>30</v>
      </c>
      <c r="I280" s="2" t="s">
        <v>26</v>
      </c>
      <c r="J280" s="2" t="s">
        <v>50</v>
      </c>
      <c r="K280" s="2" t="s">
        <v>37</v>
      </c>
      <c r="L280" s="2" t="s">
        <v>45</v>
      </c>
      <c r="M280" s="2" t="s">
        <v>38</v>
      </c>
      <c r="N280" s="2" t="s">
        <v>63</v>
      </c>
      <c r="O280" s="2" t="s">
        <v>64</v>
      </c>
      <c r="P280" s="2"/>
      <c r="Q280" s="2">
        <v>1</v>
      </c>
      <c r="R280" s="2">
        <v>1</v>
      </c>
      <c r="S280" s="2"/>
      <c r="T280" s="2"/>
      <c r="U280" s="3"/>
      <c r="V280" s="8">
        <v>150000</v>
      </c>
    </row>
    <row r="281" spans="1:22" ht="15" customHeight="1" x14ac:dyDescent="0.25">
      <c r="A281" s="7">
        <v>280</v>
      </c>
      <c r="B281" s="3">
        <v>43620</v>
      </c>
      <c r="C281" s="2" t="s">
        <v>57</v>
      </c>
      <c r="D281" s="2" t="s">
        <v>23</v>
      </c>
      <c r="E281" s="2" t="s">
        <v>24</v>
      </c>
      <c r="F281" s="2" t="s">
        <v>58</v>
      </c>
      <c r="G281" s="3">
        <v>33144</v>
      </c>
      <c r="H281" s="2">
        <v>29</v>
      </c>
      <c r="I281" s="2" t="s">
        <v>26</v>
      </c>
      <c r="J281" s="2" t="s">
        <v>50</v>
      </c>
      <c r="K281" s="2" t="s">
        <v>28</v>
      </c>
      <c r="L281" s="2" t="s">
        <v>45</v>
      </c>
      <c r="M281" s="2" t="s">
        <v>38</v>
      </c>
      <c r="N281" s="2" t="s">
        <v>89</v>
      </c>
      <c r="O281" s="2"/>
      <c r="P281" s="2"/>
      <c r="Q281" s="2">
        <v>1</v>
      </c>
      <c r="R281" s="2"/>
      <c r="S281" s="2"/>
      <c r="T281" s="2"/>
      <c r="U281" s="3"/>
      <c r="V281" s="8"/>
    </row>
    <row r="282" spans="1:22" ht="15" customHeight="1" x14ac:dyDescent="0.25">
      <c r="A282" s="7">
        <v>281</v>
      </c>
      <c r="B282" s="3">
        <v>43620</v>
      </c>
      <c r="C282" s="2" t="s">
        <v>48</v>
      </c>
      <c r="D282" s="2" t="s">
        <v>51</v>
      </c>
      <c r="E282" s="2" t="s">
        <v>52</v>
      </c>
      <c r="F282" s="2" t="s">
        <v>54</v>
      </c>
      <c r="G282" s="3">
        <v>33132</v>
      </c>
      <c r="H282" s="2">
        <v>29</v>
      </c>
      <c r="I282" s="2" t="s">
        <v>26</v>
      </c>
      <c r="J282" s="2" t="s">
        <v>27</v>
      </c>
      <c r="K282" s="2" t="s">
        <v>37</v>
      </c>
      <c r="L282" s="2" t="s">
        <v>55</v>
      </c>
      <c r="M282" s="2" t="s">
        <v>38</v>
      </c>
      <c r="N282" s="2" t="s">
        <v>56</v>
      </c>
      <c r="O282" s="2"/>
      <c r="P282" s="2"/>
      <c r="Q282" s="2">
        <v>1</v>
      </c>
      <c r="R282" s="2"/>
      <c r="S282" s="2"/>
      <c r="T282" s="2"/>
      <c r="U282" s="3"/>
      <c r="V282" s="8"/>
    </row>
    <row r="283" spans="1:22" ht="15" customHeight="1" x14ac:dyDescent="0.25">
      <c r="A283" s="7">
        <v>282</v>
      </c>
      <c r="B283" s="3">
        <v>43621</v>
      </c>
      <c r="C283" s="2" t="s">
        <v>57</v>
      </c>
      <c r="D283" s="2" t="s">
        <v>51</v>
      </c>
      <c r="E283" s="2" t="s">
        <v>59</v>
      </c>
      <c r="F283" s="2" t="s">
        <v>60</v>
      </c>
      <c r="G283" s="3">
        <v>32919</v>
      </c>
      <c r="H283" s="2">
        <v>30</v>
      </c>
      <c r="I283" s="2" t="s">
        <v>26</v>
      </c>
      <c r="J283" s="2" t="s">
        <v>61</v>
      </c>
      <c r="K283" s="2" t="s">
        <v>37</v>
      </c>
      <c r="L283" s="2" t="s">
        <v>62</v>
      </c>
      <c r="M283" s="2" t="s">
        <v>38</v>
      </c>
      <c r="N283" s="2" t="s">
        <v>63</v>
      </c>
      <c r="O283" s="2" t="s">
        <v>64</v>
      </c>
      <c r="P283" s="2"/>
      <c r="Q283" s="2">
        <v>1</v>
      </c>
      <c r="R283" s="2"/>
      <c r="S283" s="2"/>
      <c r="T283" s="2"/>
      <c r="U283" s="3"/>
      <c r="V283" s="8">
        <v>100000</v>
      </c>
    </row>
    <row r="284" spans="1:22" ht="15" customHeight="1" x14ac:dyDescent="0.25">
      <c r="A284" s="7">
        <v>283</v>
      </c>
      <c r="B284" s="3">
        <v>43622</v>
      </c>
      <c r="C284" s="2" t="s">
        <v>48</v>
      </c>
      <c r="D284" s="2" t="s">
        <v>23</v>
      </c>
      <c r="E284" s="2" t="s">
        <v>24</v>
      </c>
      <c r="F284" s="2" t="s">
        <v>65</v>
      </c>
      <c r="G284" s="3">
        <v>34195</v>
      </c>
      <c r="H284" s="2">
        <v>27</v>
      </c>
      <c r="I284" s="2" t="s">
        <v>26</v>
      </c>
      <c r="J284" s="2" t="s">
        <v>27</v>
      </c>
      <c r="K284" s="2" t="s">
        <v>37</v>
      </c>
      <c r="L284" s="2" t="s">
        <v>45</v>
      </c>
      <c r="M284" s="2" t="s">
        <v>38</v>
      </c>
      <c r="N284" s="2" t="s">
        <v>63</v>
      </c>
      <c r="O284" s="2" t="s">
        <v>64</v>
      </c>
      <c r="P284" s="2"/>
      <c r="Q284" s="2">
        <v>1</v>
      </c>
      <c r="R284" s="2">
        <v>1</v>
      </c>
      <c r="S284" s="2"/>
      <c r="T284" s="2"/>
      <c r="U284" s="3"/>
      <c r="V284" s="8">
        <v>150000</v>
      </c>
    </row>
    <row r="285" spans="1:22" ht="15" customHeight="1" x14ac:dyDescent="0.25">
      <c r="A285" s="7">
        <v>284</v>
      </c>
      <c r="B285" s="3">
        <v>43622</v>
      </c>
      <c r="C285" s="2" t="s">
        <v>66</v>
      </c>
      <c r="D285" s="2" t="s">
        <v>67</v>
      </c>
      <c r="E285" s="2" t="s">
        <v>68</v>
      </c>
      <c r="F285" s="2" t="s">
        <v>69</v>
      </c>
      <c r="G285" s="3">
        <v>32589</v>
      </c>
      <c r="H285" s="2">
        <v>31</v>
      </c>
      <c r="I285" s="2" t="s">
        <v>26</v>
      </c>
      <c r="J285" s="2" t="s">
        <v>70</v>
      </c>
      <c r="K285" s="2" t="s">
        <v>28</v>
      </c>
      <c r="L285" s="2" t="s">
        <v>45</v>
      </c>
      <c r="M285" s="2" t="s">
        <v>30</v>
      </c>
      <c r="N285" s="2" t="s">
        <v>31</v>
      </c>
      <c r="O285" s="2"/>
      <c r="P285" s="2"/>
      <c r="Q285" s="2">
        <v>1</v>
      </c>
      <c r="R285" s="2">
        <v>1</v>
      </c>
      <c r="S285" s="2">
        <v>1</v>
      </c>
      <c r="T285" s="2">
        <v>1</v>
      </c>
      <c r="U285" s="3">
        <v>43626</v>
      </c>
      <c r="V285" s="8">
        <v>500000</v>
      </c>
    </row>
    <row r="286" spans="1:22" ht="15" customHeight="1" x14ac:dyDescent="0.25">
      <c r="A286" s="7">
        <v>285</v>
      </c>
      <c r="B286" s="3">
        <v>43624</v>
      </c>
      <c r="C286" s="2" t="s">
        <v>32</v>
      </c>
      <c r="D286" s="2" t="s">
        <v>71</v>
      </c>
      <c r="E286" s="2" t="s">
        <v>59</v>
      </c>
      <c r="F286" s="2" t="s">
        <v>72</v>
      </c>
      <c r="G286" s="3">
        <v>33476</v>
      </c>
      <c r="H286" s="2">
        <v>29</v>
      </c>
      <c r="I286" s="2" t="s">
        <v>26</v>
      </c>
      <c r="J286" s="2" t="s">
        <v>73</v>
      </c>
      <c r="K286" s="2" t="s">
        <v>37</v>
      </c>
      <c r="L286" s="2" t="s">
        <v>45</v>
      </c>
      <c r="M286" s="2" t="s">
        <v>38</v>
      </c>
      <c r="N286" s="2" t="s">
        <v>39</v>
      </c>
      <c r="O286" s="2" t="s">
        <v>46</v>
      </c>
      <c r="P286" s="2" t="s">
        <v>47</v>
      </c>
      <c r="Q286" s="2">
        <v>1</v>
      </c>
      <c r="R286" s="2">
        <v>1</v>
      </c>
      <c r="S286" s="2"/>
      <c r="T286" s="2"/>
      <c r="U286" s="3"/>
      <c r="V286" s="8">
        <v>200000</v>
      </c>
    </row>
    <row r="287" spans="1:22" ht="15" customHeight="1" x14ac:dyDescent="0.25">
      <c r="A287" s="7">
        <v>286</v>
      </c>
      <c r="B287" s="3">
        <v>43625</v>
      </c>
      <c r="C287" s="2" t="s">
        <v>57</v>
      </c>
      <c r="D287" s="2" t="s">
        <v>67</v>
      </c>
      <c r="E287" s="2" t="s">
        <v>68</v>
      </c>
      <c r="F287" s="2" t="s">
        <v>122</v>
      </c>
      <c r="G287" s="3">
        <v>33041</v>
      </c>
      <c r="H287" s="2">
        <v>30</v>
      </c>
      <c r="I287" s="2" t="s">
        <v>26</v>
      </c>
      <c r="J287" s="2" t="s">
        <v>27</v>
      </c>
      <c r="K287" s="2" t="s">
        <v>37</v>
      </c>
      <c r="L287" s="2" t="s">
        <v>92</v>
      </c>
      <c r="M287" s="2" t="s">
        <v>38</v>
      </c>
      <c r="N287" s="2" t="s">
        <v>39</v>
      </c>
      <c r="O287" s="2" t="s">
        <v>46</v>
      </c>
      <c r="P287" s="2" t="s">
        <v>84</v>
      </c>
      <c r="Q287" s="2">
        <v>1</v>
      </c>
      <c r="R287" s="2"/>
      <c r="S287" s="2"/>
      <c r="T287" s="2"/>
      <c r="U287" s="3"/>
      <c r="V287" s="8">
        <v>100000</v>
      </c>
    </row>
    <row r="288" spans="1:22" ht="15" customHeight="1" x14ac:dyDescent="0.25">
      <c r="A288" s="7">
        <v>287</v>
      </c>
      <c r="B288" s="3">
        <v>43625</v>
      </c>
      <c r="C288" s="2" t="s">
        <v>32</v>
      </c>
      <c r="D288" s="2" t="s">
        <v>33</v>
      </c>
      <c r="E288" s="2" t="s">
        <v>34</v>
      </c>
      <c r="F288" s="2" t="s">
        <v>74</v>
      </c>
      <c r="G288" s="3">
        <v>32558</v>
      </c>
      <c r="H288" s="2">
        <v>31</v>
      </c>
      <c r="I288" s="2" t="s">
        <v>26</v>
      </c>
      <c r="J288" s="2" t="s">
        <v>75</v>
      </c>
      <c r="K288" s="2" t="s">
        <v>37</v>
      </c>
      <c r="L288" s="2" t="s">
        <v>76</v>
      </c>
      <c r="M288" s="2" t="s">
        <v>38</v>
      </c>
      <c r="N288" s="2" t="s">
        <v>39</v>
      </c>
      <c r="O288" s="2" t="s">
        <v>46</v>
      </c>
      <c r="P288" s="2" t="s">
        <v>47</v>
      </c>
      <c r="Q288" s="2">
        <v>1</v>
      </c>
      <c r="R288" s="2">
        <v>1</v>
      </c>
      <c r="S288" s="2">
        <v>1</v>
      </c>
      <c r="T288" s="2">
        <v>1</v>
      </c>
      <c r="U288" s="3">
        <v>43628</v>
      </c>
      <c r="V288" s="8">
        <v>200000</v>
      </c>
    </row>
    <row r="289" spans="1:22" ht="15" customHeight="1" x14ac:dyDescent="0.25">
      <c r="A289" s="7">
        <v>288</v>
      </c>
      <c r="B289" s="3">
        <v>43626</v>
      </c>
      <c r="C289" s="2" t="s">
        <v>57</v>
      </c>
      <c r="D289" s="2" t="s">
        <v>67</v>
      </c>
      <c r="E289" s="2" t="s">
        <v>68</v>
      </c>
      <c r="F289" s="2" t="s">
        <v>78</v>
      </c>
      <c r="G289" s="3">
        <v>33573</v>
      </c>
      <c r="H289" s="2">
        <v>28</v>
      </c>
      <c r="I289" s="2" t="s">
        <v>26</v>
      </c>
      <c r="J289" s="2" t="s">
        <v>79</v>
      </c>
      <c r="K289" s="2" t="s">
        <v>37</v>
      </c>
      <c r="L289" s="2" t="s">
        <v>45</v>
      </c>
      <c r="M289" s="2" t="s">
        <v>38</v>
      </c>
      <c r="N289" s="2" t="s">
        <v>39</v>
      </c>
      <c r="O289" s="2" t="s">
        <v>40</v>
      </c>
      <c r="P289" s="2" t="s">
        <v>77</v>
      </c>
      <c r="Q289" s="2">
        <v>1</v>
      </c>
      <c r="R289" s="2">
        <v>1</v>
      </c>
      <c r="S289" s="2">
        <v>1</v>
      </c>
      <c r="T289" s="2">
        <v>1</v>
      </c>
      <c r="U289" s="3">
        <v>43632</v>
      </c>
      <c r="V289" s="8"/>
    </row>
    <row r="290" spans="1:22" ht="15" customHeight="1" x14ac:dyDescent="0.25">
      <c r="A290" s="7">
        <v>289</v>
      </c>
      <c r="B290" s="3">
        <v>43627</v>
      </c>
      <c r="C290" s="2" t="s">
        <v>32</v>
      </c>
      <c r="D290" s="2" t="s">
        <v>42</v>
      </c>
      <c r="E290" s="2" t="s">
        <v>43</v>
      </c>
      <c r="F290" s="2" t="s">
        <v>80</v>
      </c>
      <c r="G290" s="3">
        <v>33088</v>
      </c>
      <c r="H290" s="2">
        <v>30</v>
      </c>
      <c r="I290" s="2" t="s">
        <v>26</v>
      </c>
      <c r="J290" s="2" t="s">
        <v>75</v>
      </c>
      <c r="K290" s="2" t="s">
        <v>37</v>
      </c>
      <c r="L290" s="2" t="s">
        <v>45</v>
      </c>
      <c r="M290" s="2" t="s">
        <v>30</v>
      </c>
      <c r="N290" s="2" t="s">
        <v>81</v>
      </c>
      <c r="O290" s="2"/>
      <c r="P290" s="2"/>
      <c r="Q290" s="2">
        <v>1</v>
      </c>
      <c r="R290" s="2"/>
      <c r="S290" s="2"/>
      <c r="T290" s="2"/>
      <c r="U290" s="3"/>
      <c r="V290" s="8"/>
    </row>
    <row r="291" spans="1:22" ht="15" customHeight="1" x14ac:dyDescent="0.25">
      <c r="A291" s="7">
        <v>290</v>
      </c>
      <c r="B291" s="3">
        <v>43628</v>
      </c>
      <c r="C291" s="2" t="s">
        <v>32</v>
      </c>
      <c r="D291" s="2" t="s">
        <v>71</v>
      </c>
      <c r="E291" s="2" t="s">
        <v>59</v>
      </c>
      <c r="F291" s="2" t="s">
        <v>82</v>
      </c>
      <c r="G291" s="3">
        <v>33594</v>
      </c>
      <c r="H291" s="2">
        <v>28</v>
      </c>
      <c r="I291" s="2" t="s">
        <v>26</v>
      </c>
      <c r="J291" s="2" t="s">
        <v>83</v>
      </c>
      <c r="K291" s="2" t="s">
        <v>37</v>
      </c>
      <c r="L291" s="2" t="s">
        <v>45</v>
      </c>
      <c r="M291" s="2" t="s">
        <v>30</v>
      </c>
      <c r="N291" s="2" t="s">
        <v>31</v>
      </c>
      <c r="O291" s="2"/>
      <c r="P291" s="2"/>
      <c r="Q291" s="2">
        <v>1</v>
      </c>
      <c r="R291" s="2">
        <v>1</v>
      </c>
      <c r="S291" s="2">
        <v>1</v>
      </c>
      <c r="T291" s="2"/>
      <c r="U291" s="3"/>
      <c r="V291" s="8"/>
    </row>
    <row r="292" spans="1:22" ht="15" customHeight="1" x14ac:dyDescent="0.25">
      <c r="A292" s="7">
        <v>291</v>
      </c>
      <c r="B292" s="3">
        <v>43629</v>
      </c>
      <c r="C292" s="2" t="s">
        <v>57</v>
      </c>
      <c r="D292" s="2" t="s">
        <v>51</v>
      </c>
      <c r="E292" s="2" t="s">
        <v>59</v>
      </c>
      <c r="F292" s="2" t="s">
        <v>117</v>
      </c>
      <c r="G292" s="3">
        <v>34021</v>
      </c>
      <c r="H292" s="2">
        <v>27</v>
      </c>
      <c r="I292" s="2" t="s">
        <v>26</v>
      </c>
      <c r="J292" s="2" t="s">
        <v>27</v>
      </c>
      <c r="K292" s="2" t="s">
        <v>28</v>
      </c>
      <c r="L292" s="2" t="s">
        <v>45</v>
      </c>
      <c r="M292" s="2" t="s">
        <v>38</v>
      </c>
      <c r="N292" s="2" t="s">
        <v>39</v>
      </c>
      <c r="O292" s="2" t="s">
        <v>46</v>
      </c>
      <c r="P292" s="2" t="s">
        <v>118</v>
      </c>
      <c r="Q292" s="2">
        <v>1</v>
      </c>
      <c r="R292" s="2">
        <v>1</v>
      </c>
      <c r="S292" s="2">
        <v>1</v>
      </c>
      <c r="T292" s="2">
        <v>1</v>
      </c>
      <c r="U292" s="3">
        <v>43625</v>
      </c>
      <c r="V292" s="8">
        <v>500000</v>
      </c>
    </row>
    <row r="293" spans="1:22" ht="15" customHeight="1" x14ac:dyDescent="0.25">
      <c r="A293" s="7">
        <v>292</v>
      </c>
      <c r="B293" s="3">
        <v>43631</v>
      </c>
      <c r="C293" s="2" t="s">
        <v>48</v>
      </c>
      <c r="D293" s="2" t="s">
        <v>51</v>
      </c>
      <c r="E293" s="2" t="s">
        <v>52</v>
      </c>
      <c r="F293" s="2" t="s">
        <v>121</v>
      </c>
      <c r="G293" s="3">
        <v>33041</v>
      </c>
      <c r="H293" s="2">
        <v>30</v>
      </c>
      <c r="I293" s="2" t="s">
        <v>26</v>
      </c>
      <c r="J293" s="2" t="s">
        <v>70</v>
      </c>
      <c r="K293" s="2" t="s">
        <v>91</v>
      </c>
      <c r="L293" s="2" t="s">
        <v>45</v>
      </c>
      <c r="M293" s="2" t="s">
        <v>30</v>
      </c>
      <c r="N293" s="2" t="s">
        <v>81</v>
      </c>
      <c r="O293" s="2"/>
      <c r="P293" s="2"/>
      <c r="Q293" s="2">
        <v>1</v>
      </c>
      <c r="R293" s="2">
        <v>1</v>
      </c>
      <c r="S293" s="2"/>
      <c r="T293" s="2"/>
      <c r="U293" s="3"/>
      <c r="V293" s="8"/>
    </row>
    <row r="294" spans="1:22" ht="15" customHeight="1" x14ac:dyDescent="0.25">
      <c r="A294" s="7">
        <v>293</v>
      </c>
      <c r="B294" s="3">
        <v>43631</v>
      </c>
      <c r="C294" s="2" t="s">
        <v>48</v>
      </c>
      <c r="D294" s="2" t="s">
        <v>23</v>
      </c>
      <c r="E294" s="2" t="s">
        <v>24</v>
      </c>
      <c r="F294" s="2" t="s">
        <v>119</v>
      </c>
      <c r="G294" s="3">
        <v>34295</v>
      </c>
      <c r="H294" s="2">
        <v>26</v>
      </c>
      <c r="I294" s="2" t="s">
        <v>26</v>
      </c>
      <c r="J294" s="2" t="s">
        <v>27</v>
      </c>
      <c r="K294" s="2" t="s">
        <v>37</v>
      </c>
      <c r="L294" s="2" t="s">
        <v>45</v>
      </c>
      <c r="M294" s="2" t="s">
        <v>38</v>
      </c>
      <c r="N294" s="2" t="s">
        <v>56</v>
      </c>
      <c r="O294" s="2"/>
      <c r="P294" s="2"/>
      <c r="Q294" s="2">
        <v>1</v>
      </c>
      <c r="R294" s="2"/>
      <c r="S294" s="2"/>
      <c r="T294" s="2"/>
      <c r="U294" s="3"/>
      <c r="V294" s="8">
        <v>100000</v>
      </c>
    </row>
    <row r="295" spans="1:22" ht="15" customHeight="1" x14ac:dyDescent="0.25">
      <c r="A295" s="7">
        <v>294</v>
      </c>
      <c r="B295" s="3">
        <v>43632</v>
      </c>
      <c r="C295" s="2" t="s">
        <v>48</v>
      </c>
      <c r="D295" s="2" t="s">
        <v>23</v>
      </c>
      <c r="E295" s="2" t="s">
        <v>85</v>
      </c>
      <c r="F295" s="2" t="s">
        <v>120</v>
      </c>
      <c r="G295" s="3">
        <v>34118</v>
      </c>
      <c r="H295" s="2">
        <v>27</v>
      </c>
      <c r="I295" s="2" t="s">
        <v>26</v>
      </c>
      <c r="J295" s="2" t="s">
        <v>79</v>
      </c>
      <c r="K295" s="2" t="s">
        <v>28</v>
      </c>
      <c r="L295" s="2" t="s">
        <v>45</v>
      </c>
      <c r="M295" s="2" t="s">
        <v>38</v>
      </c>
      <c r="N295" s="2" t="s">
        <v>63</v>
      </c>
      <c r="O295" s="2" t="s">
        <v>64</v>
      </c>
      <c r="P295" s="2"/>
      <c r="Q295" s="2">
        <v>1</v>
      </c>
      <c r="R295" s="2"/>
      <c r="S295" s="2"/>
      <c r="T295" s="2"/>
      <c r="U295" s="3"/>
      <c r="V295" s="8">
        <v>100000</v>
      </c>
    </row>
    <row r="296" spans="1:22" ht="15" customHeight="1" x14ac:dyDescent="0.25">
      <c r="A296" s="7">
        <v>295</v>
      </c>
      <c r="B296" s="3">
        <v>43632</v>
      </c>
      <c r="C296" s="2" t="s">
        <v>32</v>
      </c>
      <c r="D296" s="2" t="s">
        <v>71</v>
      </c>
      <c r="E296" s="2" t="s">
        <v>59</v>
      </c>
      <c r="F296" s="2" t="s">
        <v>101</v>
      </c>
      <c r="G296" s="3">
        <v>33016</v>
      </c>
      <c r="H296" s="2">
        <v>30</v>
      </c>
      <c r="I296" s="2" t="s">
        <v>26</v>
      </c>
      <c r="J296" s="2" t="s">
        <v>93</v>
      </c>
      <c r="K296" s="2" t="s">
        <v>37</v>
      </c>
      <c r="L296" s="2" t="s">
        <v>45</v>
      </c>
      <c r="M296" s="2" t="s">
        <v>38</v>
      </c>
      <c r="N296" s="2" t="s">
        <v>39</v>
      </c>
      <c r="O296" s="2" t="s">
        <v>46</v>
      </c>
      <c r="P296" s="2" t="s">
        <v>95</v>
      </c>
      <c r="Q296" s="2">
        <v>1</v>
      </c>
      <c r="R296" s="2">
        <v>1</v>
      </c>
      <c r="S296" s="2"/>
      <c r="T296" s="2"/>
      <c r="U296" s="3"/>
      <c r="V296" s="8">
        <v>150000</v>
      </c>
    </row>
    <row r="297" spans="1:22" ht="15" customHeight="1" x14ac:dyDescent="0.25">
      <c r="A297" s="7">
        <v>296</v>
      </c>
      <c r="B297" s="3">
        <v>43633</v>
      </c>
      <c r="C297" s="2" t="s">
        <v>66</v>
      </c>
      <c r="D297" s="2" t="s">
        <v>67</v>
      </c>
      <c r="E297" s="2" t="s">
        <v>68</v>
      </c>
      <c r="F297" s="2" t="s">
        <v>25</v>
      </c>
      <c r="G297" s="3">
        <v>32589</v>
      </c>
      <c r="H297" s="2">
        <v>31</v>
      </c>
      <c r="I297" s="2" t="s">
        <v>26</v>
      </c>
      <c r="J297" s="2" t="s">
        <v>93</v>
      </c>
      <c r="K297" s="2" t="s">
        <v>37</v>
      </c>
      <c r="L297" s="2" t="s">
        <v>45</v>
      </c>
      <c r="M297" s="2" t="s">
        <v>30</v>
      </c>
      <c r="N297" s="2" t="s">
        <v>81</v>
      </c>
      <c r="O297" s="2"/>
      <c r="P297" s="2"/>
      <c r="Q297" s="2">
        <v>1</v>
      </c>
      <c r="R297" s="2"/>
      <c r="S297" s="2"/>
      <c r="T297" s="2"/>
      <c r="U297" s="3"/>
      <c r="V297" s="8"/>
    </row>
    <row r="298" spans="1:22" ht="15" customHeight="1" x14ac:dyDescent="0.25">
      <c r="A298" s="7">
        <v>297</v>
      </c>
      <c r="B298" s="3">
        <v>43633</v>
      </c>
      <c r="C298" s="2" t="s">
        <v>48</v>
      </c>
      <c r="D298" s="2" t="s">
        <v>23</v>
      </c>
      <c r="E298" s="2" t="s">
        <v>85</v>
      </c>
      <c r="F298" s="2" t="s">
        <v>86</v>
      </c>
      <c r="G298" s="3">
        <v>34384</v>
      </c>
      <c r="H298" s="2">
        <v>26</v>
      </c>
      <c r="I298" s="2" t="s">
        <v>87</v>
      </c>
      <c r="J298" s="2" t="s">
        <v>88</v>
      </c>
      <c r="K298" s="2" t="s">
        <v>37</v>
      </c>
      <c r="L298" s="2" t="s">
        <v>55</v>
      </c>
      <c r="M298" s="2" t="s">
        <v>38</v>
      </c>
      <c r="N298" s="2" t="s">
        <v>39</v>
      </c>
      <c r="O298" s="2" t="s">
        <v>40</v>
      </c>
      <c r="P298" s="2" t="s">
        <v>41</v>
      </c>
      <c r="Q298" s="2">
        <v>1</v>
      </c>
      <c r="R298" s="2">
        <v>1</v>
      </c>
      <c r="S298" s="2"/>
      <c r="T298" s="2"/>
      <c r="U298" s="3"/>
      <c r="V298" s="8"/>
    </row>
    <row r="299" spans="1:22" ht="15" customHeight="1" x14ac:dyDescent="0.25">
      <c r="A299" s="7">
        <v>298</v>
      </c>
      <c r="B299" s="3">
        <v>43633</v>
      </c>
      <c r="C299" s="2" t="s">
        <v>57</v>
      </c>
      <c r="D299" s="2" t="s">
        <v>51</v>
      </c>
      <c r="E299" s="2" t="s">
        <v>59</v>
      </c>
      <c r="F299" s="2" t="s">
        <v>90</v>
      </c>
      <c r="G299" s="3">
        <v>33302</v>
      </c>
      <c r="H299" s="2">
        <v>29</v>
      </c>
      <c r="I299" s="2" t="s">
        <v>87</v>
      </c>
      <c r="J299" s="2" t="s">
        <v>27</v>
      </c>
      <c r="K299" s="2" t="s">
        <v>91</v>
      </c>
      <c r="L299" s="2" t="s">
        <v>92</v>
      </c>
      <c r="M299" s="2" t="s">
        <v>38</v>
      </c>
      <c r="N299" s="2" t="s">
        <v>39</v>
      </c>
      <c r="O299" s="2" t="s">
        <v>46</v>
      </c>
      <c r="P299" s="2" t="s">
        <v>118</v>
      </c>
      <c r="Q299" s="2">
        <v>1</v>
      </c>
      <c r="R299" s="2">
        <v>1</v>
      </c>
      <c r="S299" s="2"/>
      <c r="T299" s="2"/>
      <c r="U299" s="3"/>
      <c r="V299" s="8"/>
    </row>
    <row r="300" spans="1:22" ht="15" customHeight="1" x14ac:dyDescent="0.25">
      <c r="A300" s="7">
        <v>299</v>
      </c>
      <c r="B300" s="3">
        <v>43633</v>
      </c>
      <c r="C300" s="2" t="s">
        <v>48</v>
      </c>
      <c r="D300" s="2" t="s">
        <v>23</v>
      </c>
      <c r="E300" s="2" t="s">
        <v>85</v>
      </c>
      <c r="F300" s="2" t="s">
        <v>86</v>
      </c>
      <c r="G300" s="3">
        <v>34384</v>
      </c>
      <c r="H300" s="2">
        <v>26</v>
      </c>
      <c r="I300" s="2" t="s">
        <v>87</v>
      </c>
      <c r="J300" s="2" t="s">
        <v>88</v>
      </c>
      <c r="K300" s="2" t="s">
        <v>37</v>
      </c>
      <c r="L300" s="2" t="s">
        <v>55</v>
      </c>
      <c r="M300" s="2" t="s">
        <v>38</v>
      </c>
      <c r="N300" s="2" t="s">
        <v>39</v>
      </c>
      <c r="O300" s="2" t="s">
        <v>40</v>
      </c>
      <c r="P300" s="2" t="s">
        <v>41</v>
      </c>
      <c r="Q300" s="2">
        <v>1</v>
      </c>
      <c r="R300" s="2">
        <v>1</v>
      </c>
      <c r="S300" s="2"/>
      <c r="T300" s="2"/>
      <c r="U300" s="3"/>
      <c r="V300" s="8"/>
    </row>
    <row r="301" spans="1:22" ht="15" customHeight="1" x14ac:dyDescent="0.25">
      <c r="A301" s="7">
        <v>300</v>
      </c>
      <c r="B301" s="3">
        <v>43633</v>
      </c>
      <c r="C301" s="2" t="s">
        <v>66</v>
      </c>
      <c r="D301" s="2" t="s">
        <v>67</v>
      </c>
      <c r="E301" s="2" t="s">
        <v>68</v>
      </c>
      <c r="F301" s="2" t="s">
        <v>94</v>
      </c>
      <c r="G301" s="3">
        <v>33667</v>
      </c>
      <c r="H301" s="2">
        <v>28</v>
      </c>
      <c r="I301" s="2" t="s">
        <v>26</v>
      </c>
      <c r="J301" s="2" t="s">
        <v>27</v>
      </c>
      <c r="K301" s="2" t="s">
        <v>37</v>
      </c>
      <c r="L301" s="2" t="s">
        <v>92</v>
      </c>
      <c r="M301" s="2" t="s">
        <v>38</v>
      </c>
      <c r="N301" s="2" t="s">
        <v>39</v>
      </c>
      <c r="O301" s="2" t="s">
        <v>46</v>
      </c>
      <c r="P301" s="2" t="s">
        <v>95</v>
      </c>
      <c r="Q301" s="2">
        <v>1</v>
      </c>
      <c r="R301" s="2">
        <v>1</v>
      </c>
      <c r="S301" s="2"/>
      <c r="T301" s="2"/>
      <c r="U301" s="3"/>
      <c r="V301" s="8">
        <v>120000</v>
      </c>
    </row>
    <row r="302" spans="1:22" ht="15" customHeight="1" x14ac:dyDescent="0.25">
      <c r="A302" s="7">
        <v>301</v>
      </c>
      <c r="B302" s="3">
        <v>43634</v>
      </c>
      <c r="C302" s="2" t="s">
        <v>48</v>
      </c>
      <c r="D302" s="2" t="s">
        <v>23</v>
      </c>
      <c r="E302" s="2" t="s">
        <v>24</v>
      </c>
      <c r="F302" s="2" t="s">
        <v>117</v>
      </c>
      <c r="G302" s="3">
        <v>33144</v>
      </c>
      <c r="H302" s="2">
        <v>29</v>
      </c>
      <c r="I302" s="2" t="s">
        <v>87</v>
      </c>
      <c r="J302" s="2" t="s">
        <v>27</v>
      </c>
      <c r="K302" s="2" t="s">
        <v>37</v>
      </c>
      <c r="L302" s="2" t="s">
        <v>92</v>
      </c>
      <c r="M302" s="2" t="s">
        <v>38</v>
      </c>
      <c r="N302" s="2" t="s">
        <v>56</v>
      </c>
      <c r="O302" s="2"/>
      <c r="P302" s="2"/>
      <c r="Q302" s="2">
        <v>1</v>
      </c>
      <c r="R302" s="2"/>
      <c r="S302" s="2"/>
      <c r="T302" s="2"/>
      <c r="U302" s="3"/>
      <c r="V302" s="8"/>
    </row>
    <row r="303" spans="1:22" ht="15" customHeight="1" x14ac:dyDescent="0.25">
      <c r="A303" s="7">
        <v>302</v>
      </c>
      <c r="B303" s="3">
        <v>43634</v>
      </c>
      <c r="C303" s="2" t="s">
        <v>48</v>
      </c>
      <c r="D303" s="2" t="s">
        <v>23</v>
      </c>
      <c r="E303" s="2" t="s">
        <v>85</v>
      </c>
      <c r="F303" s="2" t="s">
        <v>96</v>
      </c>
      <c r="G303" s="3">
        <v>35008</v>
      </c>
      <c r="H303" s="2">
        <v>24</v>
      </c>
      <c r="I303" s="2" t="s">
        <v>26</v>
      </c>
      <c r="J303" s="2" t="s">
        <v>97</v>
      </c>
      <c r="K303" s="2" t="s">
        <v>37</v>
      </c>
      <c r="L303" s="2" t="s">
        <v>45</v>
      </c>
      <c r="M303" s="2" t="s">
        <v>38</v>
      </c>
      <c r="N303" s="2" t="s">
        <v>63</v>
      </c>
      <c r="O303" s="2" t="s">
        <v>64</v>
      </c>
      <c r="P303" s="2"/>
      <c r="Q303" s="2">
        <v>1</v>
      </c>
      <c r="R303" s="2">
        <v>1</v>
      </c>
      <c r="S303" s="2"/>
      <c r="T303" s="2"/>
      <c r="U303" s="3"/>
      <c r="V303" s="8">
        <v>100000</v>
      </c>
    </row>
    <row r="304" spans="1:22" ht="15" customHeight="1" x14ac:dyDescent="0.25">
      <c r="A304" s="7">
        <v>303</v>
      </c>
      <c r="B304" s="3">
        <v>43634</v>
      </c>
      <c r="C304" s="2" t="s">
        <v>22</v>
      </c>
      <c r="D304" s="2" t="s">
        <v>23</v>
      </c>
      <c r="E304" s="2" t="s">
        <v>24</v>
      </c>
      <c r="F304" s="2" t="s">
        <v>98</v>
      </c>
      <c r="G304" s="3">
        <v>34231</v>
      </c>
      <c r="H304" s="2">
        <v>26</v>
      </c>
      <c r="I304" s="2" t="s">
        <v>26</v>
      </c>
      <c r="J304" s="2" t="s">
        <v>88</v>
      </c>
      <c r="K304" s="2" t="s">
        <v>37</v>
      </c>
      <c r="L304" s="2" t="s">
        <v>45</v>
      </c>
      <c r="M304" s="2" t="s">
        <v>38</v>
      </c>
      <c r="N304" s="2" t="s">
        <v>63</v>
      </c>
      <c r="O304" s="2" t="s">
        <v>64</v>
      </c>
      <c r="P304" s="2"/>
      <c r="Q304" s="2">
        <v>1</v>
      </c>
      <c r="R304" s="2"/>
      <c r="S304" s="2"/>
      <c r="T304" s="2"/>
      <c r="U304" s="3"/>
      <c r="V304" s="8">
        <v>100000</v>
      </c>
    </row>
    <row r="305" spans="1:22" ht="15" customHeight="1" x14ac:dyDescent="0.25">
      <c r="A305" s="7">
        <v>304</v>
      </c>
      <c r="B305" s="3">
        <v>43634</v>
      </c>
      <c r="C305" s="2" t="s">
        <v>48</v>
      </c>
      <c r="D305" s="2" t="s">
        <v>23</v>
      </c>
      <c r="E305" s="2" t="s">
        <v>85</v>
      </c>
      <c r="F305" s="2" t="s">
        <v>53</v>
      </c>
      <c r="G305" s="3">
        <v>32589</v>
      </c>
      <c r="H305" s="2">
        <v>31</v>
      </c>
      <c r="I305" s="2" t="s">
        <v>26</v>
      </c>
      <c r="J305" s="2" t="s">
        <v>50</v>
      </c>
      <c r="K305" s="2" t="s">
        <v>28</v>
      </c>
      <c r="L305" s="2" t="s">
        <v>45</v>
      </c>
      <c r="M305" s="2" t="s">
        <v>38</v>
      </c>
      <c r="N305" s="2" t="s">
        <v>39</v>
      </c>
      <c r="O305" s="2" t="s">
        <v>40</v>
      </c>
      <c r="P305" s="2" t="s">
        <v>41</v>
      </c>
      <c r="Q305" s="2">
        <v>1</v>
      </c>
      <c r="R305" s="2">
        <v>1</v>
      </c>
      <c r="S305" s="2">
        <v>1</v>
      </c>
      <c r="T305" s="2">
        <v>1</v>
      </c>
      <c r="U305" s="3">
        <v>43626</v>
      </c>
      <c r="V305" s="8"/>
    </row>
    <row r="306" spans="1:22" ht="15" customHeight="1" x14ac:dyDescent="0.25">
      <c r="A306" s="7">
        <v>305</v>
      </c>
      <c r="B306" s="3">
        <v>43635</v>
      </c>
      <c r="C306" s="2" t="s">
        <v>32</v>
      </c>
      <c r="D306" s="2" t="s">
        <v>33</v>
      </c>
      <c r="E306" s="2" t="s">
        <v>34</v>
      </c>
      <c r="F306" s="2" t="s">
        <v>99</v>
      </c>
      <c r="G306" s="3">
        <v>33577</v>
      </c>
      <c r="H306" s="2">
        <v>28</v>
      </c>
      <c r="I306" s="2" t="s">
        <v>26</v>
      </c>
      <c r="J306" s="2" t="s">
        <v>27</v>
      </c>
      <c r="K306" s="2" t="s">
        <v>37</v>
      </c>
      <c r="L306" s="2" t="s">
        <v>92</v>
      </c>
      <c r="M306" s="2" t="s">
        <v>38</v>
      </c>
      <c r="N306" s="2" t="s">
        <v>63</v>
      </c>
      <c r="O306" s="2" t="s">
        <v>64</v>
      </c>
      <c r="P306" s="2"/>
      <c r="Q306" s="2">
        <v>1</v>
      </c>
      <c r="R306" s="2">
        <v>1</v>
      </c>
      <c r="S306" s="2">
        <v>1</v>
      </c>
      <c r="T306" s="2"/>
      <c r="U306" s="3"/>
      <c r="V306" s="8">
        <v>100000</v>
      </c>
    </row>
    <row r="307" spans="1:22" ht="15" customHeight="1" x14ac:dyDescent="0.25">
      <c r="A307" s="7">
        <v>306</v>
      </c>
      <c r="B307" s="3">
        <v>43635</v>
      </c>
      <c r="C307" s="2" t="s">
        <v>32</v>
      </c>
      <c r="D307" s="2" t="s">
        <v>33</v>
      </c>
      <c r="E307" s="2" t="s">
        <v>34</v>
      </c>
      <c r="F307" s="2" t="s">
        <v>100</v>
      </c>
      <c r="G307" s="3">
        <v>33409</v>
      </c>
      <c r="H307" s="2">
        <v>29</v>
      </c>
      <c r="I307" s="2" t="s">
        <v>26</v>
      </c>
      <c r="J307" s="2" t="s">
        <v>75</v>
      </c>
      <c r="K307" s="2" t="s">
        <v>91</v>
      </c>
      <c r="L307" s="2" t="s">
        <v>55</v>
      </c>
      <c r="M307" s="2" t="s">
        <v>38</v>
      </c>
      <c r="N307" s="2" t="s">
        <v>39</v>
      </c>
      <c r="O307" s="2" t="s">
        <v>46</v>
      </c>
      <c r="P307" s="2" t="s">
        <v>47</v>
      </c>
      <c r="Q307" s="2">
        <v>1</v>
      </c>
      <c r="R307" s="2"/>
      <c r="S307" s="2"/>
      <c r="T307" s="2"/>
      <c r="U307" s="3"/>
      <c r="V307" s="8">
        <v>150000</v>
      </c>
    </row>
    <row r="308" spans="1:22" ht="15" customHeight="1" x14ac:dyDescent="0.25">
      <c r="A308" s="7">
        <v>307</v>
      </c>
      <c r="B308" s="3">
        <v>43636</v>
      </c>
      <c r="C308" s="2" t="s">
        <v>57</v>
      </c>
      <c r="D308" s="2" t="s">
        <v>23</v>
      </c>
      <c r="E308" s="2" t="s">
        <v>24</v>
      </c>
      <c r="F308" s="2" t="s">
        <v>60</v>
      </c>
      <c r="G308" s="3">
        <v>33409</v>
      </c>
      <c r="H308" s="2">
        <v>29</v>
      </c>
      <c r="I308" s="2" t="s">
        <v>26</v>
      </c>
      <c r="J308" s="2" t="s">
        <v>27</v>
      </c>
      <c r="K308" s="2" t="s">
        <v>37</v>
      </c>
      <c r="L308" s="2" t="s">
        <v>45</v>
      </c>
      <c r="M308" s="2" t="s">
        <v>30</v>
      </c>
      <c r="N308" s="2" t="s">
        <v>31</v>
      </c>
      <c r="O308" s="2"/>
      <c r="P308" s="2"/>
      <c r="Q308" s="2">
        <v>1</v>
      </c>
      <c r="R308" s="2"/>
      <c r="S308" s="2"/>
      <c r="T308" s="2"/>
      <c r="U308" s="3"/>
      <c r="V308" s="8"/>
    </row>
    <row r="309" spans="1:22" ht="15" customHeight="1" x14ac:dyDescent="0.25">
      <c r="A309" s="7">
        <v>308</v>
      </c>
      <c r="B309" s="3">
        <v>43636</v>
      </c>
      <c r="C309" s="2" t="s">
        <v>57</v>
      </c>
      <c r="D309" s="2" t="s">
        <v>23</v>
      </c>
      <c r="E309" s="2" t="s">
        <v>24</v>
      </c>
      <c r="F309" s="2" t="s">
        <v>101</v>
      </c>
      <c r="G309" s="3">
        <v>33840</v>
      </c>
      <c r="H309" s="2">
        <v>28</v>
      </c>
      <c r="I309" s="2" t="s">
        <v>87</v>
      </c>
      <c r="J309" s="2" t="s">
        <v>102</v>
      </c>
      <c r="K309" s="2" t="s">
        <v>37</v>
      </c>
      <c r="L309" s="2" t="s">
        <v>103</v>
      </c>
      <c r="M309" s="2" t="s">
        <v>38</v>
      </c>
      <c r="N309" s="2" t="s">
        <v>89</v>
      </c>
      <c r="O309" s="2"/>
      <c r="P309" s="2"/>
      <c r="Q309" s="2">
        <v>1</v>
      </c>
      <c r="R309" s="2">
        <v>1</v>
      </c>
      <c r="S309" s="2"/>
      <c r="T309" s="2"/>
      <c r="U309" s="3"/>
      <c r="V309" s="8"/>
    </row>
    <row r="310" spans="1:22" ht="15" customHeight="1" x14ac:dyDescent="0.25">
      <c r="A310" s="7">
        <v>309</v>
      </c>
      <c r="B310" s="3">
        <v>43636</v>
      </c>
      <c r="C310" s="2" t="s">
        <v>32</v>
      </c>
      <c r="D310" s="2" t="s">
        <v>42</v>
      </c>
      <c r="E310" s="2" t="s">
        <v>43</v>
      </c>
      <c r="F310" s="2" t="s">
        <v>104</v>
      </c>
      <c r="G310" s="3">
        <v>34542</v>
      </c>
      <c r="H310" s="2">
        <v>26</v>
      </c>
      <c r="I310" s="2" t="s">
        <v>26</v>
      </c>
      <c r="J310" s="2" t="s">
        <v>27</v>
      </c>
      <c r="K310" s="2" t="s">
        <v>91</v>
      </c>
      <c r="L310" s="2" t="s">
        <v>55</v>
      </c>
      <c r="M310" s="2" t="s">
        <v>38</v>
      </c>
      <c r="N310" s="2" t="s">
        <v>56</v>
      </c>
      <c r="O310" s="2"/>
      <c r="P310" s="2"/>
      <c r="Q310" s="2">
        <v>1</v>
      </c>
      <c r="R310" s="2">
        <v>1</v>
      </c>
      <c r="S310" s="2"/>
      <c r="T310" s="2"/>
      <c r="U310" s="3"/>
      <c r="V310" s="8"/>
    </row>
    <row r="311" spans="1:22" ht="15" customHeight="1" x14ac:dyDescent="0.25">
      <c r="A311" s="7">
        <v>310</v>
      </c>
      <c r="B311" s="3">
        <v>43636</v>
      </c>
      <c r="C311" s="2" t="s">
        <v>57</v>
      </c>
      <c r="D311" s="2" t="s">
        <v>23</v>
      </c>
      <c r="E311" s="2" t="s">
        <v>24</v>
      </c>
      <c r="F311" s="2" t="s">
        <v>101</v>
      </c>
      <c r="G311" s="3">
        <v>33840</v>
      </c>
      <c r="H311" s="2">
        <v>28</v>
      </c>
      <c r="I311" s="2" t="s">
        <v>87</v>
      </c>
      <c r="J311" s="2" t="s">
        <v>102</v>
      </c>
      <c r="K311" s="2" t="s">
        <v>37</v>
      </c>
      <c r="L311" s="2" t="s">
        <v>103</v>
      </c>
      <c r="M311" s="2" t="s">
        <v>38</v>
      </c>
      <c r="N311" s="2" t="s">
        <v>89</v>
      </c>
      <c r="O311" s="2"/>
      <c r="P311" s="2"/>
      <c r="Q311" s="2">
        <v>1</v>
      </c>
      <c r="R311" s="2">
        <v>1</v>
      </c>
      <c r="S311" s="2"/>
      <c r="T311" s="2"/>
      <c r="U311" s="3"/>
      <c r="V311" s="8"/>
    </row>
    <row r="312" spans="1:22" ht="15" customHeight="1" x14ac:dyDescent="0.25">
      <c r="A312" s="7">
        <v>311</v>
      </c>
      <c r="B312" s="3">
        <v>43636</v>
      </c>
      <c r="C312" s="2" t="s">
        <v>32</v>
      </c>
      <c r="D312" s="2" t="s">
        <v>42</v>
      </c>
      <c r="E312" s="2" t="s">
        <v>43</v>
      </c>
      <c r="F312" s="2" t="s">
        <v>104</v>
      </c>
      <c r="G312" s="3">
        <v>34542</v>
      </c>
      <c r="H312" s="2">
        <v>26</v>
      </c>
      <c r="I312" s="2" t="s">
        <v>26</v>
      </c>
      <c r="J312" s="2" t="s">
        <v>27</v>
      </c>
      <c r="K312" s="2" t="s">
        <v>91</v>
      </c>
      <c r="L312" s="2" t="s">
        <v>55</v>
      </c>
      <c r="M312" s="2" t="s">
        <v>38</v>
      </c>
      <c r="N312" s="2" t="s">
        <v>56</v>
      </c>
      <c r="O312" s="2"/>
      <c r="P312" s="2"/>
      <c r="Q312" s="2">
        <v>1</v>
      </c>
      <c r="R312" s="2">
        <v>1</v>
      </c>
      <c r="S312" s="2"/>
      <c r="T312" s="2"/>
      <c r="U312" s="3"/>
      <c r="V312" s="8"/>
    </row>
    <row r="313" spans="1:22" ht="15" customHeight="1" x14ac:dyDescent="0.25">
      <c r="A313" s="7">
        <v>312</v>
      </c>
      <c r="B313" s="3">
        <v>43636</v>
      </c>
      <c r="C313" s="2" t="s">
        <v>57</v>
      </c>
      <c r="D313" s="2" t="s">
        <v>51</v>
      </c>
      <c r="E313" s="2" t="s">
        <v>59</v>
      </c>
      <c r="F313" s="2" t="s">
        <v>105</v>
      </c>
      <c r="G313" s="3">
        <v>33144</v>
      </c>
      <c r="H313" s="2">
        <v>29</v>
      </c>
      <c r="I313" s="2" t="s">
        <v>26</v>
      </c>
      <c r="J313" s="2" t="s">
        <v>27</v>
      </c>
      <c r="K313" s="2" t="s">
        <v>37</v>
      </c>
      <c r="L313" s="2" t="s">
        <v>55</v>
      </c>
      <c r="M313" s="2" t="s">
        <v>30</v>
      </c>
      <c r="N313" s="2" t="s">
        <v>31</v>
      </c>
      <c r="O313" s="2"/>
      <c r="P313" s="2"/>
      <c r="Q313" s="2">
        <v>1</v>
      </c>
      <c r="R313" s="2">
        <v>1</v>
      </c>
      <c r="S313" s="2">
        <v>1</v>
      </c>
      <c r="T313" s="2">
        <v>1</v>
      </c>
      <c r="U313" s="3">
        <v>43636</v>
      </c>
      <c r="V313" s="8">
        <v>500000</v>
      </c>
    </row>
    <row r="314" spans="1:22" ht="15" customHeight="1" x14ac:dyDescent="0.25">
      <c r="A314" s="7">
        <v>313</v>
      </c>
      <c r="B314" s="3">
        <v>43636</v>
      </c>
      <c r="C314" s="2" t="s">
        <v>32</v>
      </c>
      <c r="D314" s="2" t="s">
        <v>42</v>
      </c>
      <c r="E314" s="2" t="s">
        <v>43</v>
      </c>
      <c r="F314" s="2" t="s">
        <v>54</v>
      </c>
      <c r="G314" s="3">
        <v>32996</v>
      </c>
      <c r="H314" s="2">
        <v>30</v>
      </c>
      <c r="I314" s="2" t="s">
        <v>26</v>
      </c>
      <c r="J314" s="2" t="s">
        <v>79</v>
      </c>
      <c r="K314" s="2" t="s">
        <v>91</v>
      </c>
      <c r="L314" s="2" t="s">
        <v>45</v>
      </c>
      <c r="M314" s="2" t="s">
        <v>38</v>
      </c>
      <c r="N314" s="2" t="s">
        <v>39</v>
      </c>
      <c r="O314" s="2" t="s">
        <v>46</v>
      </c>
      <c r="P314" s="2" t="s">
        <v>118</v>
      </c>
      <c r="Q314" s="2">
        <v>1</v>
      </c>
      <c r="R314" s="2">
        <v>1</v>
      </c>
      <c r="S314" s="2">
        <v>1</v>
      </c>
      <c r="T314" s="2">
        <v>1</v>
      </c>
      <c r="U314" s="3">
        <v>43628</v>
      </c>
      <c r="V314" s="8"/>
    </row>
    <row r="315" spans="1:22" ht="15" customHeight="1" x14ac:dyDescent="0.25">
      <c r="A315" s="7">
        <v>314</v>
      </c>
      <c r="B315" s="3">
        <v>43637</v>
      </c>
      <c r="C315" s="2" t="s">
        <v>57</v>
      </c>
      <c r="D315" s="2" t="s">
        <v>67</v>
      </c>
      <c r="E315" s="2" t="s">
        <v>68</v>
      </c>
      <c r="F315" s="2" t="s">
        <v>106</v>
      </c>
      <c r="G315" s="3">
        <v>33868</v>
      </c>
      <c r="H315" s="2">
        <v>27</v>
      </c>
      <c r="I315" s="2" t="s">
        <v>26</v>
      </c>
      <c r="J315" s="2" t="s">
        <v>79</v>
      </c>
      <c r="K315" s="2" t="s">
        <v>91</v>
      </c>
      <c r="L315" s="2" t="s">
        <v>45</v>
      </c>
      <c r="M315" s="2" t="s">
        <v>30</v>
      </c>
      <c r="N315" s="2" t="s">
        <v>81</v>
      </c>
      <c r="O315" s="2"/>
      <c r="P315" s="2"/>
      <c r="Q315" s="2">
        <v>1</v>
      </c>
      <c r="R315" s="2"/>
      <c r="S315" s="2"/>
      <c r="T315" s="2"/>
      <c r="U315" s="3"/>
      <c r="V315" s="8"/>
    </row>
    <row r="316" spans="1:22" ht="15" customHeight="1" x14ac:dyDescent="0.25">
      <c r="A316" s="7">
        <v>315</v>
      </c>
      <c r="B316" s="3">
        <v>43637</v>
      </c>
      <c r="C316" s="2" t="s">
        <v>32</v>
      </c>
      <c r="D316" s="2" t="s">
        <v>71</v>
      </c>
      <c r="E316" s="2" t="s">
        <v>59</v>
      </c>
      <c r="F316" s="2" t="s">
        <v>107</v>
      </c>
      <c r="G316" s="3">
        <v>33429</v>
      </c>
      <c r="H316" s="2">
        <v>29</v>
      </c>
      <c r="I316" s="2" t="s">
        <v>87</v>
      </c>
      <c r="J316" s="2" t="s">
        <v>108</v>
      </c>
      <c r="K316" s="2" t="s">
        <v>37</v>
      </c>
      <c r="L316" s="2" t="s">
        <v>45</v>
      </c>
      <c r="M316" s="2" t="s">
        <v>30</v>
      </c>
      <c r="N316" s="2" t="s">
        <v>31</v>
      </c>
      <c r="O316" s="2"/>
      <c r="P316" s="2"/>
      <c r="Q316" s="2">
        <v>1</v>
      </c>
      <c r="R316" s="2"/>
      <c r="S316" s="2"/>
      <c r="T316" s="2"/>
      <c r="U316" s="3"/>
      <c r="V316" s="8"/>
    </row>
    <row r="317" spans="1:22" ht="15" customHeight="1" x14ac:dyDescent="0.25">
      <c r="A317" s="7">
        <v>316</v>
      </c>
      <c r="B317" s="3">
        <v>43637</v>
      </c>
      <c r="C317" s="2" t="s">
        <v>57</v>
      </c>
      <c r="D317" s="2" t="s">
        <v>67</v>
      </c>
      <c r="E317" s="2" t="s">
        <v>68</v>
      </c>
      <c r="F317" s="2" t="s">
        <v>69</v>
      </c>
      <c r="G317" s="3">
        <v>32996</v>
      </c>
      <c r="H317" s="2">
        <v>30</v>
      </c>
      <c r="I317" s="2" t="s">
        <v>26</v>
      </c>
      <c r="J317" s="2" t="s">
        <v>110</v>
      </c>
      <c r="K317" s="2" t="s">
        <v>37</v>
      </c>
      <c r="L317" s="2" t="s">
        <v>45</v>
      </c>
      <c r="M317" s="2" t="s">
        <v>30</v>
      </c>
      <c r="N317" s="2" t="s">
        <v>31</v>
      </c>
      <c r="O317" s="2"/>
      <c r="P317" s="2"/>
      <c r="Q317" s="2">
        <v>1</v>
      </c>
      <c r="R317" s="2">
        <v>1</v>
      </c>
      <c r="S317" s="2"/>
      <c r="T317" s="2"/>
      <c r="U317" s="3"/>
      <c r="V317" s="8"/>
    </row>
    <row r="318" spans="1:22" ht="15" customHeight="1" x14ac:dyDescent="0.25">
      <c r="A318" s="7">
        <v>317</v>
      </c>
      <c r="B318" s="3">
        <v>43637</v>
      </c>
      <c r="C318" s="2" t="s">
        <v>32</v>
      </c>
      <c r="D318" s="2" t="s">
        <v>71</v>
      </c>
      <c r="E318" s="2" t="s">
        <v>59</v>
      </c>
      <c r="F318" s="2" t="s">
        <v>109</v>
      </c>
      <c r="G318" s="3">
        <v>33302</v>
      </c>
      <c r="H318" s="2">
        <v>29</v>
      </c>
      <c r="I318" s="2" t="s">
        <v>26</v>
      </c>
      <c r="J318" s="2" t="s">
        <v>75</v>
      </c>
      <c r="K318" s="2" t="s">
        <v>91</v>
      </c>
      <c r="L318" s="2" t="s">
        <v>45</v>
      </c>
      <c r="M318" s="2" t="s">
        <v>30</v>
      </c>
      <c r="N318" s="2" t="s">
        <v>31</v>
      </c>
      <c r="O318" s="2"/>
      <c r="P318" s="2"/>
      <c r="Q318" s="2">
        <v>1</v>
      </c>
      <c r="R318" s="2"/>
      <c r="S318" s="2"/>
      <c r="T318" s="2"/>
      <c r="U318" s="3"/>
      <c r="V318" s="8"/>
    </row>
    <row r="319" spans="1:22" ht="15" customHeight="1" x14ac:dyDescent="0.25">
      <c r="A319" s="7">
        <v>318</v>
      </c>
      <c r="B319" s="3">
        <v>43637</v>
      </c>
      <c r="C319" s="2" t="s">
        <v>48</v>
      </c>
      <c r="D319" s="2" t="s">
        <v>51</v>
      </c>
      <c r="E319" s="2" t="s">
        <v>52</v>
      </c>
      <c r="F319" s="2" t="s">
        <v>65</v>
      </c>
      <c r="G319" s="3">
        <v>33302</v>
      </c>
      <c r="H319" s="2">
        <v>29</v>
      </c>
      <c r="I319" s="2" t="s">
        <v>26</v>
      </c>
      <c r="J319" s="2" t="s">
        <v>83</v>
      </c>
      <c r="K319" s="2" t="s">
        <v>91</v>
      </c>
      <c r="L319" s="2" t="s">
        <v>45</v>
      </c>
      <c r="M319" s="2" t="s">
        <v>30</v>
      </c>
      <c r="N319" s="2" t="s">
        <v>81</v>
      </c>
      <c r="O319" s="2"/>
      <c r="P319" s="2"/>
      <c r="Q319" s="2">
        <v>1</v>
      </c>
      <c r="R319" s="2">
        <v>1</v>
      </c>
      <c r="S319" s="2"/>
      <c r="T319" s="2"/>
      <c r="U319" s="3"/>
      <c r="V319" s="8"/>
    </row>
    <row r="320" spans="1:22" ht="15" customHeight="1" x14ac:dyDescent="0.25">
      <c r="A320" s="7">
        <v>319</v>
      </c>
      <c r="B320" s="3">
        <v>43637</v>
      </c>
      <c r="C320" s="2" t="s">
        <v>57</v>
      </c>
      <c r="D320" s="2" t="s">
        <v>67</v>
      </c>
      <c r="E320" s="2" t="s">
        <v>68</v>
      </c>
      <c r="F320" s="2" t="s">
        <v>106</v>
      </c>
      <c r="G320" s="3">
        <v>33868</v>
      </c>
      <c r="H320" s="2">
        <v>27</v>
      </c>
      <c r="I320" s="2" t="s">
        <v>26</v>
      </c>
      <c r="J320" s="2" t="s">
        <v>79</v>
      </c>
      <c r="K320" s="2" t="s">
        <v>91</v>
      </c>
      <c r="L320" s="2" t="s">
        <v>45</v>
      </c>
      <c r="M320" s="2" t="s">
        <v>30</v>
      </c>
      <c r="N320" s="2" t="s">
        <v>81</v>
      </c>
      <c r="O320" s="2"/>
      <c r="P320" s="2"/>
      <c r="Q320" s="2">
        <v>1</v>
      </c>
      <c r="R320" s="2"/>
      <c r="S320" s="2"/>
      <c r="T320" s="2"/>
      <c r="U320" s="3"/>
      <c r="V320" s="8"/>
    </row>
    <row r="321" spans="1:22" ht="15" customHeight="1" x14ac:dyDescent="0.25">
      <c r="A321" s="7">
        <v>320</v>
      </c>
      <c r="B321" s="3">
        <v>43637</v>
      </c>
      <c r="C321" s="2" t="s">
        <v>32</v>
      </c>
      <c r="D321" s="2" t="s">
        <v>71</v>
      </c>
      <c r="E321" s="2" t="s">
        <v>59</v>
      </c>
      <c r="F321" s="2" t="s">
        <v>107</v>
      </c>
      <c r="G321" s="3">
        <v>33429</v>
      </c>
      <c r="H321" s="2">
        <v>29</v>
      </c>
      <c r="I321" s="2" t="s">
        <v>87</v>
      </c>
      <c r="J321" s="2" t="s">
        <v>108</v>
      </c>
      <c r="K321" s="2" t="s">
        <v>37</v>
      </c>
      <c r="L321" s="2" t="s">
        <v>45</v>
      </c>
      <c r="M321" s="2" t="s">
        <v>30</v>
      </c>
      <c r="N321" s="2" t="s">
        <v>31</v>
      </c>
      <c r="O321" s="2"/>
      <c r="P321" s="2"/>
      <c r="Q321" s="2">
        <v>1</v>
      </c>
      <c r="R321" s="2"/>
      <c r="S321" s="2"/>
      <c r="T321" s="2"/>
      <c r="U321" s="3"/>
      <c r="V321" s="8"/>
    </row>
    <row r="322" spans="1:22" ht="15" customHeight="1" x14ac:dyDescent="0.25">
      <c r="A322" s="7">
        <v>321</v>
      </c>
      <c r="B322" s="3">
        <v>43637</v>
      </c>
      <c r="C322" s="2" t="s">
        <v>57</v>
      </c>
      <c r="D322" s="2" t="s">
        <v>67</v>
      </c>
      <c r="E322" s="2" t="s">
        <v>68</v>
      </c>
      <c r="F322" s="2" t="s">
        <v>69</v>
      </c>
      <c r="G322" s="3">
        <v>32996</v>
      </c>
      <c r="H322" s="2">
        <v>30</v>
      </c>
      <c r="I322" s="2" t="s">
        <v>26</v>
      </c>
      <c r="J322" s="2" t="s">
        <v>110</v>
      </c>
      <c r="K322" s="2" t="s">
        <v>37</v>
      </c>
      <c r="L322" s="2" t="s">
        <v>45</v>
      </c>
      <c r="M322" s="2" t="s">
        <v>30</v>
      </c>
      <c r="N322" s="2" t="s">
        <v>31</v>
      </c>
      <c r="O322" s="2"/>
      <c r="P322" s="2"/>
      <c r="Q322" s="2">
        <v>1</v>
      </c>
      <c r="R322" s="2">
        <v>1</v>
      </c>
      <c r="S322" s="2"/>
      <c r="T322" s="2"/>
      <c r="U322" s="3"/>
      <c r="V322" s="8"/>
    </row>
    <row r="323" spans="1:22" ht="15" customHeight="1" x14ac:dyDescent="0.25">
      <c r="A323" s="7">
        <v>322</v>
      </c>
      <c r="B323" s="3">
        <v>43637</v>
      </c>
      <c r="C323" s="2" t="s">
        <v>48</v>
      </c>
      <c r="D323" s="2" t="s">
        <v>51</v>
      </c>
      <c r="E323" s="2" t="s">
        <v>52</v>
      </c>
      <c r="F323" s="2" t="s">
        <v>65</v>
      </c>
      <c r="G323" s="3">
        <v>33302</v>
      </c>
      <c r="H323" s="2">
        <v>29</v>
      </c>
      <c r="I323" s="2" t="s">
        <v>26</v>
      </c>
      <c r="J323" s="2" t="s">
        <v>83</v>
      </c>
      <c r="K323" s="2" t="s">
        <v>91</v>
      </c>
      <c r="L323" s="2" t="s">
        <v>45</v>
      </c>
      <c r="M323" s="2" t="s">
        <v>30</v>
      </c>
      <c r="N323" s="2" t="s">
        <v>81</v>
      </c>
      <c r="O323" s="2"/>
      <c r="P323" s="2"/>
      <c r="Q323" s="2">
        <v>1</v>
      </c>
      <c r="R323" s="2">
        <v>1</v>
      </c>
      <c r="S323" s="2"/>
      <c r="T323" s="2"/>
      <c r="U323" s="3"/>
      <c r="V323" s="8"/>
    </row>
    <row r="324" spans="1:22" ht="15" customHeight="1" x14ac:dyDescent="0.25">
      <c r="A324" s="7">
        <v>323</v>
      </c>
      <c r="B324" s="3">
        <v>43637</v>
      </c>
      <c r="C324" s="2" t="s">
        <v>66</v>
      </c>
      <c r="D324" s="2" t="s">
        <v>67</v>
      </c>
      <c r="E324" s="2" t="s">
        <v>68</v>
      </c>
      <c r="F324" s="2" t="s">
        <v>111</v>
      </c>
      <c r="G324" s="3">
        <v>32919</v>
      </c>
      <c r="H324" s="2">
        <v>30</v>
      </c>
      <c r="I324" s="2" t="s">
        <v>87</v>
      </c>
      <c r="J324" s="2" t="s">
        <v>50</v>
      </c>
      <c r="K324" s="2" t="s">
        <v>91</v>
      </c>
      <c r="L324" s="2" t="s">
        <v>45</v>
      </c>
      <c r="M324" s="2" t="s">
        <v>38</v>
      </c>
      <c r="N324" s="2" t="s">
        <v>39</v>
      </c>
      <c r="O324" s="2" t="s">
        <v>40</v>
      </c>
      <c r="P324" s="2" t="s">
        <v>112</v>
      </c>
      <c r="Q324" s="2">
        <v>1</v>
      </c>
      <c r="R324" s="2">
        <v>1</v>
      </c>
      <c r="S324" s="2"/>
      <c r="T324" s="2"/>
      <c r="U324" s="3"/>
      <c r="V324" s="8">
        <v>150000</v>
      </c>
    </row>
    <row r="325" spans="1:22" ht="15" customHeight="1" x14ac:dyDescent="0.25">
      <c r="A325" s="7">
        <v>324</v>
      </c>
      <c r="B325" s="3">
        <v>43637</v>
      </c>
      <c r="C325" s="2" t="s">
        <v>48</v>
      </c>
      <c r="D325" s="2" t="s">
        <v>23</v>
      </c>
      <c r="E325" s="2" t="s">
        <v>24</v>
      </c>
      <c r="F325" s="2" t="s">
        <v>113</v>
      </c>
      <c r="G325" s="3">
        <v>33302</v>
      </c>
      <c r="H325" s="2">
        <v>29</v>
      </c>
      <c r="I325" s="2" t="s">
        <v>26</v>
      </c>
      <c r="J325" s="2" t="s">
        <v>75</v>
      </c>
      <c r="K325" s="2" t="s">
        <v>91</v>
      </c>
      <c r="L325" s="2" t="s">
        <v>114</v>
      </c>
      <c r="M325" s="2" t="s">
        <v>38</v>
      </c>
      <c r="N325" s="2" t="s">
        <v>39</v>
      </c>
      <c r="O325" s="2" t="s">
        <v>46</v>
      </c>
      <c r="P325" s="2" t="s">
        <v>84</v>
      </c>
      <c r="Q325" s="2">
        <v>1</v>
      </c>
      <c r="R325" s="2">
        <v>1</v>
      </c>
      <c r="S325" s="2">
        <v>1</v>
      </c>
      <c r="T325" s="2">
        <v>1</v>
      </c>
      <c r="U325" s="3">
        <v>43627</v>
      </c>
      <c r="V325" s="8">
        <v>200000</v>
      </c>
    </row>
    <row r="326" spans="1:22" ht="15" customHeight="1" x14ac:dyDescent="0.25">
      <c r="A326" s="7">
        <v>325</v>
      </c>
      <c r="B326" s="3">
        <v>43638</v>
      </c>
      <c r="C326" s="2" t="s">
        <v>22</v>
      </c>
      <c r="D326" s="2" t="s">
        <v>23</v>
      </c>
      <c r="E326" s="2" t="s">
        <v>24</v>
      </c>
      <c r="F326" s="2" t="s">
        <v>115</v>
      </c>
      <c r="G326" s="3">
        <v>32589</v>
      </c>
      <c r="H326" s="2">
        <v>31</v>
      </c>
      <c r="I326" s="2" t="s">
        <v>26</v>
      </c>
      <c r="J326" s="2" t="s">
        <v>27</v>
      </c>
      <c r="K326" s="2" t="s">
        <v>37</v>
      </c>
      <c r="L326" s="2" t="s">
        <v>45</v>
      </c>
      <c r="M326" s="2" t="s">
        <v>38</v>
      </c>
      <c r="N326" s="2" t="s">
        <v>89</v>
      </c>
      <c r="O326" s="2"/>
      <c r="P326" s="2"/>
      <c r="Q326" s="2">
        <v>1</v>
      </c>
      <c r="R326" s="2"/>
      <c r="S326" s="2"/>
      <c r="T326" s="2"/>
      <c r="U326" s="3"/>
      <c r="V326" s="8"/>
    </row>
    <row r="327" spans="1:22" ht="15" customHeight="1" x14ac:dyDescent="0.25">
      <c r="A327" s="7">
        <v>326</v>
      </c>
      <c r="B327" s="3">
        <v>43638</v>
      </c>
      <c r="C327" s="2" t="s">
        <v>66</v>
      </c>
      <c r="D327" s="2" t="s">
        <v>67</v>
      </c>
      <c r="E327" s="2" t="s">
        <v>68</v>
      </c>
      <c r="F327" s="2" t="s">
        <v>25</v>
      </c>
      <c r="G327" s="3">
        <v>32589</v>
      </c>
      <c r="H327" s="2">
        <v>31</v>
      </c>
      <c r="I327" s="2" t="s">
        <v>26</v>
      </c>
      <c r="J327" s="2" t="s">
        <v>93</v>
      </c>
      <c r="K327" s="2" t="s">
        <v>37</v>
      </c>
      <c r="L327" s="2" t="s">
        <v>45</v>
      </c>
      <c r="M327" s="2" t="s">
        <v>30</v>
      </c>
      <c r="N327" s="2" t="s">
        <v>81</v>
      </c>
      <c r="O327" s="2"/>
      <c r="P327" s="2"/>
      <c r="Q327" s="2">
        <v>1</v>
      </c>
      <c r="R327" s="2"/>
      <c r="S327" s="2"/>
      <c r="T327" s="2"/>
      <c r="U327" s="3"/>
      <c r="V327" s="8"/>
    </row>
    <row r="328" spans="1:22" ht="15" customHeight="1" x14ac:dyDescent="0.25">
      <c r="A328" s="7">
        <v>327</v>
      </c>
      <c r="B328" s="3">
        <v>43638</v>
      </c>
      <c r="C328" s="2" t="s">
        <v>22</v>
      </c>
      <c r="D328" s="2" t="s">
        <v>23</v>
      </c>
      <c r="E328" s="2" t="s">
        <v>24</v>
      </c>
      <c r="F328" s="2" t="s">
        <v>115</v>
      </c>
      <c r="G328" s="3">
        <v>32589</v>
      </c>
      <c r="H328" s="2">
        <v>31</v>
      </c>
      <c r="I328" s="2" t="s">
        <v>26</v>
      </c>
      <c r="J328" s="2" t="s">
        <v>27</v>
      </c>
      <c r="K328" s="2" t="s">
        <v>37</v>
      </c>
      <c r="L328" s="2" t="s">
        <v>45</v>
      </c>
      <c r="M328" s="2" t="s">
        <v>38</v>
      </c>
      <c r="N328" s="2" t="s">
        <v>89</v>
      </c>
      <c r="O328" s="2"/>
      <c r="P328" s="2"/>
      <c r="Q328" s="2">
        <v>1</v>
      </c>
      <c r="R328" s="2"/>
      <c r="S328" s="2"/>
      <c r="T328" s="2"/>
      <c r="U328" s="3"/>
      <c r="V328" s="8"/>
    </row>
    <row r="329" spans="1:22" ht="15" customHeight="1" x14ac:dyDescent="0.25">
      <c r="A329" s="7">
        <v>328</v>
      </c>
      <c r="B329" s="3">
        <v>43638</v>
      </c>
      <c r="C329" s="2" t="s">
        <v>66</v>
      </c>
      <c r="D329" s="2" t="s">
        <v>67</v>
      </c>
      <c r="E329" s="2" t="s">
        <v>68</v>
      </c>
      <c r="F329" s="2" t="s">
        <v>25</v>
      </c>
      <c r="G329" s="3">
        <v>32589</v>
      </c>
      <c r="H329" s="2">
        <v>31</v>
      </c>
      <c r="I329" s="2" t="s">
        <v>26</v>
      </c>
      <c r="J329" s="2" t="s">
        <v>93</v>
      </c>
      <c r="K329" s="2" t="s">
        <v>37</v>
      </c>
      <c r="L329" s="2" t="s">
        <v>45</v>
      </c>
      <c r="M329" s="2" t="s">
        <v>30</v>
      </c>
      <c r="N329" s="2" t="s">
        <v>81</v>
      </c>
      <c r="O329" s="2"/>
      <c r="P329" s="2"/>
      <c r="Q329" s="2">
        <v>1</v>
      </c>
      <c r="R329" s="2"/>
      <c r="S329" s="2"/>
      <c r="T329" s="2"/>
      <c r="U329" s="3"/>
      <c r="V329" s="8"/>
    </row>
    <row r="330" spans="1:22" ht="15" customHeight="1" x14ac:dyDescent="0.25">
      <c r="A330" s="7">
        <v>329</v>
      </c>
      <c r="B330" s="3">
        <v>43638</v>
      </c>
      <c r="C330" s="2" t="s">
        <v>48</v>
      </c>
      <c r="D330" s="2" t="s">
        <v>51</v>
      </c>
      <c r="E330" s="2" t="s">
        <v>52</v>
      </c>
      <c r="F330" s="2" t="s">
        <v>116</v>
      </c>
      <c r="G330" s="3">
        <v>34652</v>
      </c>
      <c r="H330" s="2">
        <v>25</v>
      </c>
      <c r="I330" s="2" t="s">
        <v>26</v>
      </c>
      <c r="J330" s="2" t="s">
        <v>88</v>
      </c>
      <c r="K330" s="2" t="s">
        <v>91</v>
      </c>
      <c r="L330" s="2" t="s">
        <v>45</v>
      </c>
      <c r="M330" s="2" t="s">
        <v>38</v>
      </c>
      <c r="N330" s="2" t="s">
        <v>39</v>
      </c>
      <c r="O330" s="2" t="s">
        <v>46</v>
      </c>
      <c r="P330" s="2" t="s">
        <v>47</v>
      </c>
      <c r="Q330" s="2">
        <v>1</v>
      </c>
      <c r="R330" s="2"/>
      <c r="S330" s="2"/>
      <c r="T330" s="2"/>
      <c r="U330" s="3"/>
      <c r="V330" s="8">
        <v>100000</v>
      </c>
    </row>
    <row r="331" spans="1:22" ht="15" customHeight="1" x14ac:dyDescent="0.25">
      <c r="A331" s="7">
        <v>330</v>
      </c>
      <c r="B331" s="3">
        <v>43638</v>
      </c>
      <c r="C331" s="2" t="s">
        <v>22</v>
      </c>
      <c r="D331" s="2" t="s">
        <v>23</v>
      </c>
      <c r="E331" s="2" t="s">
        <v>24</v>
      </c>
      <c r="F331" s="2" t="s">
        <v>100</v>
      </c>
      <c r="G331" s="3">
        <v>33409</v>
      </c>
      <c r="H331" s="2">
        <v>29</v>
      </c>
      <c r="I331" s="2" t="s">
        <v>26</v>
      </c>
      <c r="J331" s="2" t="s">
        <v>75</v>
      </c>
      <c r="K331" s="2" t="s">
        <v>91</v>
      </c>
      <c r="L331" s="2" t="s">
        <v>55</v>
      </c>
      <c r="M331" s="2" t="s">
        <v>38</v>
      </c>
      <c r="N331" s="2" t="s">
        <v>39</v>
      </c>
      <c r="O331" s="2" t="s">
        <v>46</v>
      </c>
      <c r="P331" s="2" t="s">
        <v>84</v>
      </c>
      <c r="Q331" s="2">
        <v>1</v>
      </c>
      <c r="R331" s="2"/>
      <c r="S331" s="2"/>
      <c r="T331" s="2"/>
      <c r="U331" s="3"/>
      <c r="V331" s="8">
        <v>150000</v>
      </c>
    </row>
    <row r="332" spans="1:22" ht="15" customHeight="1" x14ac:dyDescent="0.25">
      <c r="A332" s="7">
        <v>331</v>
      </c>
      <c r="B332" s="3">
        <v>43639</v>
      </c>
      <c r="C332" s="2" t="s">
        <v>32</v>
      </c>
      <c r="D332" s="2" t="s">
        <v>33</v>
      </c>
      <c r="E332" s="2" t="s">
        <v>34</v>
      </c>
      <c r="F332" s="2" t="s">
        <v>86</v>
      </c>
      <c r="G332" s="3">
        <v>31553</v>
      </c>
      <c r="H332" s="2">
        <v>34</v>
      </c>
      <c r="I332" s="2" t="s">
        <v>26</v>
      </c>
      <c r="J332" s="2" t="s">
        <v>27</v>
      </c>
      <c r="K332" s="2" t="s">
        <v>91</v>
      </c>
      <c r="L332" s="2" t="s">
        <v>45</v>
      </c>
      <c r="M332" s="2" t="s">
        <v>30</v>
      </c>
      <c r="N332" s="2" t="s">
        <v>81</v>
      </c>
      <c r="O332" s="2"/>
      <c r="P332" s="2"/>
      <c r="Q332" s="2">
        <v>1</v>
      </c>
      <c r="R332" s="2"/>
      <c r="S332" s="2">
        <v>1</v>
      </c>
      <c r="T332" s="2"/>
      <c r="U332" s="3"/>
      <c r="V332" s="8"/>
    </row>
    <row r="333" spans="1:22" ht="15" customHeight="1" x14ac:dyDescent="0.25">
      <c r="A333" s="7">
        <v>332</v>
      </c>
      <c r="B333" s="3">
        <v>43639</v>
      </c>
      <c r="C333" s="2" t="s">
        <v>32</v>
      </c>
      <c r="D333" s="2" t="s">
        <v>33</v>
      </c>
      <c r="E333" s="2" t="s">
        <v>34</v>
      </c>
      <c r="F333" s="2" t="s">
        <v>100</v>
      </c>
      <c r="G333" s="3">
        <v>33409</v>
      </c>
      <c r="H333" s="2">
        <v>29</v>
      </c>
      <c r="I333" s="2" t="s">
        <v>26</v>
      </c>
      <c r="J333" s="2" t="s">
        <v>75</v>
      </c>
      <c r="K333" s="2" t="s">
        <v>91</v>
      </c>
      <c r="L333" s="2" t="s">
        <v>55</v>
      </c>
      <c r="M333" s="2" t="s">
        <v>38</v>
      </c>
      <c r="N333" s="2" t="s">
        <v>39</v>
      </c>
      <c r="O333" s="2" t="s">
        <v>46</v>
      </c>
      <c r="P333" s="2" t="s">
        <v>47</v>
      </c>
      <c r="Q333" s="2">
        <v>1</v>
      </c>
      <c r="R333" s="2"/>
      <c r="S333" s="2"/>
      <c r="T333" s="2"/>
      <c r="U333" s="3"/>
      <c r="V333" s="8">
        <v>150000</v>
      </c>
    </row>
    <row r="334" spans="1:22" ht="15" customHeight="1" x14ac:dyDescent="0.25">
      <c r="A334" s="7">
        <v>333</v>
      </c>
      <c r="B334" s="3">
        <v>43640</v>
      </c>
      <c r="C334" s="2" t="s">
        <v>32</v>
      </c>
      <c r="D334" s="2" t="s">
        <v>42</v>
      </c>
      <c r="E334" s="2" t="s">
        <v>43</v>
      </c>
      <c r="F334" s="2" t="s">
        <v>96</v>
      </c>
      <c r="G334" s="3">
        <v>33409</v>
      </c>
      <c r="H334" s="2">
        <v>29</v>
      </c>
      <c r="I334" s="2" t="s">
        <v>26</v>
      </c>
      <c r="J334" s="2" t="s">
        <v>110</v>
      </c>
      <c r="K334" s="2" t="s">
        <v>28</v>
      </c>
      <c r="L334" s="2" t="s">
        <v>114</v>
      </c>
      <c r="M334" s="2" t="s">
        <v>30</v>
      </c>
      <c r="N334" s="2" t="s">
        <v>81</v>
      </c>
      <c r="O334" s="2"/>
      <c r="P334" s="2"/>
      <c r="Q334" s="2">
        <v>1</v>
      </c>
      <c r="R334" s="2"/>
      <c r="S334" s="2"/>
      <c r="T334" s="2"/>
      <c r="U334" s="3"/>
      <c r="V334" s="8"/>
    </row>
    <row r="335" spans="1:22" ht="15" customHeight="1" x14ac:dyDescent="0.25">
      <c r="A335" s="7">
        <v>334</v>
      </c>
      <c r="B335" s="3">
        <v>43643</v>
      </c>
      <c r="C335" s="2" t="s">
        <v>57</v>
      </c>
      <c r="D335" s="2" t="s">
        <v>23</v>
      </c>
      <c r="E335" s="2" t="s">
        <v>24</v>
      </c>
      <c r="F335" s="2" t="s">
        <v>80</v>
      </c>
      <c r="G335" s="3">
        <v>33016</v>
      </c>
      <c r="H335" s="2">
        <v>30</v>
      </c>
      <c r="I335" s="2" t="s">
        <v>26</v>
      </c>
      <c r="J335" s="2" t="s">
        <v>61</v>
      </c>
      <c r="K335" s="2" t="s">
        <v>28</v>
      </c>
      <c r="L335" s="2" t="s">
        <v>92</v>
      </c>
      <c r="M335" s="2" t="s">
        <v>38</v>
      </c>
      <c r="N335" s="2" t="s">
        <v>39</v>
      </c>
      <c r="O335" s="2" t="s">
        <v>46</v>
      </c>
      <c r="P335" s="2" t="s">
        <v>47</v>
      </c>
      <c r="Q335" s="2">
        <v>1</v>
      </c>
      <c r="R335" s="2">
        <v>1</v>
      </c>
      <c r="S335" s="2">
        <v>1</v>
      </c>
      <c r="T335" s="2">
        <v>1</v>
      </c>
      <c r="U335" s="3">
        <v>43626</v>
      </c>
      <c r="V335" s="8">
        <v>200000</v>
      </c>
    </row>
    <row r="336" spans="1:22" ht="15" customHeight="1" x14ac:dyDescent="0.25">
      <c r="A336" s="7">
        <v>335</v>
      </c>
      <c r="B336" s="3">
        <v>43647</v>
      </c>
      <c r="C336" s="2" t="s">
        <v>32</v>
      </c>
      <c r="D336" s="2" t="s">
        <v>33</v>
      </c>
      <c r="E336" s="2" t="s">
        <v>138</v>
      </c>
      <c r="F336" s="2" t="s">
        <v>35</v>
      </c>
      <c r="G336" s="3">
        <v>33016</v>
      </c>
      <c r="H336" s="2">
        <v>30</v>
      </c>
      <c r="I336" s="2" t="s">
        <v>26</v>
      </c>
      <c r="J336" s="2" t="s">
        <v>36</v>
      </c>
      <c r="K336" s="2" t="s">
        <v>37</v>
      </c>
      <c r="L336" s="2" t="s">
        <v>29</v>
      </c>
      <c r="M336" s="2" t="s">
        <v>38</v>
      </c>
      <c r="N336" s="2" t="s">
        <v>39</v>
      </c>
      <c r="O336" s="2" t="s">
        <v>40</v>
      </c>
      <c r="P336" s="2" t="s">
        <v>41</v>
      </c>
      <c r="Q336" s="2">
        <v>1</v>
      </c>
      <c r="R336" s="2"/>
      <c r="S336" s="2"/>
      <c r="T336" s="2"/>
      <c r="U336" s="3"/>
      <c r="V336" s="8"/>
    </row>
    <row r="337" spans="1:22" ht="15" customHeight="1" x14ac:dyDescent="0.25">
      <c r="A337" s="7">
        <v>336</v>
      </c>
      <c r="B337" s="3">
        <v>43647</v>
      </c>
      <c r="C337" s="2" t="s">
        <v>22</v>
      </c>
      <c r="D337" s="2" t="s">
        <v>23</v>
      </c>
      <c r="E337" s="2" t="s">
        <v>24</v>
      </c>
      <c r="F337" s="2" t="s">
        <v>25</v>
      </c>
      <c r="G337" s="3">
        <v>33409</v>
      </c>
      <c r="H337" s="2">
        <v>29</v>
      </c>
      <c r="I337" s="2" t="s">
        <v>26</v>
      </c>
      <c r="J337" s="2" t="s">
        <v>27</v>
      </c>
      <c r="K337" s="2" t="s">
        <v>28</v>
      </c>
      <c r="L337" s="2" t="s">
        <v>29</v>
      </c>
      <c r="M337" s="2" t="s">
        <v>38</v>
      </c>
      <c r="N337" s="2" t="s">
        <v>39</v>
      </c>
      <c r="O337" s="2" t="s">
        <v>40</v>
      </c>
      <c r="P337" s="2" t="s">
        <v>77</v>
      </c>
      <c r="Q337" s="2">
        <v>1</v>
      </c>
      <c r="R337" s="2"/>
      <c r="S337" s="2"/>
      <c r="T337" s="2"/>
      <c r="U337" s="3"/>
      <c r="V337" s="8"/>
    </row>
    <row r="338" spans="1:22" ht="15" customHeight="1" x14ac:dyDescent="0.25">
      <c r="A338" s="7">
        <v>337</v>
      </c>
      <c r="B338" s="3">
        <v>43648</v>
      </c>
      <c r="C338" s="2" t="s">
        <v>32</v>
      </c>
      <c r="D338" s="2" t="s">
        <v>42</v>
      </c>
      <c r="E338" s="2" t="s">
        <v>43</v>
      </c>
      <c r="F338" s="2" t="s">
        <v>44</v>
      </c>
      <c r="G338" s="3">
        <v>33327</v>
      </c>
      <c r="H338" s="2">
        <v>29</v>
      </c>
      <c r="I338" s="2" t="s">
        <v>26</v>
      </c>
      <c r="J338" s="2" t="s">
        <v>27</v>
      </c>
      <c r="K338" s="2" t="s">
        <v>37</v>
      </c>
      <c r="L338" s="2" t="s">
        <v>45</v>
      </c>
      <c r="M338" s="2" t="s">
        <v>38</v>
      </c>
      <c r="N338" s="2" t="s">
        <v>39</v>
      </c>
      <c r="O338" s="2" t="s">
        <v>40</v>
      </c>
      <c r="P338" s="2" t="s">
        <v>41</v>
      </c>
      <c r="Q338" s="2">
        <v>1</v>
      </c>
      <c r="R338" s="2">
        <v>1</v>
      </c>
      <c r="S338" s="2">
        <v>1</v>
      </c>
      <c r="T338" s="2"/>
      <c r="U338" s="3"/>
      <c r="V338" s="8"/>
    </row>
    <row r="339" spans="1:22" ht="15" customHeight="1" x14ac:dyDescent="0.25">
      <c r="A339" s="7">
        <v>338</v>
      </c>
      <c r="B339" s="3">
        <v>43648</v>
      </c>
      <c r="C339" s="2" t="s">
        <v>48</v>
      </c>
      <c r="D339" s="2" t="s">
        <v>23</v>
      </c>
      <c r="E339" s="2" t="s">
        <v>24</v>
      </c>
      <c r="F339" s="2" t="s">
        <v>49</v>
      </c>
      <c r="G339" s="3">
        <v>32996</v>
      </c>
      <c r="H339" s="2">
        <v>30</v>
      </c>
      <c r="I339" s="2" t="s">
        <v>26</v>
      </c>
      <c r="J339" s="2" t="s">
        <v>50</v>
      </c>
      <c r="K339" s="2" t="s">
        <v>37</v>
      </c>
      <c r="L339" s="2" t="s">
        <v>45</v>
      </c>
      <c r="M339" s="2" t="s">
        <v>38</v>
      </c>
      <c r="N339" s="2" t="s">
        <v>39</v>
      </c>
      <c r="O339" s="2" t="s">
        <v>46</v>
      </c>
      <c r="P339" s="2" t="s">
        <v>84</v>
      </c>
      <c r="Q339" s="2">
        <v>1</v>
      </c>
      <c r="R339" s="2">
        <v>1</v>
      </c>
      <c r="S339" s="2">
        <v>1</v>
      </c>
      <c r="T339" s="2"/>
      <c r="U339" s="3"/>
      <c r="V339" s="8">
        <v>150000</v>
      </c>
    </row>
    <row r="340" spans="1:22" ht="15" customHeight="1" x14ac:dyDescent="0.25">
      <c r="A340" s="7">
        <v>339</v>
      </c>
      <c r="B340" s="3">
        <v>43649</v>
      </c>
      <c r="C340" s="2" t="s">
        <v>48</v>
      </c>
      <c r="D340" s="2" t="s">
        <v>51</v>
      </c>
      <c r="E340" s="2" t="s">
        <v>52</v>
      </c>
      <c r="F340" s="2" t="s">
        <v>53</v>
      </c>
      <c r="G340" s="3">
        <v>33041</v>
      </c>
      <c r="H340" s="2">
        <v>30</v>
      </c>
      <c r="I340" s="2" t="s">
        <v>26</v>
      </c>
      <c r="J340" s="2" t="s">
        <v>50</v>
      </c>
      <c r="K340" s="2" t="s">
        <v>37</v>
      </c>
      <c r="L340" s="2" t="s">
        <v>45</v>
      </c>
      <c r="M340" s="2" t="s">
        <v>38</v>
      </c>
      <c r="N340" s="2" t="s">
        <v>63</v>
      </c>
      <c r="O340" s="2" t="s">
        <v>64</v>
      </c>
      <c r="P340" s="2"/>
      <c r="Q340" s="2">
        <v>1</v>
      </c>
      <c r="R340" s="2">
        <v>1</v>
      </c>
      <c r="S340" s="2"/>
      <c r="T340" s="2"/>
      <c r="U340" s="3"/>
      <c r="V340" s="8">
        <v>150000</v>
      </c>
    </row>
    <row r="341" spans="1:22" ht="15" customHeight="1" x14ac:dyDescent="0.25">
      <c r="A341" s="7">
        <v>340</v>
      </c>
      <c r="B341" s="3">
        <v>43650</v>
      </c>
      <c r="C341" s="2" t="s">
        <v>57</v>
      </c>
      <c r="D341" s="2" t="s">
        <v>23</v>
      </c>
      <c r="E341" s="2" t="s">
        <v>24</v>
      </c>
      <c r="F341" s="2" t="s">
        <v>58</v>
      </c>
      <c r="G341" s="3">
        <v>33144</v>
      </c>
      <c r="H341" s="2">
        <v>29</v>
      </c>
      <c r="I341" s="2" t="s">
        <v>26</v>
      </c>
      <c r="J341" s="2" t="s">
        <v>50</v>
      </c>
      <c r="K341" s="2" t="s">
        <v>28</v>
      </c>
      <c r="L341" s="2" t="s">
        <v>45</v>
      </c>
      <c r="M341" s="2" t="s">
        <v>38</v>
      </c>
      <c r="N341" s="2" t="s">
        <v>89</v>
      </c>
      <c r="O341" s="2"/>
      <c r="P341" s="2"/>
      <c r="Q341" s="2">
        <v>1</v>
      </c>
      <c r="R341" s="2"/>
      <c r="S341" s="2"/>
      <c r="T341" s="2"/>
      <c r="U341" s="3"/>
      <c r="V341" s="8"/>
    </row>
    <row r="342" spans="1:22" ht="15" customHeight="1" x14ac:dyDescent="0.25">
      <c r="A342" s="7">
        <v>341</v>
      </c>
      <c r="B342" s="3">
        <v>43650</v>
      </c>
      <c r="C342" s="2" t="s">
        <v>48</v>
      </c>
      <c r="D342" s="2" t="s">
        <v>51</v>
      </c>
      <c r="E342" s="2" t="s">
        <v>52</v>
      </c>
      <c r="F342" s="2" t="s">
        <v>54</v>
      </c>
      <c r="G342" s="3">
        <v>33132</v>
      </c>
      <c r="H342" s="2">
        <v>29</v>
      </c>
      <c r="I342" s="2" t="s">
        <v>26</v>
      </c>
      <c r="J342" s="2" t="s">
        <v>27</v>
      </c>
      <c r="K342" s="2" t="s">
        <v>37</v>
      </c>
      <c r="L342" s="2" t="s">
        <v>55</v>
      </c>
      <c r="M342" s="2" t="s">
        <v>38</v>
      </c>
      <c r="N342" s="2" t="s">
        <v>56</v>
      </c>
      <c r="O342" s="2"/>
      <c r="P342" s="2"/>
      <c r="Q342" s="2">
        <v>1</v>
      </c>
      <c r="R342" s="2"/>
      <c r="S342" s="2"/>
      <c r="T342" s="2"/>
      <c r="U342" s="3"/>
      <c r="V342" s="8"/>
    </row>
    <row r="343" spans="1:22" ht="15" customHeight="1" x14ac:dyDescent="0.25">
      <c r="A343" s="7">
        <v>342</v>
      </c>
      <c r="B343" s="3">
        <v>43651</v>
      </c>
      <c r="C343" s="2" t="s">
        <v>57</v>
      </c>
      <c r="D343" s="2" t="s">
        <v>51</v>
      </c>
      <c r="E343" s="2" t="s">
        <v>59</v>
      </c>
      <c r="F343" s="2" t="s">
        <v>60</v>
      </c>
      <c r="G343" s="3">
        <v>32919</v>
      </c>
      <c r="H343" s="2">
        <v>30</v>
      </c>
      <c r="I343" s="2" t="s">
        <v>26</v>
      </c>
      <c r="J343" s="2" t="s">
        <v>61</v>
      </c>
      <c r="K343" s="2" t="s">
        <v>37</v>
      </c>
      <c r="L343" s="2" t="s">
        <v>62</v>
      </c>
      <c r="M343" s="2" t="s">
        <v>38</v>
      </c>
      <c r="N343" s="2" t="s">
        <v>63</v>
      </c>
      <c r="O343" s="2" t="s">
        <v>64</v>
      </c>
      <c r="P343" s="2"/>
      <c r="Q343" s="2">
        <v>1</v>
      </c>
      <c r="R343" s="2"/>
      <c r="S343" s="2"/>
      <c r="T343" s="2"/>
      <c r="U343" s="3"/>
      <c r="V343" s="8">
        <v>100000</v>
      </c>
    </row>
    <row r="344" spans="1:22" ht="15" customHeight="1" x14ac:dyDescent="0.25">
      <c r="A344" s="7">
        <v>343</v>
      </c>
      <c r="B344" s="3">
        <v>43652</v>
      </c>
      <c r="C344" s="2" t="s">
        <v>66</v>
      </c>
      <c r="D344" s="2" t="s">
        <v>67</v>
      </c>
      <c r="E344" s="2" t="s">
        <v>68</v>
      </c>
      <c r="F344" s="2" t="s">
        <v>69</v>
      </c>
      <c r="G344" s="3">
        <v>32589</v>
      </c>
      <c r="H344" s="2">
        <v>31</v>
      </c>
      <c r="I344" s="2" t="s">
        <v>26</v>
      </c>
      <c r="J344" s="2" t="s">
        <v>70</v>
      </c>
      <c r="K344" s="2" t="s">
        <v>28</v>
      </c>
      <c r="L344" s="2" t="s">
        <v>45</v>
      </c>
      <c r="M344" s="2" t="s">
        <v>30</v>
      </c>
      <c r="N344" s="2" t="s">
        <v>31</v>
      </c>
      <c r="O344" s="2"/>
      <c r="P344" s="2"/>
      <c r="Q344" s="2">
        <v>1</v>
      </c>
      <c r="R344" s="2">
        <v>1</v>
      </c>
      <c r="S344" s="2">
        <v>1</v>
      </c>
      <c r="T344" s="2"/>
      <c r="U344" s="3"/>
      <c r="V344" s="8"/>
    </row>
    <row r="345" spans="1:22" ht="15" customHeight="1" x14ac:dyDescent="0.25">
      <c r="A345" s="7">
        <v>344</v>
      </c>
      <c r="B345" s="3">
        <v>43652</v>
      </c>
      <c r="C345" s="2" t="s">
        <v>48</v>
      </c>
      <c r="D345" s="2" t="s">
        <v>23</v>
      </c>
      <c r="E345" s="2" t="s">
        <v>24</v>
      </c>
      <c r="F345" s="2" t="s">
        <v>65</v>
      </c>
      <c r="G345" s="3">
        <v>34195</v>
      </c>
      <c r="H345" s="2">
        <v>27</v>
      </c>
      <c r="I345" s="2" t="s">
        <v>26</v>
      </c>
      <c r="J345" s="2" t="s">
        <v>27</v>
      </c>
      <c r="K345" s="2" t="s">
        <v>37</v>
      </c>
      <c r="L345" s="2" t="s">
        <v>45</v>
      </c>
      <c r="M345" s="2" t="s">
        <v>38</v>
      </c>
      <c r="N345" s="2" t="s">
        <v>39</v>
      </c>
      <c r="O345" s="2" t="s">
        <v>46</v>
      </c>
      <c r="P345" s="2" t="s">
        <v>84</v>
      </c>
      <c r="Q345" s="2">
        <v>1</v>
      </c>
      <c r="R345" s="2">
        <v>1</v>
      </c>
      <c r="S345" s="2"/>
      <c r="T345" s="2"/>
      <c r="U345" s="3"/>
      <c r="V345" s="8">
        <v>150000</v>
      </c>
    </row>
    <row r="346" spans="1:22" ht="15" customHeight="1" x14ac:dyDescent="0.25">
      <c r="A346" s="7">
        <v>345</v>
      </c>
      <c r="B346" s="3">
        <v>43654</v>
      </c>
      <c r="C346" s="2" t="s">
        <v>32</v>
      </c>
      <c r="D346" s="2" t="s">
        <v>71</v>
      </c>
      <c r="E346" s="2" t="s">
        <v>59</v>
      </c>
      <c r="F346" s="2" t="s">
        <v>72</v>
      </c>
      <c r="G346" s="3">
        <v>33476</v>
      </c>
      <c r="H346" s="2">
        <v>29</v>
      </c>
      <c r="I346" s="2" t="s">
        <v>26</v>
      </c>
      <c r="J346" s="2" t="s">
        <v>73</v>
      </c>
      <c r="K346" s="2" t="s">
        <v>37</v>
      </c>
      <c r="L346" s="2" t="s">
        <v>45</v>
      </c>
      <c r="M346" s="2" t="s">
        <v>38</v>
      </c>
      <c r="N346" s="2" t="s">
        <v>63</v>
      </c>
      <c r="O346" s="2" t="s">
        <v>64</v>
      </c>
      <c r="P346" s="2"/>
      <c r="Q346" s="2">
        <v>1</v>
      </c>
      <c r="R346" s="2">
        <v>1</v>
      </c>
      <c r="S346" s="2">
        <v>1</v>
      </c>
      <c r="T346" s="2">
        <v>1</v>
      </c>
      <c r="U346" s="3"/>
      <c r="V346" s="8">
        <v>150000</v>
      </c>
    </row>
    <row r="347" spans="1:22" ht="15" customHeight="1" x14ac:dyDescent="0.25">
      <c r="A347" s="7">
        <v>346</v>
      </c>
      <c r="B347" s="3">
        <v>43655</v>
      </c>
      <c r="C347" s="2" t="s">
        <v>32</v>
      </c>
      <c r="D347" s="2" t="s">
        <v>33</v>
      </c>
      <c r="E347" s="2" t="s">
        <v>34</v>
      </c>
      <c r="F347" s="2" t="s">
        <v>74</v>
      </c>
      <c r="G347" s="3">
        <v>32558</v>
      </c>
      <c r="H347" s="2">
        <v>31</v>
      </c>
      <c r="I347" s="2" t="s">
        <v>26</v>
      </c>
      <c r="J347" s="2" t="s">
        <v>75</v>
      </c>
      <c r="K347" s="2" t="s">
        <v>37</v>
      </c>
      <c r="L347" s="2" t="s">
        <v>76</v>
      </c>
      <c r="M347" s="2" t="s">
        <v>38</v>
      </c>
      <c r="N347" s="2" t="s">
        <v>39</v>
      </c>
      <c r="O347" s="2" t="s">
        <v>46</v>
      </c>
      <c r="P347" s="2" t="s">
        <v>47</v>
      </c>
      <c r="Q347" s="2">
        <v>1</v>
      </c>
      <c r="R347" s="2">
        <v>1</v>
      </c>
      <c r="S347" s="2">
        <v>1</v>
      </c>
      <c r="T347" s="2">
        <v>1</v>
      </c>
      <c r="U347" s="3"/>
      <c r="V347" s="8">
        <v>200000</v>
      </c>
    </row>
    <row r="348" spans="1:22" ht="15" customHeight="1" x14ac:dyDescent="0.25">
      <c r="A348" s="7">
        <v>347</v>
      </c>
      <c r="B348" s="3">
        <v>43655</v>
      </c>
      <c r="C348" s="2" t="s">
        <v>57</v>
      </c>
      <c r="D348" s="2" t="s">
        <v>67</v>
      </c>
      <c r="E348" s="2" t="s">
        <v>68</v>
      </c>
      <c r="F348" s="2" t="s">
        <v>122</v>
      </c>
      <c r="G348" s="3">
        <v>33041</v>
      </c>
      <c r="H348" s="2">
        <v>30</v>
      </c>
      <c r="I348" s="2" t="s">
        <v>26</v>
      </c>
      <c r="J348" s="2" t="s">
        <v>27</v>
      </c>
      <c r="K348" s="2" t="s">
        <v>37</v>
      </c>
      <c r="L348" s="2" t="s">
        <v>92</v>
      </c>
      <c r="M348" s="2" t="s">
        <v>38</v>
      </c>
      <c r="N348" s="2" t="s">
        <v>39</v>
      </c>
      <c r="O348" s="2" t="s">
        <v>40</v>
      </c>
      <c r="P348" s="2" t="s">
        <v>84</v>
      </c>
      <c r="Q348" s="2">
        <v>1</v>
      </c>
      <c r="R348" s="2"/>
      <c r="S348" s="2"/>
      <c r="T348" s="2"/>
      <c r="U348" s="3"/>
      <c r="V348" s="8">
        <v>150000</v>
      </c>
    </row>
    <row r="349" spans="1:22" ht="15" customHeight="1" x14ac:dyDescent="0.25">
      <c r="A349" s="7">
        <v>348</v>
      </c>
      <c r="B349" s="3">
        <v>43656</v>
      </c>
      <c r="C349" s="2" t="s">
        <v>57</v>
      </c>
      <c r="D349" s="2" t="s">
        <v>67</v>
      </c>
      <c r="E349" s="2" t="s">
        <v>68</v>
      </c>
      <c r="F349" s="2" t="s">
        <v>78</v>
      </c>
      <c r="G349" s="3">
        <v>33573</v>
      </c>
      <c r="H349" s="2">
        <v>28</v>
      </c>
      <c r="I349" s="2" t="s">
        <v>26</v>
      </c>
      <c r="J349" s="2" t="s">
        <v>79</v>
      </c>
      <c r="K349" s="2" t="s">
        <v>37</v>
      </c>
      <c r="L349" s="2" t="s">
        <v>45</v>
      </c>
      <c r="M349" s="2" t="s">
        <v>38</v>
      </c>
      <c r="N349" s="2" t="s">
        <v>39</v>
      </c>
      <c r="O349" s="2" t="s">
        <v>46</v>
      </c>
      <c r="P349" s="2" t="s">
        <v>135</v>
      </c>
      <c r="Q349" s="2">
        <v>1</v>
      </c>
      <c r="R349" s="2">
        <v>1</v>
      </c>
      <c r="S349" s="2">
        <v>1</v>
      </c>
      <c r="T349" s="2">
        <v>1</v>
      </c>
      <c r="U349" s="3"/>
      <c r="V349" s="8">
        <v>150000</v>
      </c>
    </row>
    <row r="350" spans="1:22" ht="15" customHeight="1" x14ac:dyDescent="0.25">
      <c r="A350" s="7">
        <v>349</v>
      </c>
      <c r="B350" s="3">
        <v>43657</v>
      </c>
      <c r="C350" s="2" t="s">
        <v>32</v>
      </c>
      <c r="D350" s="2" t="s">
        <v>42</v>
      </c>
      <c r="E350" s="2" t="s">
        <v>43</v>
      </c>
      <c r="F350" s="2" t="s">
        <v>80</v>
      </c>
      <c r="G350" s="3">
        <v>33088</v>
      </c>
      <c r="H350" s="2">
        <v>30</v>
      </c>
      <c r="I350" s="2" t="s">
        <v>26</v>
      </c>
      <c r="J350" s="2" t="s">
        <v>75</v>
      </c>
      <c r="K350" s="2" t="s">
        <v>37</v>
      </c>
      <c r="L350" s="2" t="s">
        <v>45</v>
      </c>
      <c r="M350" s="2" t="s">
        <v>30</v>
      </c>
      <c r="N350" s="2" t="s">
        <v>81</v>
      </c>
      <c r="O350" s="2"/>
      <c r="P350" s="2"/>
      <c r="Q350" s="2">
        <v>1</v>
      </c>
      <c r="R350" s="2"/>
      <c r="S350" s="2"/>
      <c r="T350" s="2"/>
      <c r="U350" s="3"/>
      <c r="V350" s="8"/>
    </row>
    <row r="351" spans="1:22" ht="15" customHeight="1" x14ac:dyDescent="0.25">
      <c r="A351" s="7">
        <v>350</v>
      </c>
      <c r="B351" s="3">
        <v>43658</v>
      </c>
      <c r="C351" s="2" t="s">
        <v>32</v>
      </c>
      <c r="D351" s="2" t="s">
        <v>23</v>
      </c>
      <c r="E351" s="2" t="s">
        <v>24</v>
      </c>
      <c r="F351" s="2" t="s">
        <v>82</v>
      </c>
      <c r="G351" s="3">
        <v>33594</v>
      </c>
      <c r="H351" s="2">
        <v>28</v>
      </c>
      <c r="I351" s="2" t="s">
        <v>26</v>
      </c>
      <c r="J351" s="2" t="s">
        <v>83</v>
      </c>
      <c r="K351" s="2" t="s">
        <v>37</v>
      </c>
      <c r="L351" s="2" t="s">
        <v>45</v>
      </c>
      <c r="M351" s="2" t="s">
        <v>38</v>
      </c>
      <c r="N351" s="2" t="s">
        <v>39</v>
      </c>
      <c r="O351" s="2" t="s">
        <v>40</v>
      </c>
      <c r="P351" s="2" t="s">
        <v>41</v>
      </c>
      <c r="Q351" s="2">
        <v>1</v>
      </c>
      <c r="R351" s="2">
        <v>1</v>
      </c>
      <c r="S351" s="2">
        <v>1</v>
      </c>
      <c r="T351" s="2">
        <v>1</v>
      </c>
      <c r="U351" s="3"/>
      <c r="V351" s="8"/>
    </row>
    <row r="352" spans="1:22" ht="15" customHeight="1" x14ac:dyDescent="0.25">
      <c r="A352" s="7">
        <v>351</v>
      </c>
      <c r="B352" s="3">
        <v>43659</v>
      </c>
      <c r="C352" s="2" t="s">
        <v>57</v>
      </c>
      <c r="D352" s="2" t="s">
        <v>51</v>
      </c>
      <c r="E352" s="2" t="s">
        <v>52</v>
      </c>
      <c r="F352" s="2" t="s">
        <v>117</v>
      </c>
      <c r="G352" s="3">
        <v>34021</v>
      </c>
      <c r="H352" s="2">
        <v>27</v>
      </c>
      <c r="I352" s="2" t="s">
        <v>26</v>
      </c>
      <c r="J352" s="2" t="s">
        <v>27</v>
      </c>
      <c r="K352" s="2" t="s">
        <v>28</v>
      </c>
      <c r="L352" s="2" t="s">
        <v>45</v>
      </c>
      <c r="M352" s="2" t="s">
        <v>30</v>
      </c>
      <c r="N352" s="2" t="s">
        <v>31</v>
      </c>
      <c r="O352" s="2"/>
      <c r="P352" s="2"/>
      <c r="Q352" s="2">
        <v>1</v>
      </c>
      <c r="R352" s="2">
        <v>1</v>
      </c>
      <c r="S352" s="2">
        <v>1</v>
      </c>
      <c r="T352" s="2">
        <v>1</v>
      </c>
      <c r="U352" s="3"/>
      <c r="V352" s="8">
        <v>500000</v>
      </c>
    </row>
    <row r="353" spans="1:22" ht="15" customHeight="1" x14ac:dyDescent="0.25">
      <c r="A353" s="7">
        <v>352</v>
      </c>
      <c r="B353" s="3">
        <v>43661</v>
      </c>
      <c r="C353" s="2" t="s">
        <v>48</v>
      </c>
      <c r="D353" s="2" t="s">
        <v>51</v>
      </c>
      <c r="E353" s="2" t="s">
        <v>52</v>
      </c>
      <c r="F353" s="2" t="s">
        <v>121</v>
      </c>
      <c r="G353" s="3">
        <v>33041</v>
      </c>
      <c r="H353" s="2">
        <v>30</v>
      </c>
      <c r="I353" s="2" t="s">
        <v>26</v>
      </c>
      <c r="J353" s="2" t="s">
        <v>70</v>
      </c>
      <c r="K353" s="2" t="s">
        <v>91</v>
      </c>
      <c r="L353" s="2" t="s">
        <v>45</v>
      </c>
      <c r="M353" s="2" t="s">
        <v>30</v>
      </c>
      <c r="N353" s="2" t="s">
        <v>31</v>
      </c>
      <c r="O353" s="2"/>
      <c r="P353" s="2"/>
      <c r="Q353" s="2">
        <v>1</v>
      </c>
      <c r="R353" s="2">
        <v>1</v>
      </c>
      <c r="S353" s="2"/>
      <c r="T353" s="2"/>
      <c r="U353" s="3"/>
      <c r="V353" s="8"/>
    </row>
    <row r="354" spans="1:22" ht="15" customHeight="1" x14ac:dyDescent="0.25">
      <c r="A354" s="7">
        <v>353</v>
      </c>
      <c r="B354" s="3">
        <v>43661</v>
      </c>
      <c r="C354" s="2" t="s">
        <v>48</v>
      </c>
      <c r="D354" s="2" t="s">
        <v>23</v>
      </c>
      <c r="E354" s="2" t="s">
        <v>24</v>
      </c>
      <c r="F354" s="2" t="s">
        <v>119</v>
      </c>
      <c r="G354" s="3">
        <v>34295</v>
      </c>
      <c r="H354" s="2">
        <v>26</v>
      </c>
      <c r="I354" s="2" t="s">
        <v>26</v>
      </c>
      <c r="J354" s="2" t="s">
        <v>27</v>
      </c>
      <c r="K354" s="2" t="s">
        <v>37</v>
      </c>
      <c r="L354" s="2" t="s">
        <v>45</v>
      </c>
      <c r="M354" s="2" t="s">
        <v>38</v>
      </c>
      <c r="N354" s="2" t="s">
        <v>56</v>
      </c>
      <c r="O354" s="2"/>
      <c r="P354" s="2"/>
      <c r="Q354" s="2">
        <v>1</v>
      </c>
      <c r="R354" s="2"/>
      <c r="S354" s="2"/>
      <c r="T354" s="2"/>
      <c r="U354" s="3"/>
      <c r="V354" s="8">
        <v>150000</v>
      </c>
    </row>
    <row r="355" spans="1:22" ht="15" customHeight="1" x14ac:dyDescent="0.25">
      <c r="A355" s="7">
        <v>354</v>
      </c>
      <c r="B355" s="3">
        <v>43662</v>
      </c>
      <c r="C355" s="2" t="s">
        <v>32</v>
      </c>
      <c r="D355" s="2" t="s">
        <v>71</v>
      </c>
      <c r="E355" s="2" t="s">
        <v>59</v>
      </c>
      <c r="F355" s="2" t="s">
        <v>101</v>
      </c>
      <c r="G355" s="3">
        <v>33016</v>
      </c>
      <c r="H355" s="2">
        <v>30</v>
      </c>
      <c r="I355" s="2" t="s">
        <v>26</v>
      </c>
      <c r="J355" s="2" t="s">
        <v>93</v>
      </c>
      <c r="K355" s="2" t="s">
        <v>37</v>
      </c>
      <c r="L355" s="2" t="s">
        <v>45</v>
      </c>
      <c r="M355" s="2" t="s">
        <v>38</v>
      </c>
      <c r="N355" s="2" t="s">
        <v>63</v>
      </c>
      <c r="O355" s="2" t="s">
        <v>64</v>
      </c>
      <c r="P355" s="2"/>
      <c r="Q355" s="2">
        <v>1</v>
      </c>
      <c r="R355" s="2">
        <v>1</v>
      </c>
      <c r="S355" s="2">
        <v>1</v>
      </c>
      <c r="T355" s="2">
        <v>1</v>
      </c>
      <c r="U355" s="3"/>
      <c r="V355" s="8">
        <v>100000</v>
      </c>
    </row>
    <row r="356" spans="1:22" ht="15" customHeight="1" x14ac:dyDescent="0.25">
      <c r="A356" s="7">
        <v>355</v>
      </c>
      <c r="B356" s="3">
        <v>43662</v>
      </c>
      <c r="C356" s="2" t="s">
        <v>48</v>
      </c>
      <c r="D356" s="2" t="s">
        <v>23</v>
      </c>
      <c r="E356" s="2" t="s">
        <v>85</v>
      </c>
      <c r="F356" s="2" t="s">
        <v>120</v>
      </c>
      <c r="G356" s="3">
        <v>34118</v>
      </c>
      <c r="H356" s="2">
        <v>27</v>
      </c>
      <c r="I356" s="2" t="s">
        <v>26</v>
      </c>
      <c r="J356" s="2" t="s">
        <v>79</v>
      </c>
      <c r="K356" s="2" t="s">
        <v>28</v>
      </c>
      <c r="L356" s="2" t="s">
        <v>45</v>
      </c>
      <c r="M356" s="2" t="s">
        <v>38</v>
      </c>
      <c r="N356" s="2" t="s">
        <v>39</v>
      </c>
      <c r="O356" s="2" t="s">
        <v>46</v>
      </c>
      <c r="P356" s="2" t="s">
        <v>84</v>
      </c>
      <c r="Q356" s="2">
        <v>1</v>
      </c>
      <c r="R356" s="2"/>
      <c r="S356" s="2"/>
      <c r="T356" s="2"/>
      <c r="U356" s="3"/>
      <c r="V356" s="8">
        <v>150000</v>
      </c>
    </row>
    <row r="357" spans="1:22" ht="15" customHeight="1" x14ac:dyDescent="0.25">
      <c r="A357" s="7">
        <v>356</v>
      </c>
      <c r="B357" s="3">
        <v>43663</v>
      </c>
      <c r="C357" s="2" t="s">
        <v>57</v>
      </c>
      <c r="D357" s="2" t="s">
        <v>51</v>
      </c>
      <c r="E357" s="2" t="s">
        <v>59</v>
      </c>
      <c r="F357" s="2" t="s">
        <v>90</v>
      </c>
      <c r="G357" s="3">
        <v>33302</v>
      </c>
      <c r="H357" s="2">
        <v>29</v>
      </c>
      <c r="I357" s="2" t="s">
        <v>87</v>
      </c>
      <c r="J357" s="2" t="s">
        <v>27</v>
      </c>
      <c r="K357" s="2" t="s">
        <v>91</v>
      </c>
      <c r="L357" s="2" t="s">
        <v>92</v>
      </c>
      <c r="M357" s="2" t="s">
        <v>38</v>
      </c>
      <c r="N357" s="2" t="s">
        <v>63</v>
      </c>
      <c r="O357" s="2" t="s">
        <v>64</v>
      </c>
      <c r="P357" s="2"/>
      <c r="Q357" s="2">
        <v>1</v>
      </c>
      <c r="R357" s="2">
        <v>1</v>
      </c>
      <c r="S357" s="2"/>
      <c r="T357" s="2"/>
      <c r="U357" s="3"/>
      <c r="V357" s="8">
        <v>100000</v>
      </c>
    </row>
    <row r="358" spans="1:22" ht="15" customHeight="1" x14ac:dyDescent="0.25">
      <c r="A358" s="7">
        <v>357</v>
      </c>
      <c r="B358" s="3">
        <v>43663</v>
      </c>
      <c r="C358" s="2" t="s">
        <v>48</v>
      </c>
      <c r="D358" s="2" t="s">
        <v>23</v>
      </c>
      <c r="E358" s="2" t="s">
        <v>85</v>
      </c>
      <c r="F358" s="2" t="s">
        <v>86</v>
      </c>
      <c r="G358" s="3">
        <v>34384</v>
      </c>
      <c r="H358" s="2">
        <v>26</v>
      </c>
      <c r="I358" s="2" t="s">
        <v>87</v>
      </c>
      <c r="J358" s="2" t="s">
        <v>88</v>
      </c>
      <c r="K358" s="2" t="s">
        <v>37</v>
      </c>
      <c r="L358" s="2" t="s">
        <v>55</v>
      </c>
      <c r="M358" s="2" t="s">
        <v>38</v>
      </c>
      <c r="N358" s="2" t="s">
        <v>39</v>
      </c>
      <c r="O358" s="2" t="s">
        <v>40</v>
      </c>
      <c r="P358" s="2" t="s">
        <v>41</v>
      </c>
      <c r="Q358" s="2">
        <v>1</v>
      </c>
      <c r="R358" s="2">
        <v>1</v>
      </c>
      <c r="S358" s="2"/>
      <c r="T358" s="2"/>
      <c r="U358" s="3"/>
      <c r="V358" s="8"/>
    </row>
    <row r="359" spans="1:22" ht="15" customHeight="1" x14ac:dyDescent="0.25">
      <c r="A359" s="7">
        <v>358</v>
      </c>
      <c r="B359" s="3">
        <v>43663</v>
      </c>
      <c r="C359" s="2" t="s">
        <v>66</v>
      </c>
      <c r="D359" s="2" t="s">
        <v>67</v>
      </c>
      <c r="E359" s="2" t="s">
        <v>68</v>
      </c>
      <c r="F359" s="2" t="s">
        <v>94</v>
      </c>
      <c r="G359" s="3">
        <v>33667</v>
      </c>
      <c r="H359" s="2">
        <v>28</v>
      </c>
      <c r="I359" s="2" t="s">
        <v>26</v>
      </c>
      <c r="J359" s="2" t="s">
        <v>27</v>
      </c>
      <c r="K359" s="2" t="s">
        <v>37</v>
      </c>
      <c r="L359" s="2" t="s">
        <v>92</v>
      </c>
      <c r="M359" s="2" t="s">
        <v>38</v>
      </c>
      <c r="N359" s="2" t="s">
        <v>39</v>
      </c>
      <c r="O359" s="2" t="s">
        <v>46</v>
      </c>
      <c r="P359" s="2" t="s">
        <v>95</v>
      </c>
      <c r="Q359" s="2">
        <v>1</v>
      </c>
      <c r="R359" s="2">
        <v>1</v>
      </c>
      <c r="S359" s="2"/>
      <c r="T359" s="2"/>
      <c r="U359" s="3"/>
      <c r="V359" s="8">
        <v>150000</v>
      </c>
    </row>
    <row r="360" spans="1:22" ht="15" customHeight="1" x14ac:dyDescent="0.25">
      <c r="A360" s="7">
        <v>359</v>
      </c>
      <c r="B360" s="3">
        <v>43664</v>
      </c>
      <c r="C360" s="2" t="s">
        <v>48</v>
      </c>
      <c r="D360" s="2" t="s">
        <v>23</v>
      </c>
      <c r="E360" s="2" t="s">
        <v>85</v>
      </c>
      <c r="F360" s="2" t="s">
        <v>96</v>
      </c>
      <c r="G360" s="3">
        <v>35008</v>
      </c>
      <c r="H360" s="2">
        <v>24</v>
      </c>
      <c r="I360" s="2" t="s">
        <v>26</v>
      </c>
      <c r="J360" s="2" t="s">
        <v>97</v>
      </c>
      <c r="K360" s="2" t="s">
        <v>37</v>
      </c>
      <c r="L360" s="2" t="s">
        <v>45</v>
      </c>
      <c r="M360" s="2" t="s">
        <v>38</v>
      </c>
      <c r="N360" s="2" t="s">
        <v>89</v>
      </c>
      <c r="O360" s="2"/>
      <c r="P360" s="2"/>
      <c r="Q360" s="2">
        <v>1</v>
      </c>
      <c r="R360" s="2">
        <v>1</v>
      </c>
      <c r="S360" s="2"/>
      <c r="T360" s="2"/>
      <c r="U360" s="3"/>
      <c r="V360" s="8"/>
    </row>
    <row r="361" spans="1:22" ht="15" customHeight="1" x14ac:dyDescent="0.25">
      <c r="A361" s="7">
        <v>360</v>
      </c>
      <c r="B361" s="3">
        <v>43664</v>
      </c>
      <c r="C361" s="2" t="s">
        <v>48</v>
      </c>
      <c r="D361" s="2" t="s">
        <v>23</v>
      </c>
      <c r="E361" s="2" t="s">
        <v>24</v>
      </c>
      <c r="F361" s="2" t="s">
        <v>117</v>
      </c>
      <c r="G361" s="3">
        <v>33144</v>
      </c>
      <c r="H361" s="2">
        <v>29</v>
      </c>
      <c r="I361" s="2" t="s">
        <v>87</v>
      </c>
      <c r="J361" s="2" t="s">
        <v>27</v>
      </c>
      <c r="K361" s="2" t="s">
        <v>37</v>
      </c>
      <c r="L361" s="2" t="s">
        <v>92</v>
      </c>
      <c r="M361" s="2" t="s">
        <v>38</v>
      </c>
      <c r="N361" s="2" t="s">
        <v>56</v>
      </c>
      <c r="O361" s="2"/>
      <c r="P361" s="2"/>
      <c r="Q361" s="2">
        <v>1</v>
      </c>
      <c r="R361" s="2"/>
      <c r="S361" s="2"/>
      <c r="T361" s="2"/>
      <c r="U361" s="3"/>
      <c r="V361" s="8"/>
    </row>
    <row r="362" spans="1:22" ht="15" customHeight="1" x14ac:dyDescent="0.25">
      <c r="A362" s="7">
        <v>361</v>
      </c>
      <c r="B362" s="3">
        <v>43664</v>
      </c>
      <c r="C362" s="2" t="s">
        <v>48</v>
      </c>
      <c r="D362" s="2" t="s">
        <v>23</v>
      </c>
      <c r="E362" s="2" t="s">
        <v>85</v>
      </c>
      <c r="F362" s="2" t="s">
        <v>53</v>
      </c>
      <c r="G362" s="3">
        <v>32589</v>
      </c>
      <c r="H362" s="2">
        <v>31</v>
      </c>
      <c r="I362" s="2" t="s">
        <v>26</v>
      </c>
      <c r="J362" s="2" t="s">
        <v>50</v>
      </c>
      <c r="K362" s="2" t="s">
        <v>28</v>
      </c>
      <c r="L362" s="2" t="s">
        <v>45</v>
      </c>
      <c r="M362" s="2" t="s">
        <v>38</v>
      </c>
      <c r="N362" s="2" t="s">
        <v>39</v>
      </c>
      <c r="O362" s="2" t="s">
        <v>40</v>
      </c>
      <c r="P362" s="2" t="s">
        <v>41</v>
      </c>
      <c r="Q362" s="2">
        <v>1</v>
      </c>
      <c r="R362" s="2">
        <v>1</v>
      </c>
      <c r="S362" s="2">
        <v>1</v>
      </c>
      <c r="T362" s="2"/>
      <c r="U362" s="3"/>
      <c r="V362" s="8"/>
    </row>
    <row r="363" spans="1:22" ht="15" customHeight="1" x14ac:dyDescent="0.25">
      <c r="A363" s="7">
        <v>362</v>
      </c>
      <c r="B363" s="3">
        <v>43664</v>
      </c>
      <c r="C363" s="2" t="s">
        <v>22</v>
      </c>
      <c r="D363" s="2" t="s">
        <v>23</v>
      </c>
      <c r="E363" s="2" t="s">
        <v>24</v>
      </c>
      <c r="F363" s="2" t="s">
        <v>98</v>
      </c>
      <c r="G363" s="3">
        <v>34231</v>
      </c>
      <c r="H363" s="2">
        <v>26</v>
      </c>
      <c r="I363" s="2" t="s">
        <v>26</v>
      </c>
      <c r="J363" s="2" t="s">
        <v>88</v>
      </c>
      <c r="K363" s="2" t="s">
        <v>37</v>
      </c>
      <c r="L363" s="2" t="s">
        <v>45</v>
      </c>
      <c r="M363" s="2" t="s">
        <v>38</v>
      </c>
      <c r="N363" s="2" t="s">
        <v>39</v>
      </c>
      <c r="O363" s="2" t="s">
        <v>46</v>
      </c>
      <c r="P363" s="2" t="s">
        <v>135</v>
      </c>
      <c r="Q363" s="2">
        <v>1</v>
      </c>
      <c r="R363" s="2"/>
      <c r="S363" s="2"/>
      <c r="T363" s="2"/>
      <c r="U363" s="3"/>
      <c r="V363" s="8">
        <v>150000</v>
      </c>
    </row>
    <row r="364" spans="1:22" ht="15" customHeight="1" x14ac:dyDescent="0.25">
      <c r="A364" s="7">
        <v>363</v>
      </c>
      <c r="B364" s="3">
        <v>43665</v>
      </c>
      <c r="C364" s="2" t="s">
        <v>32</v>
      </c>
      <c r="D364" s="2" t="s">
        <v>33</v>
      </c>
      <c r="E364" s="2" t="s">
        <v>34</v>
      </c>
      <c r="F364" s="2" t="s">
        <v>99</v>
      </c>
      <c r="G364" s="3">
        <v>33577</v>
      </c>
      <c r="H364" s="2">
        <v>28</v>
      </c>
      <c r="I364" s="2" t="s">
        <v>26</v>
      </c>
      <c r="J364" s="2" t="s">
        <v>27</v>
      </c>
      <c r="K364" s="2" t="s">
        <v>37</v>
      </c>
      <c r="L364" s="2" t="s">
        <v>92</v>
      </c>
      <c r="M364" s="2" t="s">
        <v>38</v>
      </c>
      <c r="N364" s="2" t="s">
        <v>39</v>
      </c>
      <c r="O364" s="2" t="s">
        <v>40</v>
      </c>
      <c r="P364" s="2" t="s">
        <v>41</v>
      </c>
      <c r="Q364" s="2">
        <v>1</v>
      </c>
      <c r="R364" s="2">
        <v>1</v>
      </c>
      <c r="S364" s="2"/>
      <c r="T364" s="2"/>
      <c r="U364" s="3"/>
      <c r="V364" s="8"/>
    </row>
    <row r="365" spans="1:22" ht="15" customHeight="1" x14ac:dyDescent="0.25">
      <c r="A365" s="7">
        <v>364</v>
      </c>
      <c r="B365" s="3">
        <v>43666</v>
      </c>
      <c r="C365" s="2" t="s">
        <v>57</v>
      </c>
      <c r="D365" s="2" t="s">
        <v>23</v>
      </c>
      <c r="E365" s="2" t="s">
        <v>24</v>
      </c>
      <c r="F365" s="2" t="s">
        <v>60</v>
      </c>
      <c r="G365" s="3">
        <v>33409</v>
      </c>
      <c r="H365" s="2">
        <v>29</v>
      </c>
      <c r="I365" s="2" t="s">
        <v>26</v>
      </c>
      <c r="J365" s="2" t="s">
        <v>27</v>
      </c>
      <c r="K365" s="2" t="s">
        <v>37</v>
      </c>
      <c r="L365" s="2" t="s">
        <v>45</v>
      </c>
      <c r="M365" s="2" t="s">
        <v>30</v>
      </c>
      <c r="N365" s="2" t="s">
        <v>31</v>
      </c>
      <c r="O365" s="2"/>
      <c r="P365" s="2"/>
      <c r="Q365" s="2">
        <v>1</v>
      </c>
      <c r="R365" s="2"/>
      <c r="S365" s="2"/>
      <c r="T365" s="2"/>
      <c r="U365" s="3"/>
      <c r="V365" s="8"/>
    </row>
    <row r="366" spans="1:22" ht="15" customHeight="1" x14ac:dyDescent="0.25">
      <c r="A366" s="7">
        <v>365</v>
      </c>
      <c r="B366" s="3">
        <v>43666</v>
      </c>
      <c r="C366" s="2" t="s">
        <v>32</v>
      </c>
      <c r="D366" s="2" t="s">
        <v>42</v>
      </c>
      <c r="E366" s="2" t="s">
        <v>43</v>
      </c>
      <c r="F366" s="2" t="s">
        <v>104</v>
      </c>
      <c r="G366" s="3">
        <v>34542</v>
      </c>
      <c r="H366" s="2">
        <v>26</v>
      </c>
      <c r="I366" s="2" t="s">
        <v>26</v>
      </c>
      <c r="J366" s="2" t="s">
        <v>27</v>
      </c>
      <c r="K366" s="2" t="s">
        <v>91</v>
      </c>
      <c r="L366" s="2" t="s">
        <v>55</v>
      </c>
      <c r="M366" s="2" t="s">
        <v>38</v>
      </c>
      <c r="N366" s="2" t="s">
        <v>56</v>
      </c>
      <c r="O366" s="2"/>
      <c r="P366" s="2"/>
      <c r="Q366" s="2">
        <v>1</v>
      </c>
      <c r="R366" s="2">
        <v>1</v>
      </c>
      <c r="S366" s="2"/>
      <c r="T366" s="2"/>
      <c r="U366" s="3"/>
      <c r="V366" s="8">
        <v>122000</v>
      </c>
    </row>
    <row r="367" spans="1:22" ht="15" customHeight="1" x14ac:dyDescent="0.25">
      <c r="A367" s="7">
        <v>366</v>
      </c>
      <c r="B367" s="3">
        <v>43666</v>
      </c>
      <c r="C367" s="2" t="s">
        <v>57</v>
      </c>
      <c r="D367" s="2" t="s">
        <v>23</v>
      </c>
      <c r="E367" s="2" t="s">
        <v>59</v>
      </c>
      <c r="F367" s="2" t="s">
        <v>105</v>
      </c>
      <c r="G367" s="3">
        <v>33144</v>
      </c>
      <c r="H367" s="2">
        <v>29</v>
      </c>
      <c r="I367" s="2" t="s">
        <v>26</v>
      </c>
      <c r="J367" s="2" t="s">
        <v>27</v>
      </c>
      <c r="K367" s="2" t="s">
        <v>37</v>
      </c>
      <c r="L367" s="2" t="s">
        <v>55</v>
      </c>
      <c r="M367" s="2" t="s">
        <v>30</v>
      </c>
      <c r="N367" s="2" t="s">
        <v>31</v>
      </c>
      <c r="O367" s="2"/>
      <c r="P367" s="2"/>
      <c r="Q367" s="2">
        <v>1</v>
      </c>
      <c r="R367" s="2">
        <v>1</v>
      </c>
      <c r="S367" s="2">
        <v>1</v>
      </c>
      <c r="T367" s="2">
        <v>1</v>
      </c>
      <c r="U367" s="3"/>
      <c r="V367" s="8">
        <v>500000</v>
      </c>
    </row>
    <row r="368" spans="1:22" ht="15" customHeight="1" x14ac:dyDescent="0.25">
      <c r="A368" s="7">
        <v>367</v>
      </c>
      <c r="B368" s="3">
        <v>43666</v>
      </c>
      <c r="C368" s="2" t="s">
        <v>32</v>
      </c>
      <c r="D368" s="2" t="s">
        <v>42</v>
      </c>
      <c r="E368" s="2" t="s">
        <v>43</v>
      </c>
      <c r="F368" s="2" t="s">
        <v>104</v>
      </c>
      <c r="G368" s="3">
        <v>34542</v>
      </c>
      <c r="H368" s="2">
        <v>26</v>
      </c>
      <c r="I368" s="2" t="s">
        <v>26</v>
      </c>
      <c r="J368" s="2" t="s">
        <v>27</v>
      </c>
      <c r="K368" s="2" t="s">
        <v>91</v>
      </c>
      <c r="L368" s="2" t="s">
        <v>55</v>
      </c>
      <c r="M368" s="2" t="s">
        <v>38</v>
      </c>
      <c r="N368" s="2" t="s">
        <v>56</v>
      </c>
      <c r="O368" s="2"/>
      <c r="P368" s="2"/>
      <c r="Q368" s="2">
        <v>1</v>
      </c>
      <c r="R368" s="2">
        <v>1</v>
      </c>
      <c r="S368" s="2"/>
      <c r="T368" s="2"/>
      <c r="U368" s="3"/>
      <c r="V368" s="8">
        <v>122000</v>
      </c>
    </row>
    <row r="369" spans="1:22" ht="15" customHeight="1" x14ac:dyDescent="0.25">
      <c r="A369" s="7">
        <v>368</v>
      </c>
      <c r="B369" s="3">
        <v>43666</v>
      </c>
      <c r="C369" s="2" t="s">
        <v>32</v>
      </c>
      <c r="D369" s="2" t="s">
        <v>42</v>
      </c>
      <c r="E369" s="2" t="s">
        <v>43</v>
      </c>
      <c r="F369" s="2" t="s">
        <v>54</v>
      </c>
      <c r="G369" s="3">
        <v>32996</v>
      </c>
      <c r="H369" s="2">
        <v>30</v>
      </c>
      <c r="I369" s="2" t="s">
        <v>26</v>
      </c>
      <c r="J369" s="2" t="s">
        <v>79</v>
      </c>
      <c r="K369" s="2" t="s">
        <v>91</v>
      </c>
      <c r="L369" s="2" t="s">
        <v>45</v>
      </c>
      <c r="M369" s="2" t="s">
        <v>30</v>
      </c>
      <c r="N369" s="2" t="s">
        <v>31</v>
      </c>
      <c r="O369" s="2"/>
      <c r="P369" s="2"/>
      <c r="Q369" s="2">
        <v>1</v>
      </c>
      <c r="R369" s="2">
        <v>1</v>
      </c>
      <c r="S369" s="2">
        <v>1</v>
      </c>
      <c r="T369" s="2">
        <v>1</v>
      </c>
      <c r="U369" s="3"/>
      <c r="V369" s="8">
        <v>500000</v>
      </c>
    </row>
    <row r="370" spans="1:22" ht="15" customHeight="1" x14ac:dyDescent="0.25">
      <c r="A370" s="7">
        <v>369</v>
      </c>
      <c r="B370" s="3">
        <v>43666</v>
      </c>
      <c r="C370" s="2" t="s">
        <v>57</v>
      </c>
      <c r="D370" s="2" t="s">
        <v>23</v>
      </c>
      <c r="E370" s="2" t="s">
        <v>24</v>
      </c>
      <c r="F370" s="2" t="s">
        <v>101</v>
      </c>
      <c r="G370" s="3">
        <v>33840</v>
      </c>
      <c r="H370" s="2">
        <v>28</v>
      </c>
      <c r="I370" s="2" t="s">
        <v>87</v>
      </c>
      <c r="J370" s="2" t="s">
        <v>102</v>
      </c>
      <c r="K370" s="2" t="s">
        <v>37</v>
      </c>
      <c r="L370" s="2" t="s">
        <v>103</v>
      </c>
      <c r="M370" s="2" t="s">
        <v>38</v>
      </c>
      <c r="N370" s="2" t="s">
        <v>39</v>
      </c>
      <c r="O370" s="2" t="s">
        <v>46</v>
      </c>
      <c r="P370" s="2" t="s">
        <v>47</v>
      </c>
      <c r="Q370" s="2">
        <v>1</v>
      </c>
      <c r="R370" s="2">
        <v>1</v>
      </c>
      <c r="S370" s="2"/>
      <c r="T370" s="2"/>
      <c r="U370" s="3"/>
      <c r="V370" s="8">
        <v>150000</v>
      </c>
    </row>
    <row r="371" spans="1:22" ht="15" customHeight="1" x14ac:dyDescent="0.25">
      <c r="A371" s="7">
        <v>370</v>
      </c>
      <c r="B371" s="3">
        <v>43667</v>
      </c>
      <c r="C371" s="2" t="s">
        <v>57</v>
      </c>
      <c r="D371" s="2" t="s">
        <v>67</v>
      </c>
      <c r="E371" s="2" t="s">
        <v>68</v>
      </c>
      <c r="F371" s="2" t="s">
        <v>69</v>
      </c>
      <c r="G371" s="3">
        <v>32996</v>
      </c>
      <c r="H371" s="2">
        <v>30</v>
      </c>
      <c r="I371" s="2" t="s">
        <v>26</v>
      </c>
      <c r="J371" s="2" t="s">
        <v>110</v>
      </c>
      <c r="K371" s="2" t="s">
        <v>37</v>
      </c>
      <c r="L371" s="2" t="s">
        <v>45</v>
      </c>
      <c r="M371" s="2" t="s">
        <v>30</v>
      </c>
      <c r="N371" s="2" t="s">
        <v>31</v>
      </c>
      <c r="O371" s="2"/>
      <c r="P371" s="2"/>
      <c r="Q371" s="2">
        <v>1</v>
      </c>
      <c r="R371" s="2">
        <v>1</v>
      </c>
      <c r="S371" s="2"/>
      <c r="T371" s="2"/>
      <c r="U371" s="3"/>
      <c r="V371" s="8"/>
    </row>
    <row r="372" spans="1:22" ht="15" customHeight="1" x14ac:dyDescent="0.25">
      <c r="A372" s="7">
        <v>371</v>
      </c>
      <c r="B372" s="3">
        <v>43667</v>
      </c>
      <c r="C372" s="2" t="s">
        <v>48</v>
      </c>
      <c r="D372" s="2" t="s">
        <v>51</v>
      </c>
      <c r="E372" s="2" t="s">
        <v>52</v>
      </c>
      <c r="F372" s="2" t="s">
        <v>65</v>
      </c>
      <c r="G372" s="3">
        <v>33302</v>
      </c>
      <c r="H372" s="2">
        <v>29</v>
      </c>
      <c r="I372" s="2" t="s">
        <v>26</v>
      </c>
      <c r="J372" s="2" t="s">
        <v>83</v>
      </c>
      <c r="K372" s="2" t="s">
        <v>91</v>
      </c>
      <c r="L372" s="2" t="s">
        <v>45</v>
      </c>
      <c r="M372" s="2" t="s">
        <v>30</v>
      </c>
      <c r="N372" s="2" t="s">
        <v>31</v>
      </c>
      <c r="O372" s="2"/>
      <c r="P372" s="2"/>
      <c r="Q372" s="2">
        <v>1</v>
      </c>
      <c r="R372" s="2">
        <v>1</v>
      </c>
      <c r="S372" s="2"/>
      <c r="T372" s="2"/>
      <c r="U372" s="3"/>
      <c r="V372" s="8"/>
    </row>
    <row r="373" spans="1:22" ht="15" customHeight="1" x14ac:dyDescent="0.25">
      <c r="A373" s="7">
        <v>372</v>
      </c>
      <c r="B373" s="3">
        <v>43667</v>
      </c>
      <c r="C373" s="2" t="s">
        <v>57</v>
      </c>
      <c r="D373" s="2" t="s">
        <v>67</v>
      </c>
      <c r="E373" s="2" t="s">
        <v>68</v>
      </c>
      <c r="F373" s="2" t="s">
        <v>69</v>
      </c>
      <c r="G373" s="3">
        <v>32996</v>
      </c>
      <c r="H373" s="2">
        <v>30</v>
      </c>
      <c r="I373" s="2" t="s">
        <v>26</v>
      </c>
      <c r="J373" s="2" t="s">
        <v>110</v>
      </c>
      <c r="K373" s="2" t="s">
        <v>37</v>
      </c>
      <c r="L373" s="2" t="s">
        <v>45</v>
      </c>
      <c r="M373" s="2" t="s">
        <v>30</v>
      </c>
      <c r="N373" s="2" t="s">
        <v>31</v>
      </c>
      <c r="O373" s="2"/>
      <c r="P373" s="2"/>
      <c r="Q373" s="2">
        <v>1</v>
      </c>
      <c r="R373" s="2">
        <v>1</v>
      </c>
      <c r="S373" s="2"/>
      <c r="T373" s="2"/>
      <c r="U373" s="3"/>
      <c r="V373" s="8"/>
    </row>
    <row r="374" spans="1:22" ht="15" customHeight="1" x14ac:dyDescent="0.25">
      <c r="A374" s="7">
        <v>373</v>
      </c>
      <c r="B374" s="3">
        <v>43667</v>
      </c>
      <c r="C374" s="2" t="s">
        <v>48</v>
      </c>
      <c r="D374" s="2" t="s">
        <v>51</v>
      </c>
      <c r="E374" s="2" t="s">
        <v>52</v>
      </c>
      <c r="F374" s="2" t="s">
        <v>65</v>
      </c>
      <c r="G374" s="3">
        <v>33302</v>
      </c>
      <c r="H374" s="2">
        <v>29</v>
      </c>
      <c r="I374" s="2" t="s">
        <v>26</v>
      </c>
      <c r="J374" s="2" t="s">
        <v>83</v>
      </c>
      <c r="K374" s="2" t="s">
        <v>91</v>
      </c>
      <c r="L374" s="2" t="s">
        <v>45</v>
      </c>
      <c r="M374" s="2" t="s">
        <v>30</v>
      </c>
      <c r="N374" s="2" t="s">
        <v>31</v>
      </c>
      <c r="O374" s="2"/>
      <c r="P374" s="2"/>
      <c r="Q374" s="2">
        <v>1</v>
      </c>
      <c r="R374" s="2">
        <v>1</v>
      </c>
      <c r="S374" s="2"/>
      <c r="T374" s="2"/>
      <c r="U374" s="3"/>
      <c r="V374" s="8"/>
    </row>
    <row r="375" spans="1:22" ht="15" customHeight="1" x14ac:dyDescent="0.25">
      <c r="A375" s="7">
        <v>374</v>
      </c>
      <c r="B375" s="3">
        <v>43667</v>
      </c>
      <c r="C375" s="2" t="s">
        <v>32</v>
      </c>
      <c r="D375" s="2" t="s">
        <v>71</v>
      </c>
      <c r="E375" s="2" t="s">
        <v>59</v>
      </c>
      <c r="F375" s="2" t="s">
        <v>107</v>
      </c>
      <c r="G375" s="3">
        <v>33429</v>
      </c>
      <c r="H375" s="2">
        <v>29</v>
      </c>
      <c r="I375" s="2" t="s">
        <v>87</v>
      </c>
      <c r="J375" s="2" t="s">
        <v>108</v>
      </c>
      <c r="K375" s="2" t="s">
        <v>37</v>
      </c>
      <c r="L375" s="2" t="s">
        <v>45</v>
      </c>
      <c r="M375" s="2" t="s">
        <v>30</v>
      </c>
      <c r="N375" s="2" t="s">
        <v>31</v>
      </c>
      <c r="O375" s="2"/>
      <c r="P375" s="2"/>
      <c r="Q375" s="2">
        <v>1</v>
      </c>
      <c r="R375" s="2"/>
      <c r="S375" s="2"/>
      <c r="T375" s="2"/>
      <c r="U375" s="3"/>
      <c r="V375" s="8">
        <v>150000</v>
      </c>
    </row>
    <row r="376" spans="1:22" ht="15" customHeight="1" x14ac:dyDescent="0.25">
      <c r="A376" s="7">
        <v>375</v>
      </c>
      <c r="B376" s="3">
        <v>43667</v>
      </c>
      <c r="C376" s="2" t="s">
        <v>48</v>
      </c>
      <c r="D376" s="2" t="s">
        <v>23</v>
      </c>
      <c r="E376" s="2" t="s">
        <v>24</v>
      </c>
      <c r="F376" s="2" t="s">
        <v>113</v>
      </c>
      <c r="G376" s="3">
        <v>33302</v>
      </c>
      <c r="H376" s="2">
        <v>29</v>
      </c>
      <c r="I376" s="2" t="s">
        <v>26</v>
      </c>
      <c r="J376" s="2" t="s">
        <v>75</v>
      </c>
      <c r="K376" s="2" t="s">
        <v>91</v>
      </c>
      <c r="L376" s="2" t="s">
        <v>114</v>
      </c>
      <c r="M376" s="2" t="s">
        <v>38</v>
      </c>
      <c r="N376" s="2" t="s">
        <v>39</v>
      </c>
      <c r="O376" s="2" t="s">
        <v>46</v>
      </c>
      <c r="P376" s="2" t="s">
        <v>84</v>
      </c>
      <c r="Q376" s="2">
        <v>1</v>
      </c>
      <c r="R376" s="2">
        <v>1</v>
      </c>
      <c r="S376" s="2">
        <v>1</v>
      </c>
      <c r="T376" s="2">
        <v>1</v>
      </c>
      <c r="U376" s="3"/>
      <c r="V376" s="8">
        <v>200000</v>
      </c>
    </row>
    <row r="377" spans="1:22" ht="15" customHeight="1" x14ac:dyDescent="0.25">
      <c r="A377" s="7">
        <v>376</v>
      </c>
      <c r="B377" s="3">
        <v>43667</v>
      </c>
      <c r="C377" s="2" t="s">
        <v>57</v>
      </c>
      <c r="D377" s="2" t="s">
        <v>67</v>
      </c>
      <c r="E377" s="2" t="s">
        <v>68</v>
      </c>
      <c r="F377" s="2" t="s">
        <v>106</v>
      </c>
      <c r="G377" s="3">
        <v>33868</v>
      </c>
      <c r="H377" s="2">
        <v>27</v>
      </c>
      <c r="I377" s="2" t="s">
        <v>26</v>
      </c>
      <c r="J377" s="2" t="s">
        <v>79</v>
      </c>
      <c r="K377" s="2" t="s">
        <v>91</v>
      </c>
      <c r="L377" s="2" t="s">
        <v>45</v>
      </c>
      <c r="M377" s="2" t="s">
        <v>38</v>
      </c>
      <c r="N377" s="2" t="s">
        <v>39</v>
      </c>
      <c r="O377" s="2" t="s">
        <v>40</v>
      </c>
      <c r="P377" s="2" t="s">
        <v>77</v>
      </c>
      <c r="Q377" s="2">
        <v>1</v>
      </c>
      <c r="R377" s="2"/>
      <c r="S377" s="2"/>
      <c r="T377" s="2"/>
      <c r="U377" s="3"/>
      <c r="V377" s="8"/>
    </row>
    <row r="378" spans="1:22" ht="15" customHeight="1" x14ac:dyDescent="0.25">
      <c r="A378" s="7">
        <v>377</v>
      </c>
      <c r="B378" s="3">
        <v>43667</v>
      </c>
      <c r="C378" s="2" t="s">
        <v>66</v>
      </c>
      <c r="D378" s="2" t="s">
        <v>67</v>
      </c>
      <c r="E378" s="2" t="s">
        <v>68</v>
      </c>
      <c r="F378" s="2" t="s">
        <v>111</v>
      </c>
      <c r="G378" s="3">
        <v>32919</v>
      </c>
      <c r="H378" s="2">
        <v>30</v>
      </c>
      <c r="I378" s="2" t="s">
        <v>87</v>
      </c>
      <c r="J378" s="2" t="s">
        <v>50</v>
      </c>
      <c r="K378" s="2" t="s">
        <v>91</v>
      </c>
      <c r="L378" s="2" t="s">
        <v>45</v>
      </c>
      <c r="M378" s="2" t="s">
        <v>38</v>
      </c>
      <c r="N378" s="2" t="s">
        <v>39</v>
      </c>
      <c r="O378" s="2" t="s">
        <v>40</v>
      </c>
      <c r="P378" s="2" t="s">
        <v>112</v>
      </c>
      <c r="Q378" s="2">
        <v>1</v>
      </c>
      <c r="R378" s="2">
        <v>1</v>
      </c>
      <c r="S378" s="2"/>
      <c r="T378" s="2"/>
      <c r="U378" s="3"/>
      <c r="V378" s="8">
        <v>120000</v>
      </c>
    </row>
    <row r="379" spans="1:22" ht="15" customHeight="1" x14ac:dyDescent="0.25">
      <c r="A379" s="7">
        <v>378</v>
      </c>
      <c r="B379" s="3">
        <v>43667</v>
      </c>
      <c r="C379" s="2" t="s">
        <v>57</v>
      </c>
      <c r="D379" s="2" t="s">
        <v>67</v>
      </c>
      <c r="E379" s="2" t="s">
        <v>68</v>
      </c>
      <c r="F379" s="2" t="s">
        <v>106</v>
      </c>
      <c r="G379" s="3">
        <v>33868</v>
      </c>
      <c r="H379" s="2">
        <v>27</v>
      </c>
      <c r="I379" s="2" t="s">
        <v>26</v>
      </c>
      <c r="J379" s="2" t="s">
        <v>79</v>
      </c>
      <c r="K379" s="2" t="s">
        <v>91</v>
      </c>
      <c r="L379" s="2" t="s">
        <v>45</v>
      </c>
      <c r="M379" s="2" t="s">
        <v>38</v>
      </c>
      <c r="N379" s="2" t="s">
        <v>39</v>
      </c>
      <c r="O379" s="2" t="s">
        <v>40</v>
      </c>
      <c r="P379" s="2" t="s">
        <v>77</v>
      </c>
      <c r="Q379" s="2">
        <v>1</v>
      </c>
      <c r="R379" s="2"/>
      <c r="S379" s="2"/>
      <c r="T379" s="2"/>
      <c r="U379" s="3"/>
      <c r="V379" s="8"/>
    </row>
    <row r="380" spans="1:22" ht="15" customHeight="1" x14ac:dyDescent="0.25">
      <c r="A380" s="7">
        <v>379</v>
      </c>
      <c r="B380" s="3">
        <v>43667</v>
      </c>
      <c r="C380" s="2" t="s">
        <v>66</v>
      </c>
      <c r="D380" s="2" t="s">
        <v>67</v>
      </c>
      <c r="E380" s="2" t="s">
        <v>68</v>
      </c>
      <c r="F380" s="2" t="s">
        <v>111</v>
      </c>
      <c r="G380" s="3">
        <v>32919</v>
      </c>
      <c r="H380" s="2">
        <v>30</v>
      </c>
      <c r="I380" s="2" t="s">
        <v>87</v>
      </c>
      <c r="J380" s="2" t="s">
        <v>50</v>
      </c>
      <c r="K380" s="2" t="s">
        <v>91</v>
      </c>
      <c r="L380" s="2" t="s">
        <v>45</v>
      </c>
      <c r="M380" s="2" t="s">
        <v>38</v>
      </c>
      <c r="N380" s="2" t="s">
        <v>39</v>
      </c>
      <c r="O380" s="2" t="s">
        <v>40</v>
      </c>
      <c r="P380" s="2" t="s">
        <v>112</v>
      </c>
      <c r="Q380" s="2">
        <v>1</v>
      </c>
      <c r="R380" s="2">
        <v>1</v>
      </c>
      <c r="S380" s="2"/>
      <c r="T380" s="2"/>
      <c r="U380" s="3"/>
      <c r="V380" s="8">
        <v>120000</v>
      </c>
    </row>
    <row r="381" spans="1:22" ht="15" customHeight="1" x14ac:dyDescent="0.25">
      <c r="A381" s="7">
        <v>380</v>
      </c>
      <c r="B381" s="3">
        <v>43668</v>
      </c>
      <c r="C381" s="2" t="s">
        <v>22</v>
      </c>
      <c r="D381" s="2" t="s">
        <v>23</v>
      </c>
      <c r="E381" s="2" t="s">
        <v>24</v>
      </c>
      <c r="F381" s="2" t="s">
        <v>115</v>
      </c>
      <c r="G381" s="3">
        <v>32589</v>
      </c>
      <c r="H381" s="2">
        <v>31</v>
      </c>
      <c r="I381" s="2" t="s">
        <v>26</v>
      </c>
      <c r="J381" s="2" t="s">
        <v>27</v>
      </c>
      <c r="K381" s="2" t="s">
        <v>37</v>
      </c>
      <c r="L381" s="2" t="s">
        <v>45</v>
      </c>
      <c r="M381" s="2" t="s">
        <v>38</v>
      </c>
      <c r="N381" s="2" t="s">
        <v>89</v>
      </c>
      <c r="O381" s="2"/>
      <c r="P381" s="2"/>
      <c r="Q381" s="2">
        <v>1</v>
      </c>
      <c r="R381" s="2"/>
      <c r="S381" s="2"/>
      <c r="T381" s="2"/>
      <c r="U381" s="3"/>
      <c r="V381" s="8"/>
    </row>
    <row r="382" spans="1:22" ht="15" customHeight="1" x14ac:dyDescent="0.25">
      <c r="A382" s="7">
        <v>381</v>
      </c>
      <c r="B382" s="3">
        <v>43668</v>
      </c>
      <c r="C382" s="2" t="s">
        <v>48</v>
      </c>
      <c r="D382" s="2" t="s">
        <v>51</v>
      </c>
      <c r="E382" s="2" t="s">
        <v>52</v>
      </c>
      <c r="F382" s="2" t="s">
        <v>116</v>
      </c>
      <c r="G382" s="3">
        <v>34652</v>
      </c>
      <c r="H382" s="2">
        <v>25</v>
      </c>
      <c r="I382" s="2" t="s">
        <v>26</v>
      </c>
      <c r="J382" s="2" t="s">
        <v>88</v>
      </c>
      <c r="K382" s="2" t="s">
        <v>91</v>
      </c>
      <c r="L382" s="2" t="s">
        <v>45</v>
      </c>
      <c r="M382" s="2" t="s">
        <v>30</v>
      </c>
      <c r="N382" s="2" t="s">
        <v>31</v>
      </c>
      <c r="O382" s="2"/>
      <c r="P382" s="2"/>
      <c r="Q382" s="2">
        <v>1</v>
      </c>
      <c r="R382" s="2"/>
      <c r="S382" s="2"/>
      <c r="T382" s="2"/>
      <c r="U382" s="3"/>
      <c r="V382" s="8"/>
    </row>
    <row r="383" spans="1:22" ht="15" customHeight="1" x14ac:dyDescent="0.25">
      <c r="A383" s="7">
        <v>382</v>
      </c>
      <c r="B383" s="3">
        <v>43668</v>
      </c>
      <c r="C383" s="2" t="s">
        <v>22</v>
      </c>
      <c r="D383" s="2" t="s">
        <v>23</v>
      </c>
      <c r="E383" s="2" t="s">
        <v>24</v>
      </c>
      <c r="F383" s="2" t="s">
        <v>115</v>
      </c>
      <c r="G383" s="3">
        <v>32589</v>
      </c>
      <c r="H383" s="2">
        <v>31</v>
      </c>
      <c r="I383" s="2" t="s">
        <v>26</v>
      </c>
      <c r="J383" s="2" t="s">
        <v>27</v>
      </c>
      <c r="K383" s="2" t="s">
        <v>37</v>
      </c>
      <c r="L383" s="2" t="s">
        <v>45</v>
      </c>
      <c r="M383" s="2" t="s">
        <v>38</v>
      </c>
      <c r="N383" s="2" t="s">
        <v>89</v>
      </c>
      <c r="O383" s="2"/>
      <c r="P383" s="2"/>
      <c r="Q383" s="2">
        <v>1</v>
      </c>
      <c r="R383" s="2"/>
      <c r="S383" s="2"/>
      <c r="T383" s="2"/>
      <c r="U383" s="3"/>
      <c r="V383" s="8"/>
    </row>
    <row r="384" spans="1:22" ht="15" customHeight="1" x14ac:dyDescent="0.25">
      <c r="A384" s="7">
        <v>383</v>
      </c>
      <c r="B384" s="3">
        <v>43669</v>
      </c>
      <c r="C384" s="2" t="s">
        <v>32</v>
      </c>
      <c r="D384" s="2" t="s">
        <v>33</v>
      </c>
      <c r="E384" s="2" t="s">
        <v>34</v>
      </c>
      <c r="F384" s="2" t="s">
        <v>86</v>
      </c>
      <c r="G384" s="3">
        <v>31553</v>
      </c>
      <c r="H384" s="2">
        <v>34</v>
      </c>
      <c r="I384" s="2" t="s">
        <v>26</v>
      </c>
      <c r="J384" s="2" t="s">
        <v>27</v>
      </c>
      <c r="K384" s="2" t="s">
        <v>91</v>
      </c>
      <c r="L384" s="2" t="s">
        <v>45</v>
      </c>
      <c r="M384" s="2" t="s">
        <v>30</v>
      </c>
      <c r="N384" s="2" t="s">
        <v>31</v>
      </c>
      <c r="O384" s="2"/>
      <c r="P384" s="2"/>
      <c r="Q384" s="2">
        <v>1</v>
      </c>
      <c r="R384" s="2"/>
      <c r="S384" s="2"/>
      <c r="T384" s="2"/>
      <c r="U384" s="3"/>
      <c r="V384" s="8"/>
    </row>
    <row r="385" spans="1:22" ht="15" customHeight="1" x14ac:dyDescent="0.25">
      <c r="A385" s="7">
        <v>384</v>
      </c>
      <c r="B385" s="3">
        <v>43670</v>
      </c>
      <c r="C385" s="2" t="s">
        <v>32</v>
      </c>
      <c r="D385" s="2" t="s">
        <v>42</v>
      </c>
      <c r="E385" s="2" t="s">
        <v>43</v>
      </c>
      <c r="F385" s="2" t="s">
        <v>96</v>
      </c>
      <c r="G385" s="3">
        <v>33409</v>
      </c>
      <c r="H385" s="2">
        <v>29</v>
      </c>
      <c r="I385" s="2" t="s">
        <v>26</v>
      </c>
      <c r="J385" s="2" t="s">
        <v>110</v>
      </c>
      <c r="K385" s="2" t="s">
        <v>28</v>
      </c>
      <c r="L385" s="2" t="s">
        <v>114</v>
      </c>
      <c r="M385" s="2" t="s">
        <v>30</v>
      </c>
      <c r="N385" s="2" t="s">
        <v>31</v>
      </c>
      <c r="O385" s="2"/>
      <c r="P385" s="2"/>
      <c r="Q385" s="2">
        <v>1</v>
      </c>
      <c r="R385" s="2"/>
      <c r="S385" s="2"/>
      <c r="T385" s="2"/>
      <c r="U385" s="3"/>
      <c r="V385" s="8"/>
    </row>
    <row r="386" spans="1:22" ht="15" customHeight="1" x14ac:dyDescent="0.25">
      <c r="A386" s="7">
        <v>385</v>
      </c>
      <c r="B386" s="3">
        <v>43673</v>
      </c>
      <c r="C386" s="2" t="s">
        <v>57</v>
      </c>
      <c r="D386" s="2" t="s">
        <v>23</v>
      </c>
      <c r="E386" s="2" t="s">
        <v>24</v>
      </c>
      <c r="F386" s="2" t="s">
        <v>80</v>
      </c>
      <c r="G386" s="3">
        <v>33016</v>
      </c>
      <c r="H386" s="2">
        <v>30</v>
      </c>
      <c r="I386" s="2" t="s">
        <v>26</v>
      </c>
      <c r="J386" s="2" t="s">
        <v>61</v>
      </c>
      <c r="K386" s="2" t="s">
        <v>28</v>
      </c>
      <c r="L386" s="2" t="s">
        <v>92</v>
      </c>
      <c r="M386" s="2" t="s">
        <v>38</v>
      </c>
      <c r="N386" s="2" t="s">
        <v>39</v>
      </c>
      <c r="O386" s="2" t="s">
        <v>46</v>
      </c>
      <c r="P386" s="2" t="s">
        <v>84</v>
      </c>
      <c r="Q386" s="2">
        <v>1</v>
      </c>
      <c r="R386" s="2">
        <v>1</v>
      </c>
      <c r="S386" s="2">
        <v>1</v>
      </c>
      <c r="T386" s="2">
        <v>1</v>
      </c>
      <c r="U386" s="3"/>
      <c r="V386" s="8">
        <v>200000</v>
      </c>
    </row>
    <row r="387" spans="1:22" ht="15" customHeight="1" x14ac:dyDescent="0.25">
      <c r="A387" s="7">
        <v>386</v>
      </c>
      <c r="B387" s="3">
        <v>43678</v>
      </c>
      <c r="C387" s="2" t="s">
        <v>32</v>
      </c>
      <c r="D387" s="2" t="s">
        <v>71</v>
      </c>
      <c r="E387" s="2" t="s">
        <v>52</v>
      </c>
      <c r="F387" s="2" t="s">
        <v>35</v>
      </c>
      <c r="G387" s="3">
        <v>33016</v>
      </c>
      <c r="H387" s="2">
        <v>30</v>
      </c>
      <c r="I387" s="2" t="s">
        <v>26</v>
      </c>
      <c r="J387" s="2" t="s">
        <v>36</v>
      </c>
      <c r="K387" s="2" t="s">
        <v>37</v>
      </c>
      <c r="L387" s="2" t="s">
        <v>29</v>
      </c>
      <c r="M387" s="2" t="s">
        <v>30</v>
      </c>
      <c r="N387" s="2" t="s">
        <v>31</v>
      </c>
      <c r="O387" s="2"/>
      <c r="P387" s="2"/>
      <c r="Q387" s="2">
        <v>1</v>
      </c>
      <c r="R387" s="2"/>
      <c r="S387" s="2"/>
      <c r="T387" s="2"/>
      <c r="U387" s="3"/>
      <c r="V387" s="8"/>
    </row>
    <row r="388" spans="1:22" ht="15" customHeight="1" x14ac:dyDescent="0.25">
      <c r="A388" s="7">
        <v>387</v>
      </c>
      <c r="B388" s="3">
        <v>43678</v>
      </c>
      <c r="C388" s="2" t="s">
        <v>66</v>
      </c>
      <c r="D388" s="2" t="s">
        <v>67</v>
      </c>
      <c r="E388" s="2" t="s">
        <v>68</v>
      </c>
      <c r="F388" s="2" t="s">
        <v>25</v>
      </c>
      <c r="G388" s="3">
        <v>33409</v>
      </c>
      <c r="H388" s="2">
        <v>29</v>
      </c>
      <c r="I388" s="2" t="s">
        <v>26</v>
      </c>
      <c r="J388" s="2" t="s">
        <v>27</v>
      </c>
      <c r="K388" s="2" t="s">
        <v>28</v>
      </c>
      <c r="L388" s="2" t="s">
        <v>29</v>
      </c>
      <c r="M388" s="2" t="s">
        <v>30</v>
      </c>
      <c r="N388" s="2" t="s">
        <v>31</v>
      </c>
      <c r="O388" s="2"/>
      <c r="P388" s="2"/>
      <c r="Q388" s="2">
        <v>1</v>
      </c>
      <c r="R388" s="2"/>
      <c r="S388" s="2"/>
      <c r="T388" s="2"/>
      <c r="U388" s="3"/>
      <c r="V388" s="8"/>
    </row>
    <row r="389" spans="1:22" ht="15" customHeight="1" x14ac:dyDescent="0.25">
      <c r="A389" s="7">
        <v>388</v>
      </c>
      <c r="B389" s="3">
        <v>43679</v>
      </c>
      <c r="C389" s="2" t="s">
        <v>48</v>
      </c>
      <c r="D389" s="2" t="s">
        <v>23</v>
      </c>
      <c r="E389" s="2" t="s">
        <v>24</v>
      </c>
      <c r="F389" s="2" t="s">
        <v>44</v>
      </c>
      <c r="G389" s="3">
        <v>33327</v>
      </c>
      <c r="H389" s="2">
        <v>29</v>
      </c>
      <c r="I389" s="2" t="s">
        <v>26</v>
      </c>
      <c r="J389" s="2" t="s">
        <v>27</v>
      </c>
      <c r="K389" s="2" t="s">
        <v>37</v>
      </c>
      <c r="L389" s="2" t="s">
        <v>45</v>
      </c>
      <c r="M389" s="2" t="s">
        <v>38</v>
      </c>
      <c r="N389" s="2" t="s">
        <v>39</v>
      </c>
      <c r="O389" s="2" t="s">
        <v>40</v>
      </c>
      <c r="P389" s="2" t="s">
        <v>41</v>
      </c>
      <c r="Q389" s="2">
        <v>1</v>
      </c>
      <c r="R389" s="2">
        <v>1</v>
      </c>
      <c r="S389" s="2"/>
      <c r="T389" s="2"/>
      <c r="U389" s="3"/>
      <c r="V389" s="8"/>
    </row>
    <row r="390" spans="1:22" ht="15" customHeight="1" x14ac:dyDescent="0.25">
      <c r="A390" s="7">
        <v>389</v>
      </c>
      <c r="B390" s="3">
        <v>43679</v>
      </c>
      <c r="C390" s="2" t="s">
        <v>57</v>
      </c>
      <c r="D390" s="2" t="s">
        <v>23</v>
      </c>
      <c r="E390" s="2" t="s">
        <v>24</v>
      </c>
      <c r="F390" s="2" t="s">
        <v>49</v>
      </c>
      <c r="G390" s="3">
        <v>32996</v>
      </c>
      <c r="H390" s="2">
        <v>30</v>
      </c>
      <c r="I390" s="2" t="s">
        <v>26</v>
      </c>
      <c r="J390" s="2" t="s">
        <v>50</v>
      </c>
      <c r="K390" s="2" t="s">
        <v>37</v>
      </c>
      <c r="L390" s="2" t="s">
        <v>45</v>
      </c>
      <c r="M390" s="2" t="s">
        <v>38</v>
      </c>
      <c r="N390" s="2" t="s">
        <v>39</v>
      </c>
      <c r="O390" s="2" t="s">
        <v>46</v>
      </c>
      <c r="P390" s="2" t="s">
        <v>84</v>
      </c>
      <c r="Q390" s="2">
        <v>1</v>
      </c>
      <c r="R390" s="2">
        <v>1</v>
      </c>
      <c r="S390" s="2"/>
      <c r="T390" s="2"/>
      <c r="U390" s="3"/>
      <c r="V390" s="8">
        <v>150000</v>
      </c>
    </row>
    <row r="391" spans="1:22" ht="15" customHeight="1" x14ac:dyDescent="0.25">
      <c r="A391" s="7">
        <v>390</v>
      </c>
      <c r="B391" s="3">
        <v>43680</v>
      </c>
      <c r="C391" s="2" t="s">
        <v>57</v>
      </c>
      <c r="D391" s="2" t="s">
        <v>23</v>
      </c>
      <c r="E391" s="2" t="s">
        <v>24</v>
      </c>
      <c r="F391" s="2" t="s">
        <v>53</v>
      </c>
      <c r="G391" s="3">
        <v>33041</v>
      </c>
      <c r="H391" s="2">
        <v>30</v>
      </c>
      <c r="I391" s="2" t="s">
        <v>26</v>
      </c>
      <c r="J391" s="2" t="s">
        <v>50</v>
      </c>
      <c r="K391" s="2" t="s">
        <v>37</v>
      </c>
      <c r="L391" s="2" t="s">
        <v>45</v>
      </c>
      <c r="M391" s="2" t="s">
        <v>38</v>
      </c>
      <c r="N391" s="2" t="s">
        <v>39</v>
      </c>
      <c r="O391" s="2" t="s">
        <v>46</v>
      </c>
      <c r="P391" s="2" t="s">
        <v>84</v>
      </c>
      <c r="Q391" s="2">
        <v>1</v>
      </c>
      <c r="R391" s="2">
        <v>1</v>
      </c>
      <c r="S391" s="2">
        <v>1</v>
      </c>
      <c r="T391" s="2">
        <v>1</v>
      </c>
      <c r="U391" s="3">
        <v>43692</v>
      </c>
      <c r="V391" s="8">
        <v>200000</v>
      </c>
    </row>
    <row r="392" spans="1:22" ht="15" customHeight="1" x14ac:dyDescent="0.25">
      <c r="A392" s="7">
        <v>391</v>
      </c>
      <c r="B392" s="3">
        <v>43681</v>
      </c>
      <c r="C392" s="2" t="s">
        <v>48</v>
      </c>
      <c r="D392" s="2" t="s">
        <v>67</v>
      </c>
      <c r="E392" s="2" t="s">
        <v>68</v>
      </c>
      <c r="F392" s="2" t="s">
        <v>54</v>
      </c>
      <c r="G392" s="3">
        <v>33132</v>
      </c>
      <c r="H392" s="2">
        <v>29</v>
      </c>
      <c r="I392" s="2" t="s">
        <v>26</v>
      </c>
      <c r="J392" s="2" t="s">
        <v>27</v>
      </c>
      <c r="K392" s="2" t="s">
        <v>37</v>
      </c>
      <c r="L392" s="2" t="s">
        <v>55</v>
      </c>
      <c r="M392" s="2" t="s">
        <v>38</v>
      </c>
      <c r="N392" s="2" t="s">
        <v>56</v>
      </c>
      <c r="O392" s="2"/>
      <c r="P392" s="2"/>
      <c r="Q392" s="2">
        <v>1</v>
      </c>
      <c r="R392" s="2"/>
      <c r="S392" s="2"/>
      <c r="T392" s="2"/>
      <c r="U392" s="3"/>
      <c r="V392" s="8"/>
    </row>
    <row r="393" spans="1:22" ht="15" customHeight="1" x14ac:dyDescent="0.25">
      <c r="A393" s="7">
        <v>392</v>
      </c>
      <c r="B393" s="3">
        <v>43681</v>
      </c>
      <c r="C393" s="2" t="s">
        <v>32</v>
      </c>
      <c r="D393" s="2" t="s">
        <v>71</v>
      </c>
      <c r="E393" s="2" t="s">
        <v>52</v>
      </c>
      <c r="F393" s="2" t="s">
        <v>58</v>
      </c>
      <c r="G393" s="3">
        <v>33144</v>
      </c>
      <c r="H393" s="2">
        <v>29</v>
      </c>
      <c r="I393" s="2" t="s">
        <v>26</v>
      </c>
      <c r="J393" s="2" t="s">
        <v>50</v>
      </c>
      <c r="K393" s="2" t="s">
        <v>28</v>
      </c>
      <c r="L393" s="2" t="s">
        <v>45</v>
      </c>
      <c r="M393" s="2" t="s">
        <v>30</v>
      </c>
      <c r="N393" s="2" t="s">
        <v>31</v>
      </c>
      <c r="O393" s="2"/>
      <c r="P393" s="2"/>
      <c r="Q393" s="2">
        <v>1</v>
      </c>
      <c r="R393" s="2"/>
      <c r="S393" s="2"/>
      <c r="T393" s="2"/>
      <c r="U393" s="3"/>
      <c r="V393" s="8">
        <v>200000</v>
      </c>
    </row>
    <row r="394" spans="1:22" ht="15" customHeight="1" x14ac:dyDescent="0.25">
      <c r="A394" s="7">
        <v>393</v>
      </c>
      <c r="B394" s="3">
        <v>43682</v>
      </c>
      <c r="C394" s="2" t="s">
        <v>48</v>
      </c>
      <c r="D394" s="2" t="s">
        <v>67</v>
      </c>
      <c r="E394" s="2" t="s">
        <v>68</v>
      </c>
      <c r="F394" s="2" t="s">
        <v>60</v>
      </c>
      <c r="G394" s="3">
        <v>32919</v>
      </c>
      <c r="H394" s="2">
        <v>30</v>
      </c>
      <c r="I394" s="2" t="s">
        <v>26</v>
      </c>
      <c r="J394" s="2" t="s">
        <v>61</v>
      </c>
      <c r="K394" s="2" t="s">
        <v>37</v>
      </c>
      <c r="L394" s="2" t="s">
        <v>62</v>
      </c>
      <c r="M394" s="2" t="s">
        <v>38</v>
      </c>
      <c r="N394" s="2" t="s">
        <v>39</v>
      </c>
      <c r="O394" s="2" t="s">
        <v>40</v>
      </c>
      <c r="P394" s="2" t="s">
        <v>41</v>
      </c>
      <c r="Q394" s="2">
        <v>1</v>
      </c>
      <c r="R394" s="2"/>
      <c r="S394" s="2"/>
      <c r="T394" s="2"/>
      <c r="U394" s="3"/>
      <c r="V394" s="8"/>
    </row>
    <row r="395" spans="1:22" ht="15" customHeight="1" x14ac:dyDescent="0.25">
      <c r="A395" s="7">
        <v>394</v>
      </c>
      <c r="B395" s="3">
        <v>43683</v>
      </c>
      <c r="C395" s="2" t="s">
        <v>66</v>
      </c>
      <c r="D395" s="2" t="s">
        <v>67</v>
      </c>
      <c r="E395" s="2" t="s">
        <v>68</v>
      </c>
      <c r="F395" s="2" t="s">
        <v>65</v>
      </c>
      <c r="G395" s="3">
        <v>34195</v>
      </c>
      <c r="H395" s="2">
        <v>27</v>
      </c>
      <c r="I395" s="2" t="s">
        <v>26</v>
      </c>
      <c r="J395" s="2" t="s">
        <v>27</v>
      </c>
      <c r="K395" s="2" t="s">
        <v>37</v>
      </c>
      <c r="L395" s="2" t="s">
        <v>45</v>
      </c>
      <c r="M395" s="2" t="s">
        <v>38</v>
      </c>
      <c r="N395" s="2" t="s">
        <v>39</v>
      </c>
      <c r="O395" s="2" t="s">
        <v>46</v>
      </c>
      <c r="P395" s="2" t="s">
        <v>118</v>
      </c>
      <c r="Q395" s="2">
        <v>1</v>
      </c>
      <c r="R395" s="2">
        <v>1</v>
      </c>
      <c r="S395" s="2"/>
      <c r="T395" s="2"/>
      <c r="U395" s="3"/>
      <c r="V395" s="8">
        <v>150000</v>
      </c>
    </row>
    <row r="396" spans="1:22" ht="15" customHeight="1" x14ac:dyDescent="0.25">
      <c r="A396" s="7">
        <v>395</v>
      </c>
      <c r="B396" s="3">
        <v>43683</v>
      </c>
      <c r="C396" s="2" t="s">
        <v>57</v>
      </c>
      <c r="D396" s="2" t="s">
        <v>23</v>
      </c>
      <c r="E396" s="2" t="s">
        <v>24</v>
      </c>
      <c r="F396" s="2" t="s">
        <v>69</v>
      </c>
      <c r="G396" s="3">
        <v>32589</v>
      </c>
      <c r="H396" s="2">
        <v>31</v>
      </c>
      <c r="I396" s="2" t="s">
        <v>26</v>
      </c>
      <c r="J396" s="2" t="s">
        <v>70</v>
      </c>
      <c r="K396" s="2" t="s">
        <v>28</v>
      </c>
      <c r="L396" s="2" t="s">
        <v>45</v>
      </c>
      <c r="M396" s="2" t="s">
        <v>38</v>
      </c>
      <c r="N396" s="2" t="s">
        <v>39</v>
      </c>
      <c r="O396" s="2" t="s">
        <v>46</v>
      </c>
      <c r="P396" s="2" t="s">
        <v>47</v>
      </c>
      <c r="Q396" s="2">
        <v>1</v>
      </c>
      <c r="R396" s="2">
        <v>1</v>
      </c>
      <c r="S396" s="2">
        <v>1</v>
      </c>
      <c r="T396" s="2">
        <v>1</v>
      </c>
      <c r="U396" s="3">
        <v>43687</v>
      </c>
      <c r="V396" s="8">
        <v>200000</v>
      </c>
    </row>
    <row r="397" spans="1:22" ht="15" customHeight="1" x14ac:dyDescent="0.25">
      <c r="A397" s="7">
        <v>396</v>
      </c>
      <c r="B397" s="3">
        <v>43685</v>
      </c>
      <c r="C397" s="2" t="s">
        <v>48</v>
      </c>
      <c r="D397" s="2" t="s">
        <v>67</v>
      </c>
      <c r="E397" s="2" t="s">
        <v>68</v>
      </c>
      <c r="F397" s="2" t="s">
        <v>72</v>
      </c>
      <c r="G397" s="3">
        <v>33476</v>
      </c>
      <c r="H397" s="2">
        <v>29</v>
      </c>
      <c r="I397" s="2" t="s">
        <v>26</v>
      </c>
      <c r="J397" s="2" t="s">
        <v>73</v>
      </c>
      <c r="K397" s="2" t="s">
        <v>37</v>
      </c>
      <c r="L397" s="2" t="s">
        <v>45</v>
      </c>
      <c r="M397" s="2" t="s">
        <v>38</v>
      </c>
      <c r="N397" s="2" t="s">
        <v>39</v>
      </c>
      <c r="O397" s="2" t="s">
        <v>46</v>
      </c>
      <c r="P397" s="2" t="s">
        <v>47</v>
      </c>
      <c r="Q397" s="2">
        <v>1</v>
      </c>
      <c r="R397" s="2">
        <v>1</v>
      </c>
      <c r="S397" s="2"/>
      <c r="T397" s="2"/>
      <c r="U397" s="3"/>
      <c r="V397" s="8">
        <v>200000</v>
      </c>
    </row>
    <row r="398" spans="1:22" ht="15" customHeight="1" x14ac:dyDescent="0.25">
      <c r="A398" s="7">
        <v>397</v>
      </c>
      <c r="B398" s="3">
        <v>43686</v>
      </c>
      <c r="C398" s="2" t="s">
        <v>22</v>
      </c>
      <c r="D398" s="2" t="s">
        <v>67</v>
      </c>
      <c r="E398" s="2" t="s">
        <v>68</v>
      </c>
      <c r="F398" s="2" t="s">
        <v>74</v>
      </c>
      <c r="G398" s="3">
        <v>32558</v>
      </c>
      <c r="H398" s="2">
        <v>31</v>
      </c>
      <c r="I398" s="2" t="s">
        <v>26</v>
      </c>
      <c r="J398" s="2" t="s">
        <v>75</v>
      </c>
      <c r="K398" s="2" t="s">
        <v>37</v>
      </c>
      <c r="L398" s="2" t="s">
        <v>76</v>
      </c>
      <c r="M398" s="2" t="s">
        <v>38</v>
      </c>
      <c r="N398" s="2" t="s">
        <v>39</v>
      </c>
      <c r="O398" s="2" t="s">
        <v>40</v>
      </c>
      <c r="P398" s="2" t="s">
        <v>77</v>
      </c>
      <c r="Q398" s="2">
        <v>1</v>
      </c>
      <c r="R398" s="2">
        <v>1</v>
      </c>
      <c r="S398" s="2"/>
      <c r="T398" s="2"/>
      <c r="U398" s="3"/>
      <c r="V398" s="8"/>
    </row>
    <row r="399" spans="1:22" ht="15" customHeight="1" x14ac:dyDescent="0.25">
      <c r="A399" s="7">
        <v>398</v>
      </c>
      <c r="B399" s="3">
        <v>43686</v>
      </c>
      <c r="C399" s="2" t="s">
        <v>22</v>
      </c>
      <c r="D399" s="2" t="s">
        <v>67</v>
      </c>
      <c r="E399" s="2" t="s">
        <v>68</v>
      </c>
      <c r="F399" s="2" t="s">
        <v>122</v>
      </c>
      <c r="G399" s="3">
        <v>33041</v>
      </c>
      <c r="H399" s="2">
        <v>30</v>
      </c>
      <c r="I399" s="2" t="s">
        <v>26</v>
      </c>
      <c r="J399" s="2" t="s">
        <v>27</v>
      </c>
      <c r="K399" s="2" t="s">
        <v>37</v>
      </c>
      <c r="L399" s="2" t="s">
        <v>92</v>
      </c>
      <c r="M399" s="2" t="s">
        <v>38</v>
      </c>
      <c r="N399" s="2" t="s">
        <v>39</v>
      </c>
      <c r="O399" s="2" t="s">
        <v>40</v>
      </c>
      <c r="P399" s="2" t="s">
        <v>84</v>
      </c>
      <c r="Q399" s="2">
        <v>1</v>
      </c>
      <c r="R399" s="2"/>
      <c r="S399" s="2"/>
      <c r="T399" s="2"/>
      <c r="U399" s="3"/>
      <c r="V399" s="8">
        <v>200000</v>
      </c>
    </row>
    <row r="400" spans="1:22" ht="15" customHeight="1" x14ac:dyDescent="0.25">
      <c r="A400" s="7">
        <v>399</v>
      </c>
      <c r="B400" s="3">
        <v>43688</v>
      </c>
      <c r="C400" s="2" t="s">
        <v>32</v>
      </c>
      <c r="D400" s="2" t="s">
        <v>71</v>
      </c>
      <c r="E400" s="2" t="s">
        <v>52</v>
      </c>
      <c r="F400" s="2" t="s">
        <v>80</v>
      </c>
      <c r="G400" s="3">
        <v>33088</v>
      </c>
      <c r="H400" s="2">
        <v>30</v>
      </c>
      <c r="I400" s="2" t="s">
        <v>26</v>
      </c>
      <c r="J400" s="2" t="s">
        <v>75</v>
      </c>
      <c r="K400" s="2" t="s">
        <v>37</v>
      </c>
      <c r="L400" s="2" t="s">
        <v>45</v>
      </c>
      <c r="M400" s="2" t="s">
        <v>30</v>
      </c>
      <c r="N400" s="2" t="s">
        <v>81</v>
      </c>
      <c r="O400" s="2"/>
      <c r="P400" s="2"/>
      <c r="Q400" s="2">
        <v>1</v>
      </c>
      <c r="R400" s="2"/>
      <c r="S400" s="2"/>
      <c r="T400" s="2"/>
      <c r="U400" s="3"/>
      <c r="V400" s="8"/>
    </row>
    <row r="401" spans="1:22" ht="15" customHeight="1" x14ac:dyDescent="0.25">
      <c r="A401" s="7">
        <v>400</v>
      </c>
      <c r="B401" s="3">
        <v>43689</v>
      </c>
      <c r="C401" s="2" t="s">
        <v>48</v>
      </c>
      <c r="D401" s="2" t="s">
        <v>23</v>
      </c>
      <c r="E401" s="2" t="s">
        <v>24</v>
      </c>
      <c r="F401" s="2" t="s">
        <v>82</v>
      </c>
      <c r="G401" s="3">
        <v>33594</v>
      </c>
      <c r="H401" s="2">
        <v>28</v>
      </c>
      <c r="I401" s="2" t="s">
        <v>26</v>
      </c>
      <c r="J401" s="2" t="s">
        <v>83</v>
      </c>
      <c r="K401" s="2" t="s">
        <v>37</v>
      </c>
      <c r="L401" s="2" t="s">
        <v>45</v>
      </c>
      <c r="M401" s="2" t="s">
        <v>38</v>
      </c>
      <c r="N401" s="2" t="s">
        <v>39</v>
      </c>
      <c r="O401" s="2" t="s">
        <v>40</v>
      </c>
      <c r="P401" s="2" t="s">
        <v>41</v>
      </c>
      <c r="Q401" s="2">
        <v>1</v>
      </c>
      <c r="R401" s="2">
        <v>1</v>
      </c>
      <c r="S401" s="2"/>
      <c r="T401" s="2"/>
      <c r="U401" s="3"/>
      <c r="V401" s="8"/>
    </row>
    <row r="402" spans="1:22" ht="15" customHeight="1" x14ac:dyDescent="0.25">
      <c r="A402" s="7">
        <v>401</v>
      </c>
      <c r="B402" s="3">
        <v>43690</v>
      </c>
      <c r="C402" s="2" t="s">
        <v>48</v>
      </c>
      <c r="D402" s="2" t="s">
        <v>23</v>
      </c>
      <c r="E402" s="2" t="s">
        <v>24</v>
      </c>
      <c r="F402" s="2" t="s">
        <v>117</v>
      </c>
      <c r="G402" s="3">
        <v>34021</v>
      </c>
      <c r="H402" s="2">
        <v>27</v>
      </c>
      <c r="I402" s="2" t="s">
        <v>26</v>
      </c>
      <c r="J402" s="2" t="s">
        <v>27</v>
      </c>
      <c r="K402" s="2" t="s">
        <v>28</v>
      </c>
      <c r="L402" s="2" t="s">
        <v>45</v>
      </c>
      <c r="M402" s="2" t="s">
        <v>38</v>
      </c>
      <c r="N402" s="2" t="s">
        <v>39</v>
      </c>
      <c r="O402" s="2" t="s">
        <v>46</v>
      </c>
      <c r="P402" s="2" t="s">
        <v>118</v>
      </c>
      <c r="Q402" s="2">
        <v>1</v>
      </c>
      <c r="R402" s="2">
        <v>1</v>
      </c>
      <c r="S402" s="2">
        <v>1</v>
      </c>
      <c r="T402" s="2">
        <v>1</v>
      </c>
      <c r="U402" s="3">
        <v>43697</v>
      </c>
      <c r="V402" s="8"/>
    </row>
    <row r="403" spans="1:22" ht="15" customHeight="1" x14ac:dyDescent="0.25">
      <c r="A403" s="7">
        <v>402</v>
      </c>
      <c r="B403" s="3">
        <v>43692</v>
      </c>
      <c r="C403" s="2" t="s">
        <v>48</v>
      </c>
      <c r="D403" s="2" t="s">
        <v>67</v>
      </c>
      <c r="E403" s="2" t="s">
        <v>68</v>
      </c>
      <c r="F403" s="2" t="s">
        <v>119</v>
      </c>
      <c r="G403" s="3">
        <v>34295</v>
      </c>
      <c r="H403" s="2">
        <v>26</v>
      </c>
      <c r="I403" s="2" t="s">
        <v>26</v>
      </c>
      <c r="J403" s="2" t="s">
        <v>27</v>
      </c>
      <c r="K403" s="2" t="s">
        <v>37</v>
      </c>
      <c r="L403" s="2" t="s">
        <v>45</v>
      </c>
      <c r="M403" s="2" t="s">
        <v>38</v>
      </c>
      <c r="N403" s="2" t="s">
        <v>56</v>
      </c>
      <c r="O403" s="2"/>
      <c r="P403" s="2"/>
      <c r="Q403" s="2">
        <v>1</v>
      </c>
      <c r="R403" s="2"/>
      <c r="S403" s="2"/>
      <c r="T403" s="2"/>
      <c r="U403" s="3"/>
      <c r="V403" s="8"/>
    </row>
    <row r="404" spans="1:22" ht="15" customHeight="1" x14ac:dyDescent="0.25">
      <c r="A404" s="7">
        <v>403</v>
      </c>
      <c r="B404" s="3">
        <v>43692</v>
      </c>
      <c r="C404" s="2" t="s">
        <v>32</v>
      </c>
      <c r="D404" s="2" t="s">
        <v>71</v>
      </c>
      <c r="E404" s="2" t="s">
        <v>52</v>
      </c>
      <c r="F404" s="2" t="s">
        <v>121</v>
      </c>
      <c r="G404" s="3">
        <v>33041</v>
      </c>
      <c r="H404" s="2">
        <v>30</v>
      </c>
      <c r="I404" s="2" t="s">
        <v>26</v>
      </c>
      <c r="J404" s="2" t="s">
        <v>70</v>
      </c>
      <c r="K404" s="2" t="s">
        <v>91</v>
      </c>
      <c r="L404" s="2" t="s">
        <v>45</v>
      </c>
      <c r="M404" s="2" t="s">
        <v>30</v>
      </c>
      <c r="N404" s="2" t="s">
        <v>81</v>
      </c>
      <c r="O404" s="2"/>
      <c r="P404" s="2"/>
      <c r="Q404" s="2">
        <v>1</v>
      </c>
      <c r="R404" s="2">
        <v>1</v>
      </c>
      <c r="S404" s="2"/>
      <c r="T404" s="2"/>
      <c r="U404" s="3"/>
      <c r="V404" s="8"/>
    </row>
    <row r="405" spans="1:22" ht="15" customHeight="1" x14ac:dyDescent="0.25">
      <c r="A405" s="7">
        <v>404</v>
      </c>
      <c r="B405" s="3">
        <v>43693</v>
      </c>
      <c r="C405" s="2" t="s">
        <v>57</v>
      </c>
      <c r="D405" s="2" t="s">
        <v>23</v>
      </c>
      <c r="E405" s="2" t="s">
        <v>24</v>
      </c>
      <c r="F405" s="2" t="s">
        <v>120</v>
      </c>
      <c r="G405" s="3">
        <v>34118</v>
      </c>
      <c r="H405" s="2">
        <v>27</v>
      </c>
      <c r="I405" s="2" t="s">
        <v>26</v>
      </c>
      <c r="J405" s="2" t="s">
        <v>79</v>
      </c>
      <c r="K405" s="2" t="s">
        <v>28</v>
      </c>
      <c r="L405" s="2" t="s">
        <v>45</v>
      </c>
      <c r="M405" s="2" t="s">
        <v>38</v>
      </c>
      <c r="N405" s="2" t="s">
        <v>39</v>
      </c>
      <c r="O405" s="2" t="s">
        <v>46</v>
      </c>
      <c r="P405" s="2" t="s">
        <v>84</v>
      </c>
      <c r="Q405" s="2">
        <v>1</v>
      </c>
      <c r="R405" s="2"/>
      <c r="S405" s="2"/>
      <c r="T405" s="2"/>
      <c r="U405" s="3"/>
      <c r="V405" s="8">
        <v>200000</v>
      </c>
    </row>
    <row r="406" spans="1:22" ht="15" customHeight="1" x14ac:dyDescent="0.25">
      <c r="A406" s="7">
        <v>405</v>
      </c>
      <c r="B406" s="3">
        <v>43693</v>
      </c>
      <c r="C406" s="2" t="s">
        <v>22</v>
      </c>
      <c r="D406" s="2" t="s">
        <v>67</v>
      </c>
      <c r="E406" s="2" t="s">
        <v>68</v>
      </c>
      <c r="F406" s="2" t="s">
        <v>101</v>
      </c>
      <c r="G406" s="3">
        <v>33016</v>
      </c>
      <c r="H406" s="2">
        <v>30</v>
      </c>
      <c r="I406" s="2" t="s">
        <v>26</v>
      </c>
      <c r="J406" s="2" t="s">
        <v>93</v>
      </c>
      <c r="K406" s="2" t="s">
        <v>37</v>
      </c>
      <c r="L406" s="2" t="s">
        <v>45</v>
      </c>
      <c r="M406" s="2" t="s">
        <v>38</v>
      </c>
      <c r="N406" s="2" t="s">
        <v>39</v>
      </c>
      <c r="O406" s="2" t="s">
        <v>46</v>
      </c>
      <c r="P406" s="2" t="s">
        <v>95</v>
      </c>
      <c r="Q406" s="2">
        <v>1</v>
      </c>
      <c r="R406" s="2">
        <v>1</v>
      </c>
      <c r="S406" s="2"/>
      <c r="T406" s="2"/>
      <c r="U406" s="3"/>
      <c r="V406" s="8">
        <v>150000</v>
      </c>
    </row>
    <row r="407" spans="1:22" ht="15" customHeight="1" x14ac:dyDescent="0.25">
      <c r="A407" s="7">
        <v>406</v>
      </c>
      <c r="B407" s="3">
        <v>43694</v>
      </c>
      <c r="C407" s="2" t="s">
        <v>22</v>
      </c>
      <c r="D407" s="2" t="s">
        <v>67</v>
      </c>
      <c r="E407" s="2" t="s">
        <v>68</v>
      </c>
      <c r="F407" s="2" t="s">
        <v>86</v>
      </c>
      <c r="G407" s="3">
        <v>34384</v>
      </c>
      <c r="H407" s="2">
        <v>26</v>
      </c>
      <c r="I407" s="2" t="s">
        <v>87</v>
      </c>
      <c r="J407" s="2" t="s">
        <v>88</v>
      </c>
      <c r="K407" s="2" t="s">
        <v>37</v>
      </c>
      <c r="L407" s="2" t="s">
        <v>55</v>
      </c>
      <c r="M407" s="2" t="s">
        <v>38</v>
      </c>
      <c r="N407" s="2" t="s">
        <v>39</v>
      </c>
      <c r="O407" s="2" t="s">
        <v>40</v>
      </c>
      <c r="P407" s="2" t="s">
        <v>41</v>
      </c>
      <c r="Q407" s="2">
        <v>1</v>
      </c>
      <c r="R407" s="2">
        <v>1</v>
      </c>
      <c r="S407" s="2"/>
      <c r="T407" s="2"/>
      <c r="U407" s="3"/>
      <c r="V407" s="8"/>
    </row>
    <row r="408" spans="1:22" ht="15" customHeight="1" x14ac:dyDescent="0.25">
      <c r="A408" s="7">
        <v>407</v>
      </c>
      <c r="B408" s="3">
        <v>43694</v>
      </c>
      <c r="C408" s="2" t="s">
        <v>48</v>
      </c>
      <c r="D408" s="2" t="s">
        <v>67</v>
      </c>
      <c r="E408" s="2" t="s">
        <v>68</v>
      </c>
      <c r="F408" s="2" t="s">
        <v>94</v>
      </c>
      <c r="G408" s="3">
        <v>33667</v>
      </c>
      <c r="H408" s="2">
        <v>28</v>
      </c>
      <c r="I408" s="2" t="s">
        <v>26</v>
      </c>
      <c r="J408" s="2" t="s">
        <v>27</v>
      </c>
      <c r="K408" s="2" t="s">
        <v>37</v>
      </c>
      <c r="L408" s="2" t="s">
        <v>92</v>
      </c>
      <c r="M408" s="2" t="s">
        <v>38</v>
      </c>
      <c r="N408" s="2" t="s">
        <v>39</v>
      </c>
      <c r="O408" s="2" t="s">
        <v>46</v>
      </c>
      <c r="P408" s="2" t="s">
        <v>95</v>
      </c>
      <c r="Q408" s="2">
        <v>1</v>
      </c>
      <c r="R408" s="2">
        <v>1</v>
      </c>
      <c r="S408" s="2"/>
      <c r="T408" s="2"/>
      <c r="U408" s="3"/>
      <c r="V408" s="8">
        <v>150000</v>
      </c>
    </row>
    <row r="409" spans="1:22" ht="15" customHeight="1" x14ac:dyDescent="0.25">
      <c r="A409" s="7">
        <v>408</v>
      </c>
      <c r="B409" s="3">
        <v>43695</v>
      </c>
      <c r="C409" s="2" t="s">
        <v>48</v>
      </c>
      <c r="D409" s="2" t="s">
        <v>23</v>
      </c>
      <c r="E409" s="2" t="s">
        <v>24</v>
      </c>
      <c r="F409" s="2" t="s">
        <v>117</v>
      </c>
      <c r="G409" s="3">
        <v>33144</v>
      </c>
      <c r="H409" s="2">
        <v>29</v>
      </c>
      <c r="I409" s="2" t="s">
        <v>87</v>
      </c>
      <c r="J409" s="2" t="s">
        <v>27</v>
      </c>
      <c r="K409" s="2" t="s">
        <v>37</v>
      </c>
      <c r="L409" s="2" t="s">
        <v>92</v>
      </c>
      <c r="M409" s="2" t="s">
        <v>38</v>
      </c>
      <c r="N409" s="2" t="s">
        <v>56</v>
      </c>
      <c r="O409" s="2"/>
      <c r="P409" s="2"/>
      <c r="Q409" s="2">
        <v>1</v>
      </c>
      <c r="R409" s="2"/>
      <c r="S409" s="2"/>
      <c r="T409" s="2"/>
      <c r="U409" s="3"/>
      <c r="V409" s="8"/>
    </row>
    <row r="410" spans="1:22" ht="15" customHeight="1" x14ac:dyDescent="0.25">
      <c r="A410" s="7">
        <v>409</v>
      </c>
      <c r="B410" s="3">
        <v>43695</v>
      </c>
      <c r="C410" s="2" t="s">
        <v>66</v>
      </c>
      <c r="D410" s="2" t="s">
        <v>67</v>
      </c>
      <c r="E410" s="2" t="s">
        <v>68</v>
      </c>
      <c r="F410" s="2" t="s">
        <v>96</v>
      </c>
      <c r="G410" s="3">
        <v>35008</v>
      </c>
      <c r="H410" s="2">
        <v>24</v>
      </c>
      <c r="I410" s="2" t="s">
        <v>26</v>
      </c>
      <c r="J410" s="2" t="s">
        <v>97</v>
      </c>
      <c r="K410" s="2" t="s">
        <v>37</v>
      </c>
      <c r="L410" s="2" t="s">
        <v>45</v>
      </c>
      <c r="M410" s="2" t="s">
        <v>38</v>
      </c>
      <c r="N410" s="2" t="s">
        <v>39</v>
      </c>
      <c r="O410" s="2" t="s">
        <v>46</v>
      </c>
      <c r="P410" s="2" t="s">
        <v>95</v>
      </c>
      <c r="Q410" s="2">
        <v>1</v>
      </c>
      <c r="R410" s="2">
        <v>1</v>
      </c>
      <c r="S410" s="2"/>
      <c r="T410" s="2"/>
      <c r="U410" s="3"/>
      <c r="V410" s="8">
        <v>150000</v>
      </c>
    </row>
    <row r="411" spans="1:22" ht="15" customHeight="1" x14ac:dyDescent="0.25">
      <c r="A411" s="7">
        <v>410</v>
      </c>
      <c r="B411" s="3">
        <v>43695</v>
      </c>
      <c r="C411" s="2" t="s">
        <v>57</v>
      </c>
      <c r="D411" s="2" t="s">
        <v>23</v>
      </c>
      <c r="E411" s="2" t="s">
        <v>24</v>
      </c>
      <c r="F411" s="2" t="s">
        <v>98</v>
      </c>
      <c r="G411" s="3">
        <v>34231</v>
      </c>
      <c r="H411" s="2">
        <v>26</v>
      </c>
      <c r="I411" s="2" t="s">
        <v>26</v>
      </c>
      <c r="J411" s="2" t="s">
        <v>88</v>
      </c>
      <c r="K411" s="2" t="s">
        <v>37</v>
      </c>
      <c r="L411" s="2" t="s">
        <v>45</v>
      </c>
      <c r="M411" s="2" t="s">
        <v>38</v>
      </c>
      <c r="N411" s="2" t="s">
        <v>39</v>
      </c>
      <c r="O411" s="2" t="s">
        <v>46</v>
      </c>
      <c r="P411" s="2" t="s">
        <v>118</v>
      </c>
      <c r="Q411" s="2">
        <v>1</v>
      </c>
      <c r="R411" s="2"/>
      <c r="S411" s="2"/>
      <c r="T411" s="2"/>
      <c r="U411" s="3"/>
      <c r="V411" s="8"/>
    </row>
    <row r="412" spans="1:22" ht="15" customHeight="1" x14ac:dyDescent="0.25">
      <c r="A412" s="7">
        <v>411</v>
      </c>
      <c r="B412" s="3">
        <v>43695</v>
      </c>
      <c r="C412" s="2" t="s">
        <v>48</v>
      </c>
      <c r="D412" s="2" t="s">
        <v>67</v>
      </c>
      <c r="E412" s="2" t="s">
        <v>68</v>
      </c>
      <c r="F412" s="2" t="s">
        <v>53</v>
      </c>
      <c r="G412" s="3">
        <v>32589</v>
      </c>
      <c r="H412" s="2">
        <v>31</v>
      </c>
      <c r="I412" s="2" t="s">
        <v>26</v>
      </c>
      <c r="J412" s="2" t="s">
        <v>50</v>
      </c>
      <c r="K412" s="2" t="s">
        <v>28</v>
      </c>
      <c r="L412" s="2" t="s">
        <v>45</v>
      </c>
      <c r="M412" s="2" t="s">
        <v>38</v>
      </c>
      <c r="N412" s="2" t="s">
        <v>39</v>
      </c>
      <c r="O412" s="2" t="s">
        <v>40</v>
      </c>
      <c r="P412" s="2" t="s">
        <v>41</v>
      </c>
      <c r="Q412" s="2">
        <v>1</v>
      </c>
      <c r="R412" s="2">
        <v>1</v>
      </c>
      <c r="S412" s="2">
        <v>1</v>
      </c>
      <c r="T412" s="2">
        <v>1</v>
      </c>
      <c r="U412" s="3">
        <v>43692</v>
      </c>
      <c r="V412" s="8"/>
    </row>
    <row r="413" spans="1:22" ht="15" customHeight="1" x14ac:dyDescent="0.25">
      <c r="A413" s="7">
        <v>412</v>
      </c>
      <c r="B413" s="3">
        <v>43696</v>
      </c>
      <c r="C413" s="2" t="s">
        <v>66</v>
      </c>
      <c r="D413" s="2" t="s">
        <v>67</v>
      </c>
      <c r="E413" s="2" t="s">
        <v>68</v>
      </c>
      <c r="F413" s="2" t="s">
        <v>99</v>
      </c>
      <c r="G413" s="3">
        <v>33577</v>
      </c>
      <c r="H413" s="2">
        <v>28</v>
      </c>
      <c r="I413" s="2" t="s">
        <v>26</v>
      </c>
      <c r="J413" s="2" t="s">
        <v>27</v>
      </c>
      <c r="K413" s="2" t="s">
        <v>37</v>
      </c>
      <c r="L413" s="2" t="s">
        <v>92</v>
      </c>
      <c r="M413" s="2" t="s">
        <v>38</v>
      </c>
      <c r="N413" s="2" t="s">
        <v>39</v>
      </c>
      <c r="O413" s="2" t="s">
        <v>46</v>
      </c>
      <c r="P413" s="2" t="s">
        <v>95</v>
      </c>
      <c r="Q413" s="2">
        <v>1</v>
      </c>
      <c r="R413" s="2">
        <v>1</v>
      </c>
      <c r="S413" s="2"/>
      <c r="T413" s="2"/>
      <c r="U413" s="3"/>
      <c r="V413" s="8">
        <v>150000</v>
      </c>
    </row>
    <row r="414" spans="1:22" ht="15" customHeight="1" x14ac:dyDescent="0.25">
      <c r="A414" s="7">
        <v>413</v>
      </c>
      <c r="B414" s="3">
        <v>43697</v>
      </c>
      <c r="C414" s="2" t="s">
        <v>22</v>
      </c>
      <c r="D414" s="2" t="s">
        <v>67</v>
      </c>
      <c r="E414" s="2" t="s">
        <v>68</v>
      </c>
      <c r="F414" s="2" t="s">
        <v>101</v>
      </c>
      <c r="G414" s="3">
        <v>33840</v>
      </c>
      <c r="H414" s="2">
        <v>28</v>
      </c>
      <c r="I414" s="2" t="s">
        <v>87</v>
      </c>
      <c r="J414" s="2" t="s">
        <v>102</v>
      </c>
      <c r="K414" s="2" t="s">
        <v>37</v>
      </c>
      <c r="L414" s="2" t="s">
        <v>103</v>
      </c>
      <c r="M414" s="2" t="s">
        <v>38</v>
      </c>
      <c r="N414" s="2" t="s">
        <v>89</v>
      </c>
      <c r="O414" s="2"/>
      <c r="P414" s="2"/>
      <c r="Q414" s="2">
        <v>1</v>
      </c>
      <c r="R414" s="2">
        <v>1</v>
      </c>
      <c r="S414" s="2"/>
      <c r="T414" s="2"/>
      <c r="U414" s="3"/>
      <c r="V414" s="8"/>
    </row>
    <row r="415" spans="1:22" ht="15" customHeight="1" x14ac:dyDescent="0.25">
      <c r="A415" s="7">
        <v>414</v>
      </c>
      <c r="B415" s="3">
        <v>43697</v>
      </c>
      <c r="C415" s="2" t="s">
        <v>22</v>
      </c>
      <c r="D415" s="2" t="s">
        <v>67</v>
      </c>
      <c r="E415" s="2" t="s">
        <v>68</v>
      </c>
      <c r="F415" s="2" t="s">
        <v>104</v>
      </c>
      <c r="G415" s="3">
        <v>34542</v>
      </c>
      <c r="H415" s="2">
        <v>26</v>
      </c>
      <c r="I415" s="2" t="s">
        <v>26</v>
      </c>
      <c r="J415" s="2" t="s">
        <v>27</v>
      </c>
      <c r="K415" s="2" t="s">
        <v>91</v>
      </c>
      <c r="L415" s="2" t="s">
        <v>55</v>
      </c>
      <c r="M415" s="2" t="s">
        <v>38</v>
      </c>
      <c r="N415" s="2" t="s">
        <v>56</v>
      </c>
      <c r="O415" s="2"/>
      <c r="P415" s="2"/>
      <c r="Q415" s="2">
        <v>1</v>
      </c>
      <c r="R415" s="2">
        <v>1</v>
      </c>
      <c r="S415" s="2"/>
      <c r="T415" s="2"/>
      <c r="U415" s="3"/>
      <c r="V415" s="8"/>
    </row>
    <row r="416" spans="1:22" ht="15" customHeight="1" x14ac:dyDescent="0.25">
      <c r="A416" s="7">
        <v>415</v>
      </c>
      <c r="B416" s="3">
        <v>43697</v>
      </c>
      <c r="C416" s="2" t="s">
        <v>32</v>
      </c>
      <c r="D416" s="2" t="s">
        <v>71</v>
      </c>
      <c r="E416" s="2" t="s">
        <v>52</v>
      </c>
      <c r="F416" s="2" t="s">
        <v>105</v>
      </c>
      <c r="G416" s="3">
        <v>33144</v>
      </c>
      <c r="H416" s="2">
        <v>29</v>
      </c>
      <c r="I416" s="2" t="s">
        <v>26</v>
      </c>
      <c r="J416" s="2" t="s">
        <v>27</v>
      </c>
      <c r="K416" s="2" t="s">
        <v>37</v>
      </c>
      <c r="L416" s="2" t="s">
        <v>55</v>
      </c>
      <c r="M416" s="2" t="s">
        <v>30</v>
      </c>
      <c r="N416" s="2" t="s">
        <v>31</v>
      </c>
      <c r="O416" s="2"/>
      <c r="P416" s="2"/>
      <c r="Q416" s="2">
        <v>1</v>
      </c>
      <c r="R416" s="2">
        <v>1</v>
      </c>
      <c r="S416" s="2"/>
      <c r="T416" s="2"/>
      <c r="U416" s="3"/>
      <c r="V416" s="8"/>
    </row>
    <row r="417" spans="1:22" ht="15" customHeight="1" x14ac:dyDescent="0.25">
      <c r="A417" s="7">
        <v>416</v>
      </c>
      <c r="B417" s="3">
        <v>43697</v>
      </c>
      <c r="C417" s="2" t="s">
        <v>22</v>
      </c>
      <c r="D417" s="2" t="s">
        <v>67</v>
      </c>
      <c r="E417" s="2" t="s">
        <v>68</v>
      </c>
      <c r="F417" s="2" t="s">
        <v>101</v>
      </c>
      <c r="G417" s="3">
        <v>33840</v>
      </c>
      <c r="H417" s="2">
        <v>28</v>
      </c>
      <c r="I417" s="2" t="s">
        <v>87</v>
      </c>
      <c r="J417" s="2" t="s">
        <v>102</v>
      </c>
      <c r="K417" s="2" t="s">
        <v>37</v>
      </c>
      <c r="L417" s="2" t="s">
        <v>103</v>
      </c>
      <c r="M417" s="2" t="s">
        <v>38</v>
      </c>
      <c r="N417" s="2" t="s">
        <v>89</v>
      </c>
      <c r="O417" s="2"/>
      <c r="P417" s="2"/>
      <c r="Q417" s="2">
        <v>1</v>
      </c>
      <c r="R417" s="2">
        <v>1</v>
      </c>
      <c r="S417" s="2"/>
      <c r="T417" s="2"/>
      <c r="U417" s="3"/>
      <c r="V417" s="8"/>
    </row>
    <row r="418" spans="1:22" ht="15" customHeight="1" x14ac:dyDescent="0.25">
      <c r="A418" s="7">
        <v>417</v>
      </c>
      <c r="B418" s="3">
        <v>43697</v>
      </c>
      <c r="C418" s="2" t="s">
        <v>22</v>
      </c>
      <c r="D418" s="2" t="s">
        <v>67</v>
      </c>
      <c r="E418" s="2" t="s">
        <v>68</v>
      </c>
      <c r="F418" s="2" t="s">
        <v>104</v>
      </c>
      <c r="G418" s="3">
        <v>34542</v>
      </c>
      <c r="H418" s="2">
        <v>26</v>
      </c>
      <c r="I418" s="2" t="s">
        <v>26</v>
      </c>
      <c r="J418" s="2" t="s">
        <v>27</v>
      </c>
      <c r="K418" s="2" t="s">
        <v>91</v>
      </c>
      <c r="L418" s="2" t="s">
        <v>55</v>
      </c>
      <c r="M418" s="2" t="s">
        <v>38</v>
      </c>
      <c r="N418" s="2" t="s">
        <v>56</v>
      </c>
      <c r="O418" s="2"/>
      <c r="P418" s="2"/>
      <c r="Q418" s="2">
        <v>1</v>
      </c>
      <c r="R418" s="2">
        <v>1</v>
      </c>
      <c r="S418" s="2"/>
      <c r="T418" s="2"/>
      <c r="U418" s="3"/>
      <c r="V418" s="8"/>
    </row>
    <row r="419" spans="1:22" ht="15" customHeight="1" x14ac:dyDescent="0.25">
      <c r="A419" s="7">
        <v>418</v>
      </c>
      <c r="B419" s="3">
        <v>43697</v>
      </c>
      <c r="C419" s="2" t="s">
        <v>57</v>
      </c>
      <c r="D419" s="2" t="s">
        <v>23</v>
      </c>
      <c r="E419" s="2" t="s">
        <v>24</v>
      </c>
      <c r="F419" s="2" t="s">
        <v>60</v>
      </c>
      <c r="G419" s="3">
        <v>33409</v>
      </c>
      <c r="H419" s="2">
        <v>29</v>
      </c>
      <c r="I419" s="2" t="s">
        <v>26</v>
      </c>
      <c r="J419" s="2" t="s">
        <v>27</v>
      </c>
      <c r="K419" s="2" t="s">
        <v>37</v>
      </c>
      <c r="L419" s="2" t="s">
        <v>45</v>
      </c>
      <c r="M419" s="2" t="s">
        <v>38</v>
      </c>
      <c r="N419" s="2" t="s">
        <v>39</v>
      </c>
      <c r="O419" s="2" t="s">
        <v>46</v>
      </c>
      <c r="P419" s="2" t="s">
        <v>84</v>
      </c>
      <c r="Q419" s="2">
        <v>1</v>
      </c>
      <c r="R419" s="2"/>
      <c r="S419" s="2"/>
      <c r="T419" s="2"/>
      <c r="U419" s="3"/>
      <c r="V419" s="8"/>
    </row>
    <row r="420" spans="1:22" ht="15" customHeight="1" x14ac:dyDescent="0.25">
      <c r="A420" s="7">
        <v>419</v>
      </c>
      <c r="B420" s="3">
        <v>43698</v>
      </c>
      <c r="C420" s="2" t="s">
        <v>32</v>
      </c>
      <c r="D420" s="2" t="s">
        <v>71</v>
      </c>
      <c r="E420" s="2" t="s">
        <v>52</v>
      </c>
      <c r="F420" s="2" t="s">
        <v>106</v>
      </c>
      <c r="G420" s="3">
        <v>33868</v>
      </c>
      <c r="H420" s="2">
        <v>27</v>
      </c>
      <c r="I420" s="2" t="s">
        <v>26</v>
      </c>
      <c r="J420" s="2" t="s">
        <v>79</v>
      </c>
      <c r="K420" s="2" t="s">
        <v>91</v>
      </c>
      <c r="L420" s="2" t="s">
        <v>45</v>
      </c>
      <c r="M420" s="2" t="s">
        <v>30</v>
      </c>
      <c r="N420" s="2" t="s">
        <v>31</v>
      </c>
      <c r="O420" s="2"/>
      <c r="P420" s="2"/>
      <c r="Q420" s="2">
        <v>1</v>
      </c>
      <c r="R420" s="2"/>
      <c r="S420" s="2"/>
      <c r="T420" s="2"/>
      <c r="U420" s="3"/>
      <c r="V420" s="8"/>
    </row>
    <row r="421" spans="1:22" ht="15" customHeight="1" x14ac:dyDescent="0.25">
      <c r="A421" s="7">
        <v>420</v>
      </c>
      <c r="B421" s="3">
        <v>43698</v>
      </c>
      <c r="C421" s="2" t="s">
        <v>32</v>
      </c>
      <c r="D421" s="2" t="s">
        <v>71</v>
      </c>
      <c r="E421" s="2" t="s">
        <v>52</v>
      </c>
      <c r="F421" s="2" t="s">
        <v>107</v>
      </c>
      <c r="G421" s="3">
        <v>33429</v>
      </c>
      <c r="H421" s="2">
        <v>29</v>
      </c>
      <c r="I421" s="2" t="s">
        <v>87</v>
      </c>
      <c r="J421" s="2" t="s">
        <v>108</v>
      </c>
      <c r="K421" s="2" t="s">
        <v>37</v>
      </c>
      <c r="L421" s="2" t="s">
        <v>45</v>
      </c>
      <c r="M421" s="2" t="s">
        <v>30</v>
      </c>
      <c r="N421" s="2" t="s">
        <v>31</v>
      </c>
      <c r="O421" s="2"/>
      <c r="P421" s="2"/>
      <c r="Q421" s="2">
        <v>1</v>
      </c>
      <c r="R421" s="2"/>
      <c r="S421" s="2"/>
      <c r="T421" s="2"/>
      <c r="U421" s="3"/>
      <c r="V421" s="8"/>
    </row>
    <row r="422" spans="1:22" ht="15" customHeight="1" x14ac:dyDescent="0.25">
      <c r="A422" s="7">
        <v>421</v>
      </c>
      <c r="B422" s="3">
        <v>43698</v>
      </c>
      <c r="C422" s="2" t="s">
        <v>32</v>
      </c>
      <c r="D422" s="2" t="s">
        <v>71</v>
      </c>
      <c r="E422" s="2" t="s">
        <v>52</v>
      </c>
      <c r="F422" s="2" t="s">
        <v>106</v>
      </c>
      <c r="G422" s="3">
        <v>33868</v>
      </c>
      <c r="H422" s="2">
        <v>27</v>
      </c>
      <c r="I422" s="2" t="s">
        <v>26</v>
      </c>
      <c r="J422" s="2" t="s">
        <v>79</v>
      </c>
      <c r="K422" s="2" t="s">
        <v>91</v>
      </c>
      <c r="L422" s="2" t="s">
        <v>45</v>
      </c>
      <c r="M422" s="2" t="s">
        <v>30</v>
      </c>
      <c r="N422" s="2" t="s">
        <v>31</v>
      </c>
      <c r="O422" s="2"/>
      <c r="P422" s="2"/>
      <c r="Q422" s="2">
        <v>1</v>
      </c>
      <c r="R422" s="2"/>
      <c r="S422" s="2"/>
      <c r="T422" s="2"/>
      <c r="U422" s="3"/>
      <c r="V422" s="8"/>
    </row>
    <row r="423" spans="1:22" ht="15" customHeight="1" x14ac:dyDescent="0.25">
      <c r="A423" s="7">
        <v>422</v>
      </c>
      <c r="B423" s="3">
        <v>43698</v>
      </c>
      <c r="C423" s="2" t="s">
        <v>32</v>
      </c>
      <c r="D423" s="2" t="s">
        <v>71</v>
      </c>
      <c r="E423" s="2" t="s">
        <v>52</v>
      </c>
      <c r="F423" s="2" t="s">
        <v>107</v>
      </c>
      <c r="G423" s="3">
        <v>33429</v>
      </c>
      <c r="H423" s="2">
        <v>29</v>
      </c>
      <c r="I423" s="2" t="s">
        <v>87</v>
      </c>
      <c r="J423" s="2" t="s">
        <v>108</v>
      </c>
      <c r="K423" s="2" t="s">
        <v>37</v>
      </c>
      <c r="L423" s="2" t="s">
        <v>45</v>
      </c>
      <c r="M423" s="2" t="s">
        <v>30</v>
      </c>
      <c r="N423" s="2" t="s">
        <v>31</v>
      </c>
      <c r="O423" s="2"/>
      <c r="P423" s="2"/>
      <c r="Q423" s="2">
        <v>1</v>
      </c>
      <c r="R423" s="2"/>
      <c r="S423" s="2"/>
      <c r="T423" s="2"/>
      <c r="U423" s="3"/>
      <c r="V423" s="8"/>
    </row>
    <row r="424" spans="1:22" ht="15" customHeight="1" x14ac:dyDescent="0.25">
      <c r="A424" s="7">
        <v>423</v>
      </c>
      <c r="B424" s="3">
        <v>43698</v>
      </c>
      <c r="C424" s="2" t="s">
        <v>48</v>
      </c>
      <c r="D424" s="2" t="s">
        <v>23</v>
      </c>
      <c r="E424" s="2" t="s">
        <v>24</v>
      </c>
      <c r="F424" s="2" t="s">
        <v>111</v>
      </c>
      <c r="G424" s="3">
        <v>32919</v>
      </c>
      <c r="H424" s="2">
        <v>30</v>
      </c>
      <c r="I424" s="2" t="s">
        <v>87</v>
      </c>
      <c r="J424" s="2" t="s">
        <v>50</v>
      </c>
      <c r="K424" s="2" t="s">
        <v>91</v>
      </c>
      <c r="L424" s="2" t="s">
        <v>45</v>
      </c>
      <c r="M424" s="2" t="s">
        <v>38</v>
      </c>
      <c r="N424" s="2" t="s">
        <v>39</v>
      </c>
      <c r="O424" s="2" t="s">
        <v>40</v>
      </c>
      <c r="P424" s="2" t="s">
        <v>112</v>
      </c>
      <c r="Q424" s="2">
        <v>1</v>
      </c>
      <c r="R424" s="2">
        <v>1</v>
      </c>
      <c r="S424" s="2"/>
      <c r="T424" s="2"/>
      <c r="U424" s="3"/>
      <c r="V424" s="8"/>
    </row>
    <row r="425" spans="1:22" ht="15" customHeight="1" x14ac:dyDescent="0.25">
      <c r="A425" s="7">
        <v>424</v>
      </c>
      <c r="B425" s="3">
        <v>43698</v>
      </c>
      <c r="C425" s="2" t="s">
        <v>66</v>
      </c>
      <c r="D425" s="2" t="s">
        <v>67</v>
      </c>
      <c r="E425" s="2" t="s">
        <v>68</v>
      </c>
      <c r="F425" s="2" t="s">
        <v>69</v>
      </c>
      <c r="G425" s="3">
        <v>32996</v>
      </c>
      <c r="H425" s="2">
        <v>30</v>
      </c>
      <c r="I425" s="2" t="s">
        <v>26</v>
      </c>
      <c r="J425" s="2" t="s">
        <v>110</v>
      </c>
      <c r="K425" s="2" t="s">
        <v>37</v>
      </c>
      <c r="L425" s="2" t="s">
        <v>45</v>
      </c>
      <c r="M425" s="2" t="s">
        <v>38</v>
      </c>
      <c r="N425" s="2" t="s">
        <v>39</v>
      </c>
      <c r="O425" s="2" t="s">
        <v>46</v>
      </c>
      <c r="P425" s="2" t="s">
        <v>135</v>
      </c>
      <c r="Q425" s="2">
        <v>1</v>
      </c>
      <c r="R425" s="2">
        <v>1</v>
      </c>
      <c r="S425" s="2"/>
      <c r="T425" s="2"/>
      <c r="U425" s="3"/>
      <c r="V425" s="8"/>
    </row>
    <row r="426" spans="1:22" ht="15" customHeight="1" x14ac:dyDescent="0.25">
      <c r="A426" s="7">
        <v>425</v>
      </c>
      <c r="B426" s="3">
        <v>43699</v>
      </c>
      <c r="C426" s="2" t="s">
        <v>48</v>
      </c>
      <c r="D426" s="2" t="s">
        <v>67</v>
      </c>
      <c r="E426" s="2" t="s">
        <v>68</v>
      </c>
      <c r="F426" s="2" t="s">
        <v>115</v>
      </c>
      <c r="G426" s="3">
        <v>32589</v>
      </c>
      <c r="H426" s="2">
        <v>31</v>
      </c>
      <c r="I426" s="2" t="s">
        <v>26</v>
      </c>
      <c r="J426" s="2" t="s">
        <v>27</v>
      </c>
      <c r="K426" s="2" t="s">
        <v>37</v>
      </c>
      <c r="L426" s="2" t="s">
        <v>45</v>
      </c>
      <c r="M426" s="2" t="s">
        <v>38</v>
      </c>
      <c r="N426" s="2" t="s">
        <v>89</v>
      </c>
      <c r="O426" s="2"/>
      <c r="P426" s="2"/>
      <c r="Q426" s="2">
        <v>1</v>
      </c>
      <c r="R426" s="2"/>
      <c r="S426" s="2"/>
      <c r="T426" s="2"/>
      <c r="U426" s="3"/>
      <c r="V426" s="8"/>
    </row>
    <row r="427" spans="1:22" ht="15" customHeight="1" x14ac:dyDescent="0.25">
      <c r="A427" s="7">
        <v>426</v>
      </c>
      <c r="B427" s="3">
        <v>43699</v>
      </c>
      <c r="C427" s="2" t="s">
        <v>48</v>
      </c>
      <c r="D427" s="2" t="s">
        <v>23</v>
      </c>
      <c r="E427" s="2" t="s">
        <v>24</v>
      </c>
      <c r="F427" s="2" t="s">
        <v>116</v>
      </c>
      <c r="G427" s="3">
        <v>34652</v>
      </c>
      <c r="H427" s="2">
        <v>25</v>
      </c>
      <c r="I427" s="2" t="s">
        <v>26</v>
      </c>
      <c r="J427" s="2" t="s">
        <v>88</v>
      </c>
      <c r="K427" s="2" t="s">
        <v>91</v>
      </c>
      <c r="L427" s="2" t="s">
        <v>45</v>
      </c>
      <c r="M427" s="2" t="s">
        <v>38</v>
      </c>
      <c r="N427" s="2" t="s">
        <v>39</v>
      </c>
      <c r="O427" s="2" t="s">
        <v>46</v>
      </c>
      <c r="P427" s="2" t="s">
        <v>47</v>
      </c>
      <c r="Q427" s="2">
        <v>1</v>
      </c>
      <c r="R427" s="2"/>
      <c r="S427" s="2"/>
      <c r="T427" s="2"/>
      <c r="U427" s="3"/>
      <c r="V427" s="8">
        <v>200000</v>
      </c>
    </row>
    <row r="428" spans="1:22" ht="15" customHeight="1" x14ac:dyDescent="0.25">
      <c r="A428" s="7">
        <v>427</v>
      </c>
      <c r="B428" s="3">
        <v>43700</v>
      </c>
      <c r="C428" s="2" t="s">
        <v>57</v>
      </c>
      <c r="D428" s="2" t="s">
        <v>23</v>
      </c>
      <c r="E428" s="2" t="s">
        <v>24</v>
      </c>
      <c r="F428" s="2" t="s">
        <v>86</v>
      </c>
      <c r="G428" s="3">
        <v>31553</v>
      </c>
      <c r="H428" s="2">
        <v>34</v>
      </c>
      <c r="I428" s="2" t="s">
        <v>26</v>
      </c>
      <c r="J428" s="2" t="s">
        <v>27</v>
      </c>
      <c r="K428" s="2" t="s">
        <v>91</v>
      </c>
      <c r="L428" s="2" t="s">
        <v>45</v>
      </c>
      <c r="M428" s="2" t="s">
        <v>30</v>
      </c>
      <c r="N428" s="2" t="s">
        <v>31</v>
      </c>
      <c r="O428" s="2"/>
      <c r="P428" s="2"/>
      <c r="Q428" s="2">
        <v>1</v>
      </c>
      <c r="R428" s="2"/>
      <c r="S428" s="2">
        <v>1</v>
      </c>
      <c r="T428" s="2">
        <v>1</v>
      </c>
      <c r="U428" s="3">
        <v>43704</v>
      </c>
      <c r="V428" s="8">
        <v>500000</v>
      </c>
    </row>
    <row r="429" spans="1:22" ht="15" customHeight="1" x14ac:dyDescent="0.25">
      <c r="A429" s="7">
        <v>428</v>
      </c>
      <c r="B429" s="3">
        <v>43701</v>
      </c>
      <c r="C429" s="2" t="s">
        <v>66</v>
      </c>
      <c r="D429" s="2" t="s">
        <v>67</v>
      </c>
      <c r="E429" s="2" t="s">
        <v>68</v>
      </c>
      <c r="F429" s="2" t="s">
        <v>96</v>
      </c>
      <c r="G429" s="3">
        <v>33409</v>
      </c>
      <c r="H429" s="2">
        <v>29</v>
      </c>
      <c r="I429" s="2" t="s">
        <v>26</v>
      </c>
      <c r="J429" s="2" t="s">
        <v>110</v>
      </c>
      <c r="K429" s="2" t="s">
        <v>28</v>
      </c>
      <c r="L429" s="2" t="s">
        <v>114</v>
      </c>
      <c r="M429" s="2" t="s">
        <v>38</v>
      </c>
      <c r="N429" s="2" t="s">
        <v>39</v>
      </c>
      <c r="O429" s="2" t="s">
        <v>46</v>
      </c>
      <c r="P429" s="2" t="s">
        <v>135</v>
      </c>
      <c r="Q429" s="2">
        <v>1</v>
      </c>
      <c r="R429" s="2"/>
      <c r="S429" s="2"/>
      <c r="T429" s="2"/>
      <c r="U429" s="3"/>
      <c r="V429" s="8">
        <v>150000</v>
      </c>
    </row>
    <row r="430" spans="1:22" ht="15" customHeight="1" x14ac:dyDescent="0.25">
      <c r="A430" s="7">
        <v>429</v>
      </c>
      <c r="B430" s="3">
        <v>43704</v>
      </c>
      <c r="C430" s="2" t="s">
        <v>66</v>
      </c>
      <c r="D430" s="2" t="s">
        <v>67</v>
      </c>
      <c r="E430" s="2" t="s">
        <v>68</v>
      </c>
      <c r="F430" s="2" t="s">
        <v>80</v>
      </c>
      <c r="G430" s="3">
        <v>33016</v>
      </c>
      <c r="H430" s="2">
        <v>30</v>
      </c>
      <c r="I430" s="2" t="s">
        <v>26</v>
      </c>
      <c r="J430" s="2" t="s">
        <v>61</v>
      </c>
      <c r="K430" s="2" t="s">
        <v>28</v>
      </c>
      <c r="L430" s="2" t="s">
        <v>92</v>
      </c>
      <c r="M430" s="2" t="s">
        <v>38</v>
      </c>
      <c r="N430" s="2" t="s">
        <v>39</v>
      </c>
      <c r="O430" s="2" t="s">
        <v>46</v>
      </c>
      <c r="P430" s="2" t="s">
        <v>95</v>
      </c>
      <c r="Q430" s="2">
        <v>1</v>
      </c>
      <c r="R430" s="2">
        <v>1</v>
      </c>
      <c r="S430" s="2">
        <v>1</v>
      </c>
      <c r="T430" s="2">
        <v>1</v>
      </c>
      <c r="U430" s="3">
        <v>43687</v>
      </c>
      <c r="V430" s="8">
        <v>150000</v>
      </c>
    </row>
    <row r="431" spans="1:22" ht="15" customHeight="1" x14ac:dyDescent="0.25">
      <c r="A431" s="7">
        <v>430</v>
      </c>
      <c r="B431" s="3">
        <v>43709</v>
      </c>
      <c r="C431" s="2" t="s">
        <v>48</v>
      </c>
      <c r="D431" s="2" t="s">
        <v>23</v>
      </c>
      <c r="E431" s="2" t="s">
        <v>24</v>
      </c>
      <c r="F431" s="2" t="s">
        <v>25</v>
      </c>
      <c r="G431" s="3">
        <v>33409</v>
      </c>
      <c r="H431" s="2">
        <v>29</v>
      </c>
      <c r="I431" s="2" t="s">
        <v>26</v>
      </c>
      <c r="J431" s="2" t="s">
        <v>27</v>
      </c>
      <c r="K431" s="2" t="s">
        <v>28</v>
      </c>
      <c r="L431" s="2" t="s">
        <v>29</v>
      </c>
      <c r="M431" s="2" t="s">
        <v>30</v>
      </c>
      <c r="N431" s="2" t="s">
        <v>31</v>
      </c>
      <c r="O431" s="2"/>
      <c r="P431" s="2"/>
      <c r="Q431" s="2">
        <v>1</v>
      </c>
      <c r="R431" s="2"/>
      <c r="S431" s="2"/>
      <c r="T431" s="2"/>
      <c r="U431" s="3"/>
      <c r="V431" s="8"/>
    </row>
    <row r="432" spans="1:22" ht="15" customHeight="1" x14ac:dyDescent="0.25">
      <c r="A432" s="7">
        <v>431</v>
      </c>
      <c r="B432" s="3">
        <v>43709</v>
      </c>
      <c r="C432" s="2" t="s">
        <v>48</v>
      </c>
      <c r="D432" s="2" t="s">
        <v>23</v>
      </c>
      <c r="E432" s="2" t="s">
        <v>24</v>
      </c>
      <c r="F432" s="2" t="s">
        <v>35</v>
      </c>
      <c r="G432" s="3">
        <v>33016</v>
      </c>
      <c r="H432" s="2">
        <v>30</v>
      </c>
      <c r="I432" s="2" t="s">
        <v>26</v>
      </c>
      <c r="J432" s="2" t="s">
        <v>36</v>
      </c>
      <c r="K432" s="2" t="s">
        <v>37</v>
      </c>
      <c r="L432" s="2" t="s">
        <v>29</v>
      </c>
      <c r="M432" s="2" t="s">
        <v>38</v>
      </c>
      <c r="N432" s="2" t="s">
        <v>39</v>
      </c>
      <c r="O432" s="2" t="s">
        <v>40</v>
      </c>
      <c r="P432" s="2" t="s">
        <v>41</v>
      </c>
      <c r="Q432" s="2">
        <v>1</v>
      </c>
      <c r="R432" s="2"/>
      <c r="S432" s="2"/>
      <c r="T432" s="2"/>
      <c r="U432" s="3"/>
      <c r="V432" s="8"/>
    </row>
    <row r="433" spans="1:22" ht="15" customHeight="1" x14ac:dyDescent="0.25">
      <c r="A433" s="7">
        <v>432</v>
      </c>
      <c r="B433" s="3">
        <v>43710</v>
      </c>
      <c r="C433" s="2" t="s">
        <v>48</v>
      </c>
      <c r="D433" s="2" t="s">
        <v>67</v>
      </c>
      <c r="E433" s="2" t="s">
        <v>68</v>
      </c>
      <c r="F433" s="2" t="s">
        <v>44</v>
      </c>
      <c r="G433" s="3">
        <v>33327</v>
      </c>
      <c r="H433" s="2">
        <v>29</v>
      </c>
      <c r="I433" s="2" t="s">
        <v>26</v>
      </c>
      <c r="J433" s="2" t="s">
        <v>27</v>
      </c>
      <c r="K433" s="2" t="s">
        <v>37</v>
      </c>
      <c r="L433" s="2" t="s">
        <v>45</v>
      </c>
      <c r="M433" s="2" t="s">
        <v>38</v>
      </c>
      <c r="N433" s="2" t="s">
        <v>39</v>
      </c>
      <c r="O433" s="2" t="s">
        <v>40</v>
      </c>
      <c r="P433" s="2" t="s">
        <v>41</v>
      </c>
      <c r="Q433" s="2">
        <v>1</v>
      </c>
      <c r="R433" s="2">
        <v>1</v>
      </c>
      <c r="S433" s="2">
        <v>1</v>
      </c>
      <c r="T433" s="2">
        <v>1</v>
      </c>
      <c r="U433" s="3">
        <v>43716</v>
      </c>
      <c r="V433" s="8"/>
    </row>
    <row r="434" spans="1:22" ht="15" customHeight="1" x14ac:dyDescent="0.25">
      <c r="A434" s="7">
        <v>433</v>
      </c>
      <c r="B434" s="3">
        <v>43710</v>
      </c>
      <c r="C434" s="2" t="s">
        <v>48</v>
      </c>
      <c r="D434" s="2" t="s">
        <v>23</v>
      </c>
      <c r="E434" s="2" t="s">
        <v>24</v>
      </c>
      <c r="F434" s="2" t="s">
        <v>49</v>
      </c>
      <c r="G434" s="3">
        <v>32996</v>
      </c>
      <c r="H434" s="2">
        <v>30</v>
      </c>
      <c r="I434" s="2" t="s">
        <v>26</v>
      </c>
      <c r="J434" s="2" t="s">
        <v>50</v>
      </c>
      <c r="K434" s="2" t="s">
        <v>37</v>
      </c>
      <c r="L434" s="2" t="s">
        <v>45</v>
      </c>
      <c r="M434" s="2" t="s">
        <v>38</v>
      </c>
      <c r="N434" s="2" t="s">
        <v>39</v>
      </c>
      <c r="O434" s="2" t="s">
        <v>46</v>
      </c>
      <c r="P434" s="2" t="s">
        <v>47</v>
      </c>
      <c r="Q434" s="2">
        <v>1</v>
      </c>
      <c r="R434" s="2">
        <v>1</v>
      </c>
      <c r="S434" s="2">
        <v>1</v>
      </c>
      <c r="T434" s="2">
        <v>1</v>
      </c>
      <c r="U434" s="3">
        <v>43735</v>
      </c>
      <c r="V434" s="8">
        <v>200000</v>
      </c>
    </row>
    <row r="435" spans="1:22" ht="15" customHeight="1" x14ac:dyDescent="0.25">
      <c r="A435" s="7">
        <v>434</v>
      </c>
      <c r="B435" s="3">
        <v>43710</v>
      </c>
      <c r="C435" s="2" t="s">
        <v>48</v>
      </c>
      <c r="D435" s="2" t="s">
        <v>67</v>
      </c>
      <c r="E435" s="2" t="s">
        <v>68</v>
      </c>
      <c r="F435" s="2" t="s">
        <v>44</v>
      </c>
      <c r="G435" s="3">
        <v>33327</v>
      </c>
      <c r="H435" s="2">
        <v>29</v>
      </c>
      <c r="I435" s="2" t="s">
        <v>26</v>
      </c>
      <c r="J435" s="2" t="s">
        <v>27</v>
      </c>
      <c r="K435" s="2" t="s">
        <v>37</v>
      </c>
      <c r="L435" s="2" t="s">
        <v>45</v>
      </c>
      <c r="M435" s="2" t="s">
        <v>38</v>
      </c>
      <c r="N435" s="2" t="s">
        <v>39</v>
      </c>
      <c r="O435" s="2" t="s">
        <v>40</v>
      </c>
      <c r="P435" s="2" t="s">
        <v>41</v>
      </c>
      <c r="Q435" s="2">
        <v>1</v>
      </c>
      <c r="R435" s="2">
        <v>1</v>
      </c>
      <c r="S435" s="2">
        <v>1</v>
      </c>
      <c r="T435" s="2">
        <v>1</v>
      </c>
      <c r="U435" s="3">
        <v>43716</v>
      </c>
      <c r="V435" s="8"/>
    </row>
    <row r="436" spans="1:22" ht="15" customHeight="1" x14ac:dyDescent="0.25">
      <c r="A436" s="7">
        <v>435</v>
      </c>
      <c r="B436" s="3">
        <v>43710</v>
      </c>
      <c r="C436" s="2" t="s">
        <v>48</v>
      </c>
      <c r="D436" s="2" t="s">
        <v>23</v>
      </c>
      <c r="E436" s="2" t="s">
        <v>24</v>
      </c>
      <c r="F436" s="2" t="s">
        <v>49</v>
      </c>
      <c r="G436" s="3">
        <v>32996</v>
      </c>
      <c r="H436" s="2">
        <v>30</v>
      </c>
      <c r="I436" s="2" t="s">
        <v>26</v>
      </c>
      <c r="J436" s="2" t="s">
        <v>50</v>
      </c>
      <c r="K436" s="2" t="s">
        <v>37</v>
      </c>
      <c r="L436" s="2" t="s">
        <v>45</v>
      </c>
      <c r="M436" s="2" t="s">
        <v>38</v>
      </c>
      <c r="N436" s="2" t="s">
        <v>39</v>
      </c>
      <c r="O436" s="2" t="s">
        <v>46</v>
      </c>
      <c r="P436" s="2" t="s">
        <v>47</v>
      </c>
      <c r="Q436" s="2">
        <v>1</v>
      </c>
      <c r="R436" s="2">
        <v>1</v>
      </c>
      <c r="S436" s="2">
        <v>1</v>
      </c>
      <c r="T436" s="2">
        <v>1</v>
      </c>
      <c r="U436" s="3">
        <v>43735</v>
      </c>
      <c r="V436" s="8">
        <v>200000</v>
      </c>
    </row>
    <row r="437" spans="1:22" ht="15" customHeight="1" x14ac:dyDescent="0.25">
      <c r="A437" s="7">
        <v>436</v>
      </c>
      <c r="B437" s="3">
        <v>43711</v>
      </c>
      <c r="C437" s="2" t="s">
        <v>66</v>
      </c>
      <c r="D437" s="2" t="s">
        <v>67</v>
      </c>
      <c r="E437" s="2" t="s">
        <v>68</v>
      </c>
      <c r="F437" s="2" t="s">
        <v>53</v>
      </c>
      <c r="G437" s="3">
        <v>33041</v>
      </c>
      <c r="H437" s="2">
        <v>30</v>
      </c>
      <c r="I437" s="2" t="s">
        <v>26</v>
      </c>
      <c r="J437" s="2" t="s">
        <v>50</v>
      </c>
      <c r="K437" s="2" t="s">
        <v>37</v>
      </c>
      <c r="L437" s="2" t="s">
        <v>45</v>
      </c>
      <c r="M437" s="2" t="s">
        <v>38</v>
      </c>
      <c r="N437" s="2" t="s">
        <v>63</v>
      </c>
      <c r="O437" s="2" t="s">
        <v>64</v>
      </c>
      <c r="P437" s="2"/>
      <c r="Q437" s="2">
        <v>1</v>
      </c>
      <c r="R437" s="2">
        <v>1</v>
      </c>
      <c r="S437" s="2"/>
      <c r="T437" s="2"/>
      <c r="U437" s="3"/>
      <c r="V437" s="8">
        <v>100000</v>
      </c>
    </row>
    <row r="438" spans="1:22" ht="15" customHeight="1" x14ac:dyDescent="0.25">
      <c r="A438" s="7">
        <v>437</v>
      </c>
      <c r="B438" s="3">
        <v>43712</v>
      </c>
      <c r="C438" s="2" t="s">
        <v>22</v>
      </c>
      <c r="D438" s="2" t="s">
        <v>67</v>
      </c>
      <c r="E438" s="2" t="s">
        <v>68</v>
      </c>
      <c r="F438" s="2" t="s">
        <v>54</v>
      </c>
      <c r="G438" s="3">
        <v>33132</v>
      </c>
      <c r="H438" s="2">
        <v>29</v>
      </c>
      <c r="I438" s="2" t="s">
        <v>26</v>
      </c>
      <c r="J438" s="2" t="s">
        <v>27</v>
      </c>
      <c r="K438" s="2" t="s">
        <v>37</v>
      </c>
      <c r="L438" s="2" t="s">
        <v>55</v>
      </c>
      <c r="M438" s="2" t="s">
        <v>38</v>
      </c>
      <c r="N438" s="2" t="s">
        <v>56</v>
      </c>
      <c r="O438" s="2"/>
      <c r="P438" s="2"/>
      <c r="Q438" s="2">
        <v>1</v>
      </c>
      <c r="R438" s="2"/>
      <c r="S438" s="2"/>
      <c r="T438" s="2"/>
      <c r="U438" s="3"/>
      <c r="V438" s="8"/>
    </row>
    <row r="439" spans="1:22" ht="15" customHeight="1" x14ac:dyDescent="0.25">
      <c r="A439" s="7">
        <v>438</v>
      </c>
      <c r="B439" s="3">
        <v>43712</v>
      </c>
      <c r="C439" s="2" t="s">
        <v>48</v>
      </c>
      <c r="D439" s="2" t="s">
        <v>67</v>
      </c>
      <c r="E439" s="2" t="s">
        <v>68</v>
      </c>
      <c r="F439" s="2" t="s">
        <v>58</v>
      </c>
      <c r="G439" s="3">
        <v>33144</v>
      </c>
      <c r="H439" s="2">
        <v>29</v>
      </c>
      <c r="I439" s="2" t="s">
        <v>26</v>
      </c>
      <c r="J439" s="2" t="s">
        <v>50</v>
      </c>
      <c r="K439" s="2" t="s">
        <v>28</v>
      </c>
      <c r="L439" s="2" t="s">
        <v>45</v>
      </c>
      <c r="M439" s="2" t="s">
        <v>38</v>
      </c>
      <c r="N439" s="2" t="s">
        <v>39</v>
      </c>
      <c r="O439" s="2" t="s">
        <v>40</v>
      </c>
      <c r="P439" s="2" t="s">
        <v>41</v>
      </c>
      <c r="Q439" s="2">
        <v>1</v>
      </c>
      <c r="R439" s="2"/>
      <c r="S439" s="2"/>
      <c r="T439" s="2"/>
      <c r="U439" s="3"/>
      <c r="V439" s="8"/>
    </row>
    <row r="440" spans="1:22" ht="15" customHeight="1" x14ac:dyDescent="0.25">
      <c r="A440" s="7">
        <v>439</v>
      </c>
      <c r="B440" s="3">
        <v>43713</v>
      </c>
      <c r="C440" s="2" t="s">
        <v>66</v>
      </c>
      <c r="D440" s="2" t="s">
        <v>67</v>
      </c>
      <c r="E440" s="2" t="s">
        <v>68</v>
      </c>
      <c r="F440" s="2" t="s">
        <v>60</v>
      </c>
      <c r="G440" s="3">
        <v>32919</v>
      </c>
      <c r="H440" s="2">
        <v>30</v>
      </c>
      <c r="I440" s="2" t="s">
        <v>26</v>
      </c>
      <c r="J440" s="2" t="s">
        <v>61</v>
      </c>
      <c r="K440" s="2" t="s">
        <v>37</v>
      </c>
      <c r="L440" s="2" t="s">
        <v>62</v>
      </c>
      <c r="M440" s="2" t="s">
        <v>38</v>
      </c>
      <c r="N440" s="2" t="s">
        <v>63</v>
      </c>
      <c r="O440" s="2" t="s">
        <v>64</v>
      </c>
      <c r="P440" s="2"/>
      <c r="Q440" s="2">
        <v>1</v>
      </c>
      <c r="R440" s="2"/>
      <c r="S440" s="2"/>
      <c r="T440" s="2"/>
      <c r="U440" s="3"/>
      <c r="V440" s="8">
        <v>100000</v>
      </c>
    </row>
    <row r="441" spans="1:22" ht="15" customHeight="1" x14ac:dyDescent="0.25">
      <c r="A441" s="7">
        <v>440</v>
      </c>
      <c r="B441" s="3">
        <v>43714</v>
      </c>
      <c r="C441" s="2" t="s">
        <v>22</v>
      </c>
      <c r="D441" s="2" t="s">
        <v>67</v>
      </c>
      <c r="E441" s="2" t="s">
        <v>68</v>
      </c>
      <c r="F441" s="2" t="s">
        <v>65</v>
      </c>
      <c r="G441" s="3">
        <v>34195</v>
      </c>
      <c r="H441" s="2">
        <v>27</v>
      </c>
      <c r="I441" s="2" t="s">
        <v>26</v>
      </c>
      <c r="J441" s="2" t="s">
        <v>27</v>
      </c>
      <c r="K441" s="2" t="s">
        <v>37</v>
      </c>
      <c r="L441" s="2" t="s">
        <v>45</v>
      </c>
      <c r="M441" s="2" t="s">
        <v>38</v>
      </c>
      <c r="N441" s="2" t="s">
        <v>63</v>
      </c>
      <c r="O441" s="2" t="s">
        <v>64</v>
      </c>
      <c r="P441" s="2"/>
      <c r="Q441" s="2">
        <v>1</v>
      </c>
      <c r="R441" s="2">
        <v>1</v>
      </c>
      <c r="S441" s="2"/>
      <c r="T441" s="2"/>
      <c r="U441" s="3"/>
      <c r="V441" s="8">
        <v>100000</v>
      </c>
    </row>
    <row r="442" spans="1:22" ht="15" customHeight="1" x14ac:dyDescent="0.25">
      <c r="A442" s="7">
        <v>441</v>
      </c>
      <c r="B442" s="3">
        <v>43714</v>
      </c>
      <c r="C442" s="2" t="s">
        <v>22</v>
      </c>
      <c r="D442" s="2" t="s">
        <v>67</v>
      </c>
      <c r="E442" s="2" t="s">
        <v>68</v>
      </c>
      <c r="F442" s="2" t="s">
        <v>69</v>
      </c>
      <c r="G442" s="3">
        <v>32589</v>
      </c>
      <c r="H442" s="2">
        <v>31</v>
      </c>
      <c r="I442" s="2" t="s">
        <v>26</v>
      </c>
      <c r="J442" s="2" t="s">
        <v>70</v>
      </c>
      <c r="K442" s="2" t="s">
        <v>28</v>
      </c>
      <c r="L442" s="2" t="s">
        <v>45</v>
      </c>
      <c r="M442" s="2" t="s">
        <v>38</v>
      </c>
      <c r="N442" s="2" t="s">
        <v>39</v>
      </c>
      <c r="O442" s="2" t="s">
        <v>46</v>
      </c>
      <c r="P442" s="2" t="s">
        <v>84</v>
      </c>
      <c r="Q442" s="2">
        <v>1</v>
      </c>
      <c r="R442" s="2">
        <v>1</v>
      </c>
      <c r="S442" s="2">
        <v>1</v>
      </c>
      <c r="T442" s="2">
        <v>1</v>
      </c>
      <c r="U442" s="3">
        <v>43718</v>
      </c>
      <c r="V442" s="8">
        <v>200000</v>
      </c>
    </row>
    <row r="443" spans="1:22" ht="15" customHeight="1" x14ac:dyDescent="0.25">
      <c r="A443" s="7">
        <v>442</v>
      </c>
      <c r="B443" s="3">
        <v>43716</v>
      </c>
      <c r="C443" s="2" t="s">
        <v>57</v>
      </c>
      <c r="D443" s="2" t="s">
        <v>23</v>
      </c>
      <c r="E443" s="2" t="s">
        <v>24</v>
      </c>
      <c r="F443" s="2" t="s">
        <v>72</v>
      </c>
      <c r="G443" s="3">
        <v>33476</v>
      </c>
      <c r="H443" s="2">
        <v>29</v>
      </c>
      <c r="I443" s="2" t="s">
        <v>26</v>
      </c>
      <c r="J443" s="2" t="s">
        <v>73</v>
      </c>
      <c r="K443" s="2" t="s">
        <v>37</v>
      </c>
      <c r="L443" s="2" t="s">
        <v>45</v>
      </c>
      <c r="M443" s="2" t="s">
        <v>38</v>
      </c>
      <c r="N443" s="2" t="s">
        <v>39</v>
      </c>
      <c r="O443" s="2" t="s">
        <v>46</v>
      </c>
      <c r="P443" s="2" t="s">
        <v>47</v>
      </c>
      <c r="Q443" s="2">
        <v>1</v>
      </c>
      <c r="R443" s="2">
        <v>1</v>
      </c>
      <c r="S443" s="2"/>
      <c r="T443" s="2"/>
      <c r="U443" s="3"/>
      <c r="V443" s="8">
        <v>200000</v>
      </c>
    </row>
    <row r="444" spans="1:22" ht="15" customHeight="1" x14ac:dyDescent="0.25">
      <c r="A444" s="7">
        <v>443</v>
      </c>
      <c r="B444" s="3">
        <v>43717</v>
      </c>
      <c r="C444" s="2" t="s">
        <v>48</v>
      </c>
      <c r="D444" s="2" t="s">
        <v>67</v>
      </c>
      <c r="E444" s="2" t="s">
        <v>68</v>
      </c>
      <c r="F444" s="2" t="s">
        <v>74</v>
      </c>
      <c r="G444" s="3">
        <v>32558</v>
      </c>
      <c r="H444" s="2">
        <v>31</v>
      </c>
      <c r="I444" s="2" t="s">
        <v>26</v>
      </c>
      <c r="J444" s="2" t="s">
        <v>75</v>
      </c>
      <c r="K444" s="2" t="s">
        <v>37</v>
      </c>
      <c r="L444" s="2" t="s">
        <v>76</v>
      </c>
      <c r="M444" s="2" t="s">
        <v>38</v>
      </c>
      <c r="N444" s="2" t="s">
        <v>39</v>
      </c>
      <c r="O444" s="2" t="s">
        <v>40</v>
      </c>
      <c r="P444" s="2" t="s">
        <v>77</v>
      </c>
      <c r="Q444" s="2">
        <v>1</v>
      </c>
      <c r="R444" s="2">
        <v>1</v>
      </c>
      <c r="S444" s="2">
        <v>1</v>
      </c>
      <c r="T444" s="2"/>
      <c r="U444" s="3"/>
      <c r="V444" s="8"/>
    </row>
    <row r="445" spans="1:22" ht="15" customHeight="1" x14ac:dyDescent="0.25">
      <c r="A445" s="7">
        <v>444</v>
      </c>
      <c r="B445" s="3">
        <v>43717</v>
      </c>
      <c r="C445" s="2" t="s">
        <v>22</v>
      </c>
      <c r="D445" s="2" t="s">
        <v>67</v>
      </c>
      <c r="E445" s="2" t="s">
        <v>68</v>
      </c>
      <c r="F445" s="2" t="s">
        <v>122</v>
      </c>
      <c r="G445" s="3">
        <v>33041</v>
      </c>
      <c r="H445" s="2">
        <v>30</v>
      </c>
      <c r="I445" s="2" t="s">
        <v>26</v>
      </c>
      <c r="J445" s="2" t="s">
        <v>27</v>
      </c>
      <c r="K445" s="2" t="s">
        <v>37</v>
      </c>
      <c r="L445" s="2" t="s">
        <v>92</v>
      </c>
      <c r="M445" s="2" t="s">
        <v>38</v>
      </c>
      <c r="N445" s="2" t="s">
        <v>39</v>
      </c>
      <c r="O445" s="2" t="s">
        <v>40</v>
      </c>
      <c r="P445" s="2" t="s">
        <v>84</v>
      </c>
      <c r="Q445" s="2">
        <v>1</v>
      </c>
      <c r="R445" s="2"/>
      <c r="S445" s="2"/>
      <c r="T445" s="2"/>
      <c r="U445" s="3"/>
      <c r="V445" s="8">
        <v>200000</v>
      </c>
    </row>
    <row r="446" spans="1:22" ht="15" customHeight="1" x14ac:dyDescent="0.25">
      <c r="A446" s="7">
        <v>445</v>
      </c>
      <c r="B446" s="3">
        <v>43718</v>
      </c>
      <c r="C446" s="2" t="s">
        <v>57</v>
      </c>
      <c r="D446" s="2" t="s">
        <v>23</v>
      </c>
      <c r="E446" s="2" t="s">
        <v>24</v>
      </c>
      <c r="F446" s="2" t="s">
        <v>78</v>
      </c>
      <c r="G446" s="3">
        <v>33573</v>
      </c>
      <c r="H446" s="2">
        <v>28</v>
      </c>
      <c r="I446" s="2" t="s">
        <v>26</v>
      </c>
      <c r="J446" s="2" t="s">
        <v>79</v>
      </c>
      <c r="K446" s="2" t="s">
        <v>37</v>
      </c>
      <c r="L446" s="2" t="s">
        <v>45</v>
      </c>
      <c r="M446" s="2" t="s">
        <v>38</v>
      </c>
      <c r="N446" s="2" t="s">
        <v>89</v>
      </c>
      <c r="O446" s="2"/>
      <c r="P446" s="2"/>
      <c r="Q446" s="2">
        <v>1</v>
      </c>
      <c r="R446" s="2">
        <v>1</v>
      </c>
      <c r="S446" s="2"/>
      <c r="T446" s="2"/>
      <c r="U446" s="3"/>
      <c r="V446" s="8"/>
    </row>
    <row r="447" spans="1:22" ht="15" customHeight="1" x14ac:dyDescent="0.25">
      <c r="A447" s="7">
        <v>446</v>
      </c>
      <c r="B447" s="3">
        <v>43719</v>
      </c>
      <c r="C447" s="2" t="s">
        <v>57</v>
      </c>
      <c r="D447" s="2" t="s">
        <v>23</v>
      </c>
      <c r="E447" s="2" t="s">
        <v>24</v>
      </c>
      <c r="F447" s="2" t="s">
        <v>80</v>
      </c>
      <c r="G447" s="3">
        <v>33088</v>
      </c>
      <c r="H447" s="2">
        <v>30</v>
      </c>
      <c r="I447" s="2" t="s">
        <v>26</v>
      </c>
      <c r="J447" s="2" t="s">
        <v>75</v>
      </c>
      <c r="K447" s="2" t="s">
        <v>37</v>
      </c>
      <c r="L447" s="2" t="s">
        <v>45</v>
      </c>
      <c r="M447" s="2" t="s">
        <v>30</v>
      </c>
      <c r="N447" s="2" t="s">
        <v>81</v>
      </c>
      <c r="O447" s="2"/>
      <c r="P447" s="2"/>
      <c r="Q447" s="2">
        <v>1</v>
      </c>
      <c r="R447" s="2"/>
      <c r="S447" s="2"/>
      <c r="T447" s="2"/>
      <c r="U447" s="3"/>
      <c r="V447" s="8"/>
    </row>
    <row r="448" spans="1:22" ht="15" customHeight="1" x14ac:dyDescent="0.25">
      <c r="A448" s="7">
        <v>447</v>
      </c>
      <c r="B448" s="3">
        <v>43720</v>
      </c>
      <c r="C448" s="2" t="s">
        <v>66</v>
      </c>
      <c r="D448" s="2" t="s">
        <v>67</v>
      </c>
      <c r="E448" s="2" t="s">
        <v>68</v>
      </c>
      <c r="F448" s="2" t="s">
        <v>82</v>
      </c>
      <c r="G448" s="3">
        <v>33594</v>
      </c>
      <c r="H448" s="2">
        <v>28</v>
      </c>
      <c r="I448" s="2" t="s">
        <v>26</v>
      </c>
      <c r="J448" s="2" t="s">
        <v>83</v>
      </c>
      <c r="K448" s="2" t="s">
        <v>37</v>
      </c>
      <c r="L448" s="2" t="s">
        <v>45</v>
      </c>
      <c r="M448" s="2" t="s">
        <v>38</v>
      </c>
      <c r="N448" s="2" t="s">
        <v>39</v>
      </c>
      <c r="O448" s="2" t="s">
        <v>40</v>
      </c>
      <c r="P448" s="2" t="s">
        <v>84</v>
      </c>
      <c r="Q448" s="2">
        <v>1</v>
      </c>
      <c r="R448" s="2">
        <v>1</v>
      </c>
      <c r="S448" s="2"/>
      <c r="T448" s="2"/>
      <c r="U448" s="3"/>
      <c r="V448" s="8">
        <v>150000</v>
      </c>
    </row>
    <row r="449" spans="1:22" ht="15" customHeight="1" x14ac:dyDescent="0.25">
      <c r="A449" s="7">
        <v>448</v>
      </c>
      <c r="B449" s="3">
        <v>43721</v>
      </c>
      <c r="C449" s="2" t="s">
        <v>22</v>
      </c>
      <c r="D449" s="2" t="s">
        <v>67</v>
      </c>
      <c r="E449" s="2" t="s">
        <v>68</v>
      </c>
      <c r="F449" s="2" t="s">
        <v>117</v>
      </c>
      <c r="G449" s="3">
        <v>34021</v>
      </c>
      <c r="H449" s="2">
        <v>27</v>
      </c>
      <c r="I449" s="2" t="s">
        <v>26</v>
      </c>
      <c r="J449" s="2" t="s">
        <v>27</v>
      </c>
      <c r="K449" s="2" t="s">
        <v>28</v>
      </c>
      <c r="L449" s="2" t="s">
        <v>45</v>
      </c>
      <c r="M449" s="2" t="s">
        <v>38</v>
      </c>
      <c r="N449" s="2" t="s">
        <v>39</v>
      </c>
      <c r="O449" s="2" t="s">
        <v>46</v>
      </c>
      <c r="P449" s="2" t="s">
        <v>118</v>
      </c>
      <c r="Q449" s="2">
        <v>1</v>
      </c>
      <c r="R449" s="2">
        <v>1</v>
      </c>
      <c r="S449" s="2"/>
      <c r="T449" s="2"/>
      <c r="U449" s="3"/>
      <c r="V449" s="8"/>
    </row>
    <row r="450" spans="1:22" ht="15" customHeight="1" x14ac:dyDescent="0.25">
      <c r="A450" s="7">
        <v>449</v>
      </c>
      <c r="B450" s="3">
        <v>43723</v>
      </c>
      <c r="C450" s="2" t="s">
        <v>48</v>
      </c>
      <c r="D450" s="2" t="s">
        <v>67</v>
      </c>
      <c r="E450" s="2" t="s">
        <v>68</v>
      </c>
      <c r="F450" s="2" t="s">
        <v>121</v>
      </c>
      <c r="G450" s="3">
        <v>33041</v>
      </c>
      <c r="H450" s="2">
        <v>30</v>
      </c>
      <c r="I450" s="2" t="s">
        <v>26</v>
      </c>
      <c r="J450" s="2" t="s">
        <v>70</v>
      </c>
      <c r="K450" s="2" t="s">
        <v>91</v>
      </c>
      <c r="L450" s="2" t="s">
        <v>45</v>
      </c>
      <c r="M450" s="2" t="s">
        <v>30</v>
      </c>
      <c r="N450" s="2" t="s">
        <v>81</v>
      </c>
      <c r="O450" s="2"/>
      <c r="P450" s="2"/>
      <c r="Q450" s="2">
        <v>1</v>
      </c>
      <c r="R450" s="2">
        <v>1</v>
      </c>
      <c r="S450" s="2">
        <v>1</v>
      </c>
      <c r="T450" s="2"/>
      <c r="U450" s="3"/>
      <c r="V450" s="8"/>
    </row>
    <row r="451" spans="1:22" ht="15" customHeight="1" x14ac:dyDescent="0.25">
      <c r="A451" s="7">
        <v>450</v>
      </c>
      <c r="B451" s="3">
        <v>43723</v>
      </c>
      <c r="C451" s="2" t="s">
        <v>48</v>
      </c>
      <c r="D451" s="2" t="s">
        <v>67</v>
      </c>
      <c r="E451" s="2" t="s">
        <v>68</v>
      </c>
      <c r="F451" s="2" t="s">
        <v>119</v>
      </c>
      <c r="G451" s="3">
        <v>34295</v>
      </c>
      <c r="H451" s="2">
        <v>26</v>
      </c>
      <c r="I451" s="2" t="s">
        <v>26</v>
      </c>
      <c r="J451" s="2" t="s">
        <v>27</v>
      </c>
      <c r="K451" s="2" t="s">
        <v>37</v>
      </c>
      <c r="L451" s="2" t="s">
        <v>45</v>
      </c>
      <c r="M451" s="2" t="s">
        <v>38</v>
      </c>
      <c r="N451" s="2" t="s">
        <v>56</v>
      </c>
      <c r="O451" s="2"/>
      <c r="P451" s="2"/>
      <c r="Q451" s="2">
        <v>1</v>
      </c>
      <c r="R451" s="2"/>
      <c r="S451" s="2"/>
      <c r="T451" s="2"/>
      <c r="U451" s="3"/>
      <c r="V451" s="8"/>
    </row>
    <row r="452" spans="1:22" ht="15" customHeight="1" x14ac:dyDescent="0.25">
      <c r="A452" s="7">
        <v>451</v>
      </c>
      <c r="B452" s="3">
        <v>43723</v>
      </c>
      <c r="C452" s="2" t="s">
        <v>48</v>
      </c>
      <c r="D452" s="2" t="s">
        <v>67</v>
      </c>
      <c r="E452" s="2" t="s">
        <v>68</v>
      </c>
      <c r="F452" s="2" t="s">
        <v>121</v>
      </c>
      <c r="G452" s="3">
        <v>33041</v>
      </c>
      <c r="H452" s="2">
        <v>30</v>
      </c>
      <c r="I452" s="2" t="s">
        <v>26</v>
      </c>
      <c r="J452" s="2" t="s">
        <v>70</v>
      </c>
      <c r="K452" s="2" t="s">
        <v>91</v>
      </c>
      <c r="L452" s="2" t="s">
        <v>45</v>
      </c>
      <c r="M452" s="2" t="s">
        <v>30</v>
      </c>
      <c r="N452" s="2" t="s">
        <v>81</v>
      </c>
      <c r="O452" s="2"/>
      <c r="P452" s="2"/>
      <c r="Q452" s="2">
        <v>1</v>
      </c>
      <c r="R452" s="2">
        <v>1</v>
      </c>
      <c r="S452" s="2">
        <v>1</v>
      </c>
      <c r="T452" s="2"/>
      <c r="U452" s="3"/>
      <c r="V452" s="8"/>
    </row>
    <row r="453" spans="1:22" ht="15" customHeight="1" x14ac:dyDescent="0.25">
      <c r="A453" s="7">
        <v>452</v>
      </c>
      <c r="B453" s="3">
        <v>43724</v>
      </c>
      <c r="C453" s="2" t="s">
        <v>57</v>
      </c>
      <c r="D453" s="2" t="s">
        <v>23</v>
      </c>
      <c r="E453" s="2" t="s">
        <v>24</v>
      </c>
      <c r="F453" s="2" t="s">
        <v>120</v>
      </c>
      <c r="G453" s="3">
        <v>34118</v>
      </c>
      <c r="H453" s="2">
        <v>27</v>
      </c>
      <c r="I453" s="2" t="s">
        <v>26</v>
      </c>
      <c r="J453" s="2" t="s">
        <v>79</v>
      </c>
      <c r="K453" s="2" t="s">
        <v>28</v>
      </c>
      <c r="L453" s="2" t="s">
        <v>45</v>
      </c>
      <c r="M453" s="2" t="s">
        <v>38</v>
      </c>
      <c r="N453" s="2" t="s">
        <v>63</v>
      </c>
      <c r="O453" s="2" t="s">
        <v>64</v>
      </c>
      <c r="P453" s="2"/>
      <c r="Q453" s="2">
        <v>1</v>
      </c>
      <c r="R453" s="2"/>
      <c r="S453" s="2"/>
      <c r="T453" s="2"/>
      <c r="U453" s="3"/>
      <c r="V453" s="8">
        <v>100000</v>
      </c>
    </row>
    <row r="454" spans="1:22" ht="15" customHeight="1" x14ac:dyDescent="0.25">
      <c r="A454" s="7">
        <v>453</v>
      </c>
      <c r="B454" s="3">
        <v>43724</v>
      </c>
      <c r="C454" s="2" t="s">
        <v>48</v>
      </c>
      <c r="D454" s="2" t="s">
        <v>23</v>
      </c>
      <c r="E454" s="2" t="s">
        <v>24</v>
      </c>
      <c r="F454" s="2" t="s">
        <v>101</v>
      </c>
      <c r="G454" s="3">
        <v>33016</v>
      </c>
      <c r="H454" s="2">
        <v>30</v>
      </c>
      <c r="I454" s="2" t="s">
        <v>26</v>
      </c>
      <c r="J454" s="2" t="s">
        <v>93</v>
      </c>
      <c r="K454" s="2" t="s">
        <v>37</v>
      </c>
      <c r="L454" s="2" t="s">
        <v>45</v>
      </c>
      <c r="M454" s="2" t="s">
        <v>38</v>
      </c>
      <c r="N454" s="2" t="s">
        <v>39</v>
      </c>
      <c r="O454" s="2" t="s">
        <v>46</v>
      </c>
      <c r="P454" s="2" t="s">
        <v>95</v>
      </c>
      <c r="Q454" s="2">
        <v>1</v>
      </c>
      <c r="R454" s="2">
        <v>1</v>
      </c>
      <c r="S454" s="2"/>
      <c r="T454" s="2"/>
      <c r="U454" s="3"/>
      <c r="V454" s="8">
        <v>150000</v>
      </c>
    </row>
    <row r="455" spans="1:22" ht="15" customHeight="1" x14ac:dyDescent="0.25">
      <c r="A455" s="7">
        <v>454</v>
      </c>
      <c r="B455" s="3">
        <v>43725</v>
      </c>
      <c r="C455" s="2" t="s">
        <v>48</v>
      </c>
      <c r="D455" s="2" t="s">
        <v>23</v>
      </c>
      <c r="E455" s="2" t="s">
        <v>24</v>
      </c>
      <c r="F455" s="2" t="s">
        <v>86</v>
      </c>
      <c r="G455" s="3">
        <v>34384</v>
      </c>
      <c r="H455" s="2">
        <v>26</v>
      </c>
      <c r="I455" s="2" t="s">
        <v>87</v>
      </c>
      <c r="J455" s="2" t="s">
        <v>88</v>
      </c>
      <c r="K455" s="2" t="s">
        <v>37</v>
      </c>
      <c r="L455" s="2" t="s">
        <v>55</v>
      </c>
      <c r="M455" s="2" t="s">
        <v>38</v>
      </c>
      <c r="N455" s="2" t="s">
        <v>39</v>
      </c>
      <c r="O455" s="2" t="s">
        <v>46</v>
      </c>
      <c r="P455" s="2" t="s">
        <v>47</v>
      </c>
      <c r="Q455" s="2">
        <v>1</v>
      </c>
      <c r="R455" s="2">
        <v>1</v>
      </c>
      <c r="S455" s="2"/>
      <c r="T455" s="2"/>
      <c r="U455" s="3"/>
      <c r="V455" s="8">
        <v>200000</v>
      </c>
    </row>
    <row r="456" spans="1:22" ht="15" customHeight="1" x14ac:dyDescent="0.25">
      <c r="A456" s="7">
        <v>455</v>
      </c>
      <c r="B456" s="3">
        <v>43725</v>
      </c>
      <c r="C456" s="2" t="s">
        <v>48</v>
      </c>
      <c r="D456" s="2" t="s">
        <v>23</v>
      </c>
      <c r="E456" s="2" t="s">
        <v>24</v>
      </c>
      <c r="F456" s="2" t="s">
        <v>94</v>
      </c>
      <c r="G456" s="3">
        <v>33667</v>
      </c>
      <c r="H456" s="2">
        <v>28</v>
      </c>
      <c r="I456" s="2" t="s">
        <v>26</v>
      </c>
      <c r="J456" s="2" t="s">
        <v>27</v>
      </c>
      <c r="K456" s="2" t="s">
        <v>37</v>
      </c>
      <c r="L456" s="2" t="s">
        <v>92</v>
      </c>
      <c r="M456" s="2" t="s">
        <v>38</v>
      </c>
      <c r="N456" s="2" t="s">
        <v>39</v>
      </c>
      <c r="O456" s="2" t="s">
        <v>46</v>
      </c>
      <c r="P456" s="2" t="s">
        <v>95</v>
      </c>
      <c r="Q456" s="2">
        <v>1</v>
      </c>
      <c r="R456" s="2">
        <v>1</v>
      </c>
      <c r="S456" s="2"/>
      <c r="T456" s="2"/>
      <c r="U456" s="3"/>
      <c r="V456" s="8">
        <v>120000</v>
      </c>
    </row>
    <row r="457" spans="1:22" ht="15" customHeight="1" x14ac:dyDescent="0.25">
      <c r="A457" s="7">
        <v>456</v>
      </c>
      <c r="B457" s="3">
        <v>43726</v>
      </c>
      <c r="C457" s="2" t="s">
        <v>57</v>
      </c>
      <c r="D457" s="2" t="s">
        <v>23</v>
      </c>
      <c r="E457" s="2" t="s">
        <v>24</v>
      </c>
      <c r="F457" s="2" t="s">
        <v>117</v>
      </c>
      <c r="G457" s="3">
        <v>33144</v>
      </c>
      <c r="H457" s="2">
        <v>29</v>
      </c>
      <c r="I457" s="2" t="s">
        <v>87</v>
      </c>
      <c r="J457" s="2" t="s">
        <v>27</v>
      </c>
      <c r="K457" s="2" t="s">
        <v>37</v>
      </c>
      <c r="L457" s="2" t="s">
        <v>92</v>
      </c>
      <c r="M457" s="2" t="s">
        <v>38</v>
      </c>
      <c r="N457" s="2" t="s">
        <v>56</v>
      </c>
      <c r="O457" s="2"/>
      <c r="P457" s="2"/>
      <c r="Q457" s="2">
        <v>1</v>
      </c>
      <c r="R457" s="2"/>
      <c r="S457" s="2"/>
      <c r="T457" s="2"/>
      <c r="U457" s="3"/>
      <c r="V457" s="8"/>
    </row>
    <row r="458" spans="1:22" ht="15" customHeight="1" x14ac:dyDescent="0.25">
      <c r="A458" s="7">
        <v>457</v>
      </c>
      <c r="B458" s="3">
        <v>43726</v>
      </c>
      <c r="C458" s="2" t="s">
        <v>48</v>
      </c>
      <c r="D458" s="2" t="s">
        <v>67</v>
      </c>
      <c r="E458" s="2" t="s">
        <v>68</v>
      </c>
      <c r="F458" s="2" t="s">
        <v>96</v>
      </c>
      <c r="G458" s="3">
        <v>35008</v>
      </c>
      <c r="H458" s="2">
        <v>24</v>
      </c>
      <c r="I458" s="2" t="s">
        <v>26</v>
      </c>
      <c r="J458" s="2" t="s">
        <v>97</v>
      </c>
      <c r="K458" s="2" t="s">
        <v>37</v>
      </c>
      <c r="L458" s="2" t="s">
        <v>45</v>
      </c>
      <c r="M458" s="2" t="s">
        <v>38</v>
      </c>
      <c r="N458" s="2" t="s">
        <v>63</v>
      </c>
      <c r="O458" s="2" t="s">
        <v>64</v>
      </c>
      <c r="P458" s="2"/>
      <c r="Q458" s="2">
        <v>1</v>
      </c>
      <c r="R458" s="2">
        <v>1</v>
      </c>
      <c r="S458" s="2"/>
      <c r="T458" s="2"/>
      <c r="U458" s="3"/>
      <c r="V458" s="8">
        <v>100000</v>
      </c>
    </row>
    <row r="459" spans="1:22" ht="15" customHeight="1" x14ac:dyDescent="0.25">
      <c r="A459" s="7">
        <v>458</v>
      </c>
      <c r="B459" s="3">
        <v>43726</v>
      </c>
      <c r="C459" s="2" t="s">
        <v>48</v>
      </c>
      <c r="D459" s="2" t="s">
        <v>67</v>
      </c>
      <c r="E459" s="2" t="s">
        <v>68</v>
      </c>
      <c r="F459" s="2" t="s">
        <v>98</v>
      </c>
      <c r="G459" s="3">
        <v>34231</v>
      </c>
      <c r="H459" s="2">
        <v>26</v>
      </c>
      <c r="I459" s="2" t="s">
        <v>26</v>
      </c>
      <c r="J459" s="2" t="s">
        <v>88</v>
      </c>
      <c r="K459" s="2" t="s">
        <v>37</v>
      </c>
      <c r="L459" s="2" t="s">
        <v>45</v>
      </c>
      <c r="M459" s="2" t="s">
        <v>38</v>
      </c>
      <c r="N459" s="2" t="s">
        <v>63</v>
      </c>
      <c r="O459" s="2" t="s">
        <v>64</v>
      </c>
      <c r="P459" s="2"/>
      <c r="Q459" s="2">
        <v>1</v>
      </c>
      <c r="R459" s="2"/>
      <c r="S459" s="2"/>
      <c r="T459" s="2"/>
      <c r="U459" s="3"/>
      <c r="V459" s="8">
        <v>100000</v>
      </c>
    </row>
    <row r="460" spans="1:22" ht="15" customHeight="1" x14ac:dyDescent="0.25">
      <c r="A460" s="7">
        <v>459</v>
      </c>
      <c r="B460" s="3">
        <v>43726</v>
      </c>
      <c r="C460" s="2" t="s">
        <v>48</v>
      </c>
      <c r="D460" s="2" t="s">
        <v>67</v>
      </c>
      <c r="E460" s="2" t="s">
        <v>68</v>
      </c>
      <c r="F460" s="2" t="s">
        <v>98</v>
      </c>
      <c r="G460" s="3">
        <v>34231</v>
      </c>
      <c r="H460" s="2">
        <v>26</v>
      </c>
      <c r="I460" s="2" t="s">
        <v>26</v>
      </c>
      <c r="J460" s="2" t="s">
        <v>88</v>
      </c>
      <c r="K460" s="2" t="s">
        <v>37</v>
      </c>
      <c r="L460" s="2" t="s">
        <v>45</v>
      </c>
      <c r="M460" s="2" t="s">
        <v>38</v>
      </c>
      <c r="N460" s="2" t="s">
        <v>63</v>
      </c>
      <c r="O460" s="2" t="s">
        <v>64</v>
      </c>
      <c r="P460" s="2"/>
      <c r="Q460" s="2">
        <v>1</v>
      </c>
      <c r="R460" s="2"/>
      <c r="S460" s="2"/>
      <c r="T460" s="2"/>
      <c r="U460" s="3"/>
      <c r="V460" s="8">
        <v>100000</v>
      </c>
    </row>
    <row r="461" spans="1:22" ht="15" customHeight="1" x14ac:dyDescent="0.25">
      <c r="A461" s="7">
        <v>460</v>
      </c>
      <c r="B461" s="3">
        <v>43726</v>
      </c>
      <c r="C461" s="2" t="s">
        <v>66</v>
      </c>
      <c r="D461" s="2" t="s">
        <v>67</v>
      </c>
      <c r="E461" s="2" t="s">
        <v>68</v>
      </c>
      <c r="F461" s="2" t="s">
        <v>53</v>
      </c>
      <c r="G461" s="3">
        <v>32589</v>
      </c>
      <c r="H461" s="2">
        <v>31</v>
      </c>
      <c r="I461" s="2" t="s">
        <v>26</v>
      </c>
      <c r="J461" s="2" t="s">
        <v>50</v>
      </c>
      <c r="K461" s="2" t="s">
        <v>28</v>
      </c>
      <c r="L461" s="2" t="s">
        <v>45</v>
      </c>
      <c r="M461" s="2" t="s">
        <v>38</v>
      </c>
      <c r="N461" s="2" t="s">
        <v>39</v>
      </c>
      <c r="O461" s="2" t="s">
        <v>40</v>
      </c>
      <c r="P461" s="2" t="s">
        <v>41</v>
      </c>
      <c r="Q461" s="2">
        <v>1</v>
      </c>
      <c r="R461" s="2">
        <v>1</v>
      </c>
      <c r="S461" s="2">
        <v>1</v>
      </c>
      <c r="T461" s="2">
        <v>1</v>
      </c>
      <c r="U461" s="3">
        <v>43718</v>
      </c>
      <c r="V461" s="8"/>
    </row>
    <row r="462" spans="1:22" ht="15" customHeight="1" x14ac:dyDescent="0.25">
      <c r="A462" s="7">
        <v>461</v>
      </c>
      <c r="B462" s="3">
        <v>43727</v>
      </c>
      <c r="C462" s="2" t="s">
        <v>57</v>
      </c>
      <c r="D462" s="2" t="s">
        <v>23</v>
      </c>
      <c r="E462" s="2" t="s">
        <v>24</v>
      </c>
      <c r="F462" s="2" t="s">
        <v>99</v>
      </c>
      <c r="G462" s="3">
        <v>33577</v>
      </c>
      <c r="H462" s="2">
        <v>28</v>
      </c>
      <c r="I462" s="2" t="s">
        <v>26</v>
      </c>
      <c r="J462" s="2" t="s">
        <v>27</v>
      </c>
      <c r="K462" s="2" t="s">
        <v>37</v>
      </c>
      <c r="L462" s="2" t="s">
        <v>92</v>
      </c>
      <c r="M462" s="2" t="s">
        <v>38</v>
      </c>
      <c r="N462" s="2" t="s">
        <v>63</v>
      </c>
      <c r="O462" s="2" t="s">
        <v>64</v>
      </c>
      <c r="P462" s="2"/>
      <c r="Q462" s="2">
        <v>1</v>
      </c>
      <c r="R462" s="2">
        <v>1</v>
      </c>
      <c r="S462" s="2"/>
      <c r="T462" s="2"/>
      <c r="U462" s="3"/>
      <c r="V462" s="8">
        <v>100000</v>
      </c>
    </row>
    <row r="463" spans="1:22" ht="15" customHeight="1" x14ac:dyDescent="0.25">
      <c r="A463" s="7">
        <v>462</v>
      </c>
      <c r="B463" s="3">
        <v>43727</v>
      </c>
      <c r="C463" s="2" t="s">
        <v>66</v>
      </c>
      <c r="D463" s="2" t="s">
        <v>67</v>
      </c>
      <c r="E463" s="2" t="s">
        <v>68</v>
      </c>
      <c r="F463" s="2" t="s">
        <v>100</v>
      </c>
      <c r="G463" s="3">
        <v>33409</v>
      </c>
      <c r="H463" s="2">
        <v>29</v>
      </c>
      <c r="I463" s="2" t="s">
        <v>26</v>
      </c>
      <c r="J463" s="2" t="s">
        <v>75</v>
      </c>
      <c r="K463" s="2" t="s">
        <v>91</v>
      </c>
      <c r="L463" s="2" t="s">
        <v>55</v>
      </c>
      <c r="M463" s="2" t="s">
        <v>38</v>
      </c>
      <c r="N463" s="2" t="s">
        <v>39</v>
      </c>
      <c r="O463" s="2" t="s">
        <v>46</v>
      </c>
      <c r="P463" s="2" t="s">
        <v>84</v>
      </c>
      <c r="Q463" s="2">
        <v>1</v>
      </c>
      <c r="R463" s="2"/>
      <c r="S463" s="2"/>
      <c r="T463" s="2"/>
      <c r="U463" s="3"/>
      <c r="V463" s="8">
        <v>150000</v>
      </c>
    </row>
    <row r="464" spans="1:22" ht="15" customHeight="1" x14ac:dyDescent="0.25">
      <c r="A464" s="7">
        <v>463</v>
      </c>
      <c r="B464" s="3">
        <v>43728</v>
      </c>
      <c r="C464" s="2" t="s">
        <v>22</v>
      </c>
      <c r="D464" s="2" t="s">
        <v>67</v>
      </c>
      <c r="E464" s="2" t="s">
        <v>68</v>
      </c>
      <c r="F464" s="2" t="s">
        <v>60</v>
      </c>
      <c r="G464" s="3">
        <v>33409</v>
      </c>
      <c r="H464" s="2">
        <v>29</v>
      </c>
      <c r="I464" s="2" t="s">
        <v>26</v>
      </c>
      <c r="J464" s="2" t="s">
        <v>27</v>
      </c>
      <c r="K464" s="2" t="s">
        <v>37</v>
      </c>
      <c r="L464" s="2" t="s">
        <v>45</v>
      </c>
      <c r="M464" s="2" t="s">
        <v>30</v>
      </c>
      <c r="N464" s="2" t="s">
        <v>31</v>
      </c>
      <c r="O464" s="2"/>
      <c r="P464" s="2"/>
      <c r="Q464" s="2">
        <v>1</v>
      </c>
      <c r="R464" s="2"/>
      <c r="S464" s="2"/>
      <c r="T464" s="2"/>
      <c r="U464" s="3"/>
      <c r="V464" s="8"/>
    </row>
    <row r="465" spans="1:22" ht="15" customHeight="1" x14ac:dyDescent="0.25">
      <c r="A465" s="7">
        <v>464</v>
      </c>
      <c r="B465" s="3">
        <v>43728</v>
      </c>
      <c r="C465" s="2" t="s">
        <v>57</v>
      </c>
      <c r="D465" s="2" t="s">
        <v>23</v>
      </c>
      <c r="E465" s="2" t="s">
        <v>24</v>
      </c>
      <c r="F465" s="2" t="s">
        <v>101</v>
      </c>
      <c r="G465" s="3">
        <v>33840</v>
      </c>
      <c r="H465" s="2">
        <v>28</v>
      </c>
      <c r="I465" s="2" t="s">
        <v>87</v>
      </c>
      <c r="J465" s="2" t="s">
        <v>102</v>
      </c>
      <c r="K465" s="2" t="s">
        <v>37</v>
      </c>
      <c r="L465" s="2" t="s">
        <v>103</v>
      </c>
      <c r="M465" s="2" t="s">
        <v>38</v>
      </c>
      <c r="N465" s="2" t="s">
        <v>89</v>
      </c>
      <c r="O465" s="2"/>
      <c r="P465" s="2"/>
      <c r="Q465" s="2">
        <v>1</v>
      </c>
      <c r="R465" s="2">
        <v>1</v>
      </c>
      <c r="S465" s="2"/>
      <c r="T465" s="2"/>
      <c r="U465" s="3"/>
      <c r="V465" s="8"/>
    </row>
    <row r="466" spans="1:22" ht="15" customHeight="1" x14ac:dyDescent="0.25">
      <c r="A466" s="7">
        <v>465</v>
      </c>
      <c r="B466" s="3">
        <v>43728</v>
      </c>
      <c r="C466" s="2" t="s">
        <v>66</v>
      </c>
      <c r="D466" s="2" t="s">
        <v>67</v>
      </c>
      <c r="E466" s="2" t="s">
        <v>68</v>
      </c>
      <c r="F466" s="2" t="s">
        <v>104</v>
      </c>
      <c r="G466" s="3">
        <v>34542</v>
      </c>
      <c r="H466" s="2">
        <v>26</v>
      </c>
      <c r="I466" s="2" t="s">
        <v>26</v>
      </c>
      <c r="J466" s="2" t="s">
        <v>27</v>
      </c>
      <c r="K466" s="2" t="s">
        <v>91</v>
      </c>
      <c r="L466" s="2" t="s">
        <v>55</v>
      </c>
      <c r="M466" s="2" t="s">
        <v>38</v>
      </c>
      <c r="N466" s="2" t="s">
        <v>56</v>
      </c>
      <c r="O466" s="2"/>
      <c r="P466" s="2"/>
      <c r="Q466" s="2">
        <v>1</v>
      </c>
      <c r="R466" s="2">
        <v>1</v>
      </c>
      <c r="S466" s="2"/>
      <c r="T466" s="2"/>
      <c r="U466" s="3"/>
      <c r="V466" s="8"/>
    </row>
    <row r="467" spans="1:22" ht="15" customHeight="1" x14ac:dyDescent="0.25">
      <c r="A467" s="7">
        <v>466</v>
      </c>
      <c r="B467" s="3">
        <v>43728</v>
      </c>
      <c r="C467" s="2" t="s">
        <v>57</v>
      </c>
      <c r="D467" s="2" t="s">
        <v>23</v>
      </c>
      <c r="E467" s="2" t="s">
        <v>24</v>
      </c>
      <c r="F467" s="2" t="s">
        <v>101</v>
      </c>
      <c r="G467" s="3">
        <v>33840</v>
      </c>
      <c r="H467" s="2">
        <v>28</v>
      </c>
      <c r="I467" s="2" t="s">
        <v>87</v>
      </c>
      <c r="J467" s="2" t="s">
        <v>102</v>
      </c>
      <c r="K467" s="2" t="s">
        <v>37</v>
      </c>
      <c r="L467" s="2" t="s">
        <v>103</v>
      </c>
      <c r="M467" s="2" t="s">
        <v>38</v>
      </c>
      <c r="N467" s="2" t="s">
        <v>89</v>
      </c>
      <c r="O467" s="2"/>
      <c r="P467" s="2"/>
      <c r="Q467" s="2">
        <v>1</v>
      </c>
      <c r="R467" s="2">
        <v>1</v>
      </c>
      <c r="S467" s="2"/>
      <c r="T467" s="2"/>
      <c r="U467" s="3"/>
      <c r="V467" s="8"/>
    </row>
    <row r="468" spans="1:22" ht="15" customHeight="1" x14ac:dyDescent="0.25">
      <c r="A468" s="7">
        <v>467</v>
      </c>
      <c r="B468" s="3">
        <v>43728</v>
      </c>
      <c r="C468" s="2" t="s">
        <v>66</v>
      </c>
      <c r="D468" s="2" t="s">
        <v>67</v>
      </c>
      <c r="E468" s="2" t="s">
        <v>68</v>
      </c>
      <c r="F468" s="2" t="s">
        <v>104</v>
      </c>
      <c r="G468" s="3">
        <v>34542</v>
      </c>
      <c r="H468" s="2">
        <v>26</v>
      </c>
      <c r="I468" s="2" t="s">
        <v>26</v>
      </c>
      <c r="J468" s="2" t="s">
        <v>27</v>
      </c>
      <c r="K468" s="2" t="s">
        <v>91</v>
      </c>
      <c r="L468" s="2" t="s">
        <v>55</v>
      </c>
      <c r="M468" s="2" t="s">
        <v>38</v>
      </c>
      <c r="N468" s="2" t="s">
        <v>56</v>
      </c>
      <c r="O468" s="2"/>
      <c r="P468" s="2"/>
      <c r="Q468" s="2">
        <v>1</v>
      </c>
      <c r="R468" s="2">
        <v>1</v>
      </c>
      <c r="S468" s="2"/>
      <c r="T468" s="2"/>
      <c r="U468" s="3"/>
      <c r="V468" s="8"/>
    </row>
    <row r="469" spans="1:22" ht="15" customHeight="1" x14ac:dyDescent="0.25">
      <c r="A469" s="7">
        <v>468</v>
      </c>
      <c r="B469" s="3">
        <v>43728</v>
      </c>
      <c r="C469" s="2" t="s">
        <v>48</v>
      </c>
      <c r="D469" s="2" t="s">
        <v>23</v>
      </c>
      <c r="E469" s="2" t="s">
        <v>24</v>
      </c>
      <c r="F469" s="2" t="s">
        <v>105</v>
      </c>
      <c r="G469" s="3">
        <v>33144</v>
      </c>
      <c r="H469" s="2">
        <v>29</v>
      </c>
      <c r="I469" s="2" t="s">
        <v>26</v>
      </c>
      <c r="J469" s="2" t="s">
        <v>27</v>
      </c>
      <c r="K469" s="2" t="s">
        <v>37</v>
      </c>
      <c r="L469" s="2" t="s">
        <v>55</v>
      </c>
      <c r="M469" s="2" t="s">
        <v>30</v>
      </c>
      <c r="N469" s="2" t="s">
        <v>31</v>
      </c>
      <c r="O469" s="2"/>
      <c r="P469" s="2"/>
      <c r="Q469" s="2">
        <v>1</v>
      </c>
      <c r="R469" s="2">
        <v>1</v>
      </c>
      <c r="S469" s="2">
        <v>1</v>
      </c>
      <c r="T469" s="2">
        <v>1</v>
      </c>
      <c r="U469" s="3">
        <v>43728</v>
      </c>
      <c r="V469" s="8">
        <v>500000</v>
      </c>
    </row>
    <row r="470" spans="1:22" ht="15" customHeight="1" x14ac:dyDescent="0.25">
      <c r="A470" s="7">
        <v>469</v>
      </c>
      <c r="B470" s="3">
        <v>43728</v>
      </c>
      <c r="C470" s="2" t="s">
        <v>48</v>
      </c>
      <c r="D470" s="2" t="s">
        <v>23</v>
      </c>
      <c r="E470" s="2" t="s">
        <v>24</v>
      </c>
      <c r="F470" s="2" t="s">
        <v>54</v>
      </c>
      <c r="G470" s="3">
        <v>32996</v>
      </c>
      <c r="H470" s="2">
        <v>30</v>
      </c>
      <c r="I470" s="2" t="s">
        <v>26</v>
      </c>
      <c r="J470" s="2" t="s">
        <v>79</v>
      </c>
      <c r="K470" s="2" t="s">
        <v>91</v>
      </c>
      <c r="L470" s="2" t="s">
        <v>45</v>
      </c>
      <c r="M470" s="2" t="s">
        <v>30</v>
      </c>
      <c r="N470" s="2" t="s">
        <v>31</v>
      </c>
      <c r="O470" s="2"/>
      <c r="P470" s="2"/>
      <c r="Q470" s="2">
        <v>1</v>
      </c>
      <c r="R470" s="2">
        <v>1</v>
      </c>
      <c r="S470" s="2">
        <v>1</v>
      </c>
      <c r="T470" s="2">
        <v>1</v>
      </c>
      <c r="U470" s="3">
        <v>43729</v>
      </c>
      <c r="V470" s="8">
        <v>500000</v>
      </c>
    </row>
    <row r="471" spans="1:22" ht="15" customHeight="1" x14ac:dyDescent="0.25">
      <c r="A471" s="7">
        <v>470</v>
      </c>
      <c r="B471" s="3">
        <v>43729</v>
      </c>
      <c r="C471" s="2" t="s">
        <v>66</v>
      </c>
      <c r="D471" s="2" t="s">
        <v>67</v>
      </c>
      <c r="E471" s="2" t="s">
        <v>68</v>
      </c>
      <c r="F471" s="2" t="s">
        <v>106</v>
      </c>
      <c r="G471" s="3">
        <v>33868</v>
      </c>
      <c r="H471" s="2">
        <v>27</v>
      </c>
      <c r="I471" s="2" t="s">
        <v>26</v>
      </c>
      <c r="J471" s="2" t="s">
        <v>79</v>
      </c>
      <c r="K471" s="2" t="s">
        <v>91</v>
      </c>
      <c r="L471" s="2" t="s">
        <v>45</v>
      </c>
      <c r="M471" s="2" t="s">
        <v>30</v>
      </c>
      <c r="N471" s="2" t="s">
        <v>81</v>
      </c>
      <c r="O471" s="2"/>
      <c r="P471" s="2"/>
      <c r="Q471" s="2">
        <v>1</v>
      </c>
      <c r="R471" s="2">
        <v>1</v>
      </c>
      <c r="S471" s="2"/>
      <c r="T471" s="2"/>
      <c r="U471" s="3"/>
      <c r="V471" s="8"/>
    </row>
    <row r="472" spans="1:22" ht="15" customHeight="1" x14ac:dyDescent="0.25">
      <c r="A472" s="7">
        <v>471</v>
      </c>
      <c r="B472" s="3">
        <v>43729</v>
      </c>
      <c r="C472" s="2" t="s">
        <v>22</v>
      </c>
      <c r="D472" s="2" t="s">
        <v>67</v>
      </c>
      <c r="E472" s="2" t="s">
        <v>68</v>
      </c>
      <c r="F472" s="2" t="s">
        <v>107</v>
      </c>
      <c r="G472" s="3">
        <v>33429</v>
      </c>
      <c r="H472" s="2">
        <v>29</v>
      </c>
      <c r="I472" s="2" t="s">
        <v>87</v>
      </c>
      <c r="J472" s="2" t="s">
        <v>108</v>
      </c>
      <c r="K472" s="2" t="s">
        <v>37</v>
      </c>
      <c r="L472" s="2" t="s">
        <v>45</v>
      </c>
      <c r="M472" s="2" t="s">
        <v>30</v>
      </c>
      <c r="N472" s="2" t="s">
        <v>31</v>
      </c>
      <c r="O472" s="2"/>
      <c r="P472" s="2"/>
      <c r="Q472" s="2">
        <v>1</v>
      </c>
      <c r="R472" s="2"/>
      <c r="S472" s="2"/>
      <c r="T472" s="2"/>
      <c r="U472" s="3"/>
      <c r="V472" s="8"/>
    </row>
    <row r="473" spans="1:22" ht="15" customHeight="1" x14ac:dyDescent="0.25">
      <c r="A473" s="7">
        <v>472</v>
      </c>
      <c r="B473" s="3">
        <v>43729</v>
      </c>
      <c r="C473" s="2" t="s">
        <v>48</v>
      </c>
      <c r="D473" s="2" t="s">
        <v>23</v>
      </c>
      <c r="E473" s="2" t="s">
        <v>24</v>
      </c>
      <c r="F473" s="2" t="s">
        <v>69</v>
      </c>
      <c r="G473" s="3">
        <v>32996</v>
      </c>
      <c r="H473" s="2">
        <v>30</v>
      </c>
      <c r="I473" s="2" t="s">
        <v>26</v>
      </c>
      <c r="J473" s="2" t="s">
        <v>110</v>
      </c>
      <c r="K473" s="2" t="s">
        <v>37</v>
      </c>
      <c r="L473" s="2" t="s">
        <v>45</v>
      </c>
      <c r="M473" s="2" t="s">
        <v>30</v>
      </c>
      <c r="N473" s="2" t="s">
        <v>31</v>
      </c>
      <c r="O473" s="2"/>
      <c r="P473" s="2"/>
      <c r="Q473" s="2">
        <v>1</v>
      </c>
      <c r="R473" s="2">
        <v>1</v>
      </c>
      <c r="S473" s="2"/>
      <c r="T473" s="2"/>
      <c r="U473" s="3"/>
      <c r="V473" s="8"/>
    </row>
    <row r="474" spans="1:22" ht="15" customHeight="1" x14ac:dyDescent="0.25">
      <c r="A474" s="7">
        <v>473</v>
      </c>
      <c r="B474" s="3">
        <v>43729</v>
      </c>
      <c r="C474" s="2" t="s">
        <v>48</v>
      </c>
      <c r="D474" s="2" t="s">
        <v>67</v>
      </c>
      <c r="E474" s="2" t="s">
        <v>68</v>
      </c>
      <c r="F474" s="2" t="s">
        <v>109</v>
      </c>
      <c r="G474" s="3">
        <v>33302</v>
      </c>
      <c r="H474" s="2">
        <v>29</v>
      </c>
      <c r="I474" s="2" t="s">
        <v>26</v>
      </c>
      <c r="J474" s="2" t="s">
        <v>75</v>
      </c>
      <c r="K474" s="2" t="s">
        <v>91</v>
      </c>
      <c r="L474" s="2" t="s">
        <v>45</v>
      </c>
      <c r="M474" s="2" t="s">
        <v>30</v>
      </c>
      <c r="N474" s="2" t="s">
        <v>31</v>
      </c>
      <c r="O474" s="2"/>
      <c r="P474" s="2"/>
      <c r="Q474" s="2">
        <v>1</v>
      </c>
      <c r="R474" s="2"/>
      <c r="S474" s="2"/>
      <c r="T474" s="2"/>
      <c r="U474" s="3"/>
      <c r="V474" s="8"/>
    </row>
    <row r="475" spans="1:22" ht="15" customHeight="1" x14ac:dyDescent="0.25">
      <c r="A475" s="7">
        <v>474</v>
      </c>
      <c r="B475" s="3">
        <v>43729</v>
      </c>
      <c r="C475" s="2" t="s">
        <v>66</v>
      </c>
      <c r="D475" s="2" t="s">
        <v>67</v>
      </c>
      <c r="E475" s="2" t="s">
        <v>68</v>
      </c>
      <c r="F475" s="2" t="s">
        <v>106</v>
      </c>
      <c r="G475" s="3">
        <v>33868</v>
      </c>
      <c r="H475" s="2">
        <v>27</v>
      </c>
      <c r="I475" s="2" t="s">
        <v>26</v>
      </c>
      <c r="J475" s="2" t="s">
        <v>79</v>
      </c>
      <c r="K475" s="2" t="s">
        <v>91</v>
      </c>
      <c r="L475" s="2" t="s">
        <v>45</v>
      </c>
      <c r="M475" s="2" t="s">
        <v>30</v>
      </c>
      <c r="N475" s="2" t="s">
        <v>81</v>
      </c>
      <c r="O475" s="2"/>
      <c r="P475" s="2"/>
      <c r="Q475" s="2">
        <v>1</v>
      </c>
      <c r="R475" s="2">
        <v>1</v>
      </c>
      <c r="S475" s="2"/>
      <c r="T475" s="2"/>
      <c r="U475" s="3"/>
      <c r="V475" s="8"/>
    </row>
    <row r="476" spans="1:22" ht="15" customHeight="1" x14ac:dyDescent="0.25">
      <c r="A476" s="7">
        <v>475</v>
      </c>
      <c r="B476" s="3">
        <v>43729</v>
      </c>
      <c r="C476" s="2" t="s">
        <v>22</v>
      </c>
      <c r="D476" s="2" t="s">
        <v>67</v>
      </c>
      <c r="E476" s="2" t="s">
        <v>68</v>
      </c>
      <c r="F476" s="2" t="s">
        <v>107</v>
      </c>
      <c r="G476" s="3">
        <v>33429</v>
      </c>
      <c r="H476" s="2">
        <v>29</v>
      </c>
      <c r="I476" s="2" t="s">
        <v>87</v>
      </c>
      <c r="J476" s="2" t="s">
        <v>108</v>
      </c>
      <c r="K476" s="2" t="s">
        <v>37</v>
      </c>
      <c r="L476" s="2" t="s">
        <v>45</v>
      </c>
      <c r="M476" s="2" t="s">
        <v>30</v>
      </c>
      <c r="N476" s="2" t="s">
        <v>31</v>
      </c>
      <c r="O476" s="2"/>
      <c r="P476" s="2"/>
      <c r="Q476" s="2">
        <v>1</v>
      </c>
      <c r="R476" s="2"/>
      <c r="S476" s="2"/>
      <c r="T476" s="2"/>
      <c r="U476" s="3"/>
      <c r="V476" s="8"/>
    </row>
    <row r="477" spans="1:22" ht="15" customHeight="1" x14ac:dyDescent="0.25">
      <c r="A477" s="7">
        <v>476</v>
      </c>
      <c r="B477" s="3">
        <v>43729</v>
      </c>
      <c r="C477" s="2" t="s">
        <v>48</v>
      </c>
      <c r="D477" s="2" t="s">
        <v>23</v>
      </c>
      <c r="E477" s="2" t="s">
        <v>24</v>
      </c>
      <c r="F477" s="2" t="s">
        <v>69</v>
      </c>
      <c r="G477" s="3">
        <v>32996</v>
      </c>
      <c r="H477" s="2">
        <v>30</v>
      </c>
      <c r="I477" s="2" t="s">
        <v>26</v>
      </c>
      <c r="J477" s="2" t="s">
        <v>110</v>
      </c>
      <c r="K477" s="2" t="s">
        <v>37</v>
      </c>
      <c r="L477" s="2" t="s">
        <v>45</v>
      </c>
      <c r="M477" s="2" t="s">
        <v>30</v>
      </c>
      <c r="N477" s="2" t="s">
        <v>31</v>
      </c>
      <c r="O477" s="2"/>
      <c r="P477" s="2"/>
      <c r="Q477" s="2">
        <v>1</v>
      </c>
      <c r="R477" s="2">
        <v>1</v>
      </c>
      <c r="S477" s="2"/>
      <c r="T477" s="2"/>
      <c r="U477" s="3"/>
      <c r="V477" s="8"/>
    </row>
    <row r="478" spans="1:22" ht="15" customHeight="1" x14ac:dyDescent="0.25">
      <c r="A478" s="7">
        <v>477</v>
      </c>
      <c r="B478" s="3">
        <v>43729</v>
      </c>
      <c r="C478" s="2" t="s">
        <v>48</v>
      </c>
      <c r="D478" s="2" t="s">
        <v>67</v>
      </c>
      <c r="E478" s="2" t="s">
        <v>68</v>
      </c>
      <c r="F478" s="2" t="s">
        <v>109</v>
      </c>
      <c r="G478" s="3">
        <v>33302</v>
      </c>
      <c r="H478" s="2">
        <v>29</v>
      </c>
      <c r="I478" s="2" t="s">
        <v>26</v>
      </c>
      <c r="J478" s="2" t="s">
        <v>75</v>
      </c>
      <c r="K478" s="2" t="s">
        <v>91</v>
      </c>
      <c r="L478" s="2" t="s">
        <v>45</v>
      </c>
      <c r="M478" s="2" t="s">
        <v>30</v>
      </c>
      <c r="N478" s="2" t="s">
        <v>31</v>
      </c>
      <c r="O478" s="2"/>
      <c r="P478" s="2"/>
      <c r="Q478" s="2">
        <v>1</v>
      </c>
      <c r="R478" s="2"/>
      <c r="S478" s="2"/>
      <c r="T478" s="2"/>
      <c r="U478" s="3"/>
      <c r="V478" s="8"/>
    </row>
    <row r="479" spans="1:22" ht="15" customHeight="1" x14ac:dyDescent="0.25">
      <c r="A479" s="7">
        <v>478</v>
      </c>
      <c r="B479" s="3">
        <v>43729</v>
      </c>
      <c r="C479" s="2" t="s">
        <v>48</v>
      </c>
      <c r="D479" s="2" t="s">
        <v>67</v>
      </c>
      <c r="E479" s="2" t="s">
        <v>68</v>
      </c>
      <c r="F479" s="2" t="s">
        <v>111</v>
      </c>
      <c r="G479" s="3">
        <v>32919</v>
      </c>
      <c r="H479" s="2">
        <v>30</v>
      </c>
      <c r="I479" s="2" t="s">
        <v>87</v>
      </c>
      <c r="J479" s="2" t="s">
        <v>50</v>
      </c>
      <c r="K479" s="2" t="s">
        <v>91</v>
      </c>
      <c r="L479" s="2" t="s">
        <v>45</v>
      </c>
      <c r="M479" s="2" t="s">
        <v>38</v>
      </c>
      <c r="N479" s="2" t="s">
        <v>39</v>
      </c>
      <c r="O479" s="2" t="s">
        <v>40</v>
      </c>
      <c r="P479" s="2" t="s">
        <v>112</v>
      </c>
      <c r="Q479" s="2">
        <v>1</v>
      </c>
      <c r="R479" s="2">
        <v>1</v>
      </c>
      <c r="S479" s="2">
        <v>1</v>
      </c>
      <c r="T479" s="2"/>
      <c r="U479" s="3"/>
      <c r="V479" s="8"/>
    </row>
    <row r="480" spans="1:22" ht="15" customHeight="1" x14ac:dyDescent="0.25">
      <c r="A480" s="7">
        <v>479</v>
      </c>
      <c r="B480" s="3">
        <v>43729</v>
      </c>
      <c r="C480" s="2" t="s">
        <v>66</v>
      </c>
      <c r="D480" s="2" t="s">
        <v>67</v>
      </c>
      <c r="E480" s="2" t="s">
        <v>68</v>
      </c>
      <c r="F480" s="2" t="s">
        <v>113</v>
      </c>
      <c r="G480" s="3">
        <v>33302</v>
      </c>
      <c r="H480" s="2">
        <v>29</v>
      </c>
      <c r="I480" s="2" t="s">
        <v>26</v>
      </c>
      <c r="J480" s="2" t="s">
        <v>75</v>
      </c>
      <c r="K480" s="2" t="s">
        <v>91</v>
      </c>
      <c r="L480" s="2" t="s">
        <v>114</v>
      </c>
      <c r="M480" s="2" t="s">
        <v>38</v>
      </c>
      <c r="N480" s="2" t="s">
        <v>39</v>
      </c>
      <c r="O480" s="2" t="s">
        <v>46</v>
      </c>
      <c r="P480" s="2" t="s">
        <v>84</v>
      </c>
      <c r="Q480" s="2">
        <v>1</v>
      </c>
      <c r="R480" s="2">
        <v>1</v>
      </c>
      <c r="S480" s="2">
        <v>1</v>
      </c>
      <c r="T480" s="2">
        <v>1</v>
      </c>
      <c r="U480" s="3">
        <v>43733</v>
      </c>
      <c r="V480" s="8">
        <v>200000</v>
      </c>
    </row>
    <row r="481" spans="1:22" ht="15" customHeight="1" x14ac:dyDescent="0.25">
      <c r="A481" s="7">
        <v>480</v>
      </c>
      <c r="B481" s="3">
        <v>43730</v>
      </c>
      <c r="C481" s="2" t="s">
        <v>57</v>
      </c>
      <c r="D481" s="2" t="s">
        <v>23</v>
      </c>
      <c r="E481" s="2" t="s">
        <v>24</v>
      </c>
      <c r="F481" s="2" t="s">
        <v>115</v>
      </c>
      <c r="G481" s="3">
        <v>32589</v>
      </c>
      <c r="H481" s="2">
        <v>31</v>
      </c>
      <c r="I481" s="2" t="s">
        <v>26</v>
      </c>
      <c r="J481" s="2" t="s">
        <v>27</v>
      </c>
      <c r="K481" s="2" t="s">
        <v>37</v>
      </c>
      <c r="L481" s="2" t="s">
        <v>45</v>
      </c>
      <c r="M481" s="2" t="s">
        <v>38</v>
      </c>
      <c r="N481" s="2" t="s">
        <v>89</v>
      </c>
      <c r="O481" s="2"/>
      <c r="P481" s="2"/>
      <c r="Q481" s="2">
        <v>1</v>
      </c>
      <c r="R481" s="2"/>
      <c r="S481" s="2"/>
      <c r="T481" s="2"/>
      <c r="U481" s="3"/>
      <c r="V481" s="8"/>
    </row>
    <row r="482" spans="1:22" ht="15" customHeight="1" x14ac:dyDescent="0.25">
      <c r="A482" s="7">
        <v>481</v>
      </c>
      <c r="B482" s="3">
        <v>43730</v>
      </c>
      <c r="C482" s="2" t="s">
        <v>48</v>
      </c>
      <c r="D482" s="2" t="s">
        <v>23</v>
      </c>
      <c r="E482" s="2" t="s">
        <v>24</v>
      </c>
      <c r="F482" s="2" t="s">
        <v>116</v>
      </c>
      <c r="G482" s="3">
        <v>34652</v>
      </c>
      <c r="H482" s="2">
        <v>25</v>
      </c>
      <c r="I482" s="2" t="s">
        <v>26</v>
      </c>
      <c r="J482" s="2" t="s">
        <v>88</v>
      </c>
      <c r="K482" s="2" t="s">
        <v>91</v>
      </c>
      <c r="L482" s="2" t="s">
        <v>45</v>
      </c>
      <c r="M482" s="2" t="s">
        <v>38</v>
      </c>
      <c r="N482" s="2" t="s">
        <v>39</v>
      </c>
      <c r="O482" s="2" t="s">
        <v>46</v>
      </c>
      <c r="P482" s="2" t="s">
        <v>47</v>
      </c>
      <c r="Q482" s="2">
        <v>1</v>
      </c>
      <c r="R482" s="2"/>
      <c r="S482" s="2"/>
      <c r="T482" s="2"/>
      <c r="U482" s="3"/>
      <c r="V482" s="8">
        <v>200000</v>
      </c>
    </row>
    <row r="483" spans="1:22" ht="15" customHeight="1" x14ac:dyDescent="0.25">
      <c r="A483" s="7">
        <v>482</v>
      </c>
      <c r="B483" s="3">
        <v>43731</v>
      </c>
      <c r="C483" s="2" t="s">
        <v>66</v>
      </c>
      <c r="D483" s="2" t="s">
        <v>67</v>
      </c>
      <c r="E483" s="2" t="s">
        <v>68</v>
      </c>
      <c r="F483" s="2" t="s">
        <v>86</v>
      </c>
      <c r="G483" s="3">
        <v>31553</v>
      </c>
      <c r="H483" s="2">
        <v>34</v>
      </c>
      <c r="I483" s="2" t="s">
        <v>26</v>
      </c>
      <c r="J483" s="2" t="s">
        <v>27</v>
      </c>
      <c r="K483" s="2" t="s">
        <v>91</v>
      </c>
      <c r="L483" s="2" t="s">
        <v>45</v>
      </c>
      <c r="M483" s="2" t="s">
        <v>30</v>
      </c>
      <c r="N483" s="2" t="s">
        <v>31</v>
      </c>
      <c r="O483" s="2"/>
      <c r="P483" s="2"/>
      <c r="Q483" s="2">
        <v>1</v>
      </c>
      <c r="R483" s="2"/>
      <c r="S483" s="2"/>
      <c r="T483" s="2"/>
      <c r="U483" s="3"/>
      <c r="V483" s="8"/>
    </row>
    <row r="484" spans="1:22" ht="15" customHeight="1" x14ac:dyDescent="0.25">
      <c r="A484" s="7">
        <v>483</v>
      </c>
      <c r="B484" s="3">
        <v>43732</v>
      </c>
      <c r="C484" s="2" t="s">
        <v>22</v>
      </c>
      <c r="D484" s="2" t="s">
        <v>67</v>
      </c>
      <c r="E484" s="2" t="s">
        <v>68</v>
      </c>
      <c r="F484" s="2" t="s">
        <v>96</v>
      </c>
      <c r="G484" s="3">
        <v>33409</v>
      </c>
      <c r="H484" s="2">
        <v>29</v>
      </c>
      <c r="I484" s="2" t="s">
        <v>26</v>
      </c>
      <c r="J484" s="2" t="s">
        <v>110</v>
      </c>
      <c r="K484" s="2" t="s">
        <v>28</v>
      </c>
      <c r="L484" s="2" t="s">
        <v>114</v>
      </c>
      <c r="M484" s="2" t="s">
        <v>30</v>
      </c>
      <c r="N484" s="2" t="s">
        <v>81</v>
      </c>
      <c r="O484" s="2"/>
      <c r="P484" s="2"/>
      <c r="Q484" s="2">
        <v>1</v>
      </c>
      <c r="R484" s="2"/>
      <c r="S484" s="2"/>
      <c r="T484" s="2"/>
      <c r="U484" s="3"/>
      <c r="V484" s="8"/>
    </row>
    <row r="485" spans="1:22" ht="15" customHeight="1" x14ac:dyDescent="0.25">
      <c r="A485" s="7">
        <v>484</v>
      </c>
      <c r="B485" s="3">
        <v>43735</v>
      </c>
      <c r="C485" s="2" t="s">
        <v>66</v>
      </c>
      <c r="D485" s="2" t="s">
        <v>67</v>
      </c>
      <c r="E485" s="2" t="s">
        <v>68</v>
      </c>
      <c r="F485" s="2" t="s">
        <v>80</v>
      </c>
      <c r="G485" s="3">
        <v>33016</v>
      </c>
      <c r="H485" s="2">
        <v>30</v>
      </c>
      <c r="I485" s="2" t="s">
        <v>26</v>
      </c>
      <c r="J485" s="2" t="s">
        <v>61</v>
      </c>
      <c r="K485" s="2" t="s">
        <v>28</v>
      </c>
      <c r="L485" s="2" t="s">
        <v>92</v>
      </c>
      <c r="M485" s="2" t="s">
        <v>38</v>
      </c>
      <c r="N485" s="2" t="s">
        <v>63</v>
      </c>
      <c r="O485" s="2" t="s">
        <v>64</v>
      </c>
      <c r="P485" s="2"/>
      <c r="Q485" s="2">
        <v>1</v>
      </c>
      <c r="R485" s="2">
        <v>1</v>
      </c>
      <c r="S485" s="2"/>
      <c r="T485" s="2"/>
      <c r="U485" s="3"/>
      <c r="V485" s="8">
        <v>100000</v>
      </c>
    </row>
    <row r="486" spans="1:22" ht="15" customHeight="1" x14ac:dyDescent="0.25">
      <c r="A486" s="7">
        <v>485</v>
      </c>
      <c r="B486" s="3">
        <v>43739</v>
      </c>
      <c r="C486" s="2" t="s">
        <v>66</v>
      </c>
      <c r="D486" s="2" t="s">
        <v>67</v>
      </c>
      <c r="E486" s="2" t="s">
        <v>68</v>
      </c>
      <c r="F486" s="2" t="s">
        <v>25</v>
      </c>
      <c r="G486" s="3">
        <v>33409</v>
      </c>
      <c r="H486" s="2">
        <v>29</v>
      </c>
      <c r="I486" s="2" t="s">
        <v>26</v>
      </c>
      <c r="J486" s="2" t="s">
        <v>27</v>
      </c>
      <c r="K486" s="2" t="s">
        <v>28</v>
      </c>
      <c r="L486" s="2" t="s">
        <v>29</v>
      </c>
      <c r="M486" s="2" t="s">
        <v>30</v>
      </c>
      <c r="N486" s="2" t="s">
        <v>31</v>
      </c>
      <c r="O486" s="2"/>
      <c r="P486" s="2"/>
      <c r="Q486" s="2">
        <v>1</v>
      </c>
      <c r="R486" s="2"/>
      <c r="S486" s="2"/>
      <c r="T486" s="2"/>
      <c r="U486" s="3"/>
      <c r="V486" s="8"/>
    </row>
    <row r="487" spans="1:22" ht="15" customHeight="1" x14ac:dyDescent="0.25">
      <c r="A487" s="7">
        <v>486</v>
      </c>
      <c r="B487" s="3">
        <v>43739</v>
      </c>
      <c r="C487" s="2" t="s">
        <v>32</v>
      </c>
      <c r="D487" s="2" t="s">
        <v>71</v>
      </c>
      <c r="E487" s="2" t="s">
        <v>139</v>
      </c>
      <c r="F487" s="2" t="s">
        <v>35</v>
      </c>
      <c r="G487" s="3">
        <v>33016</v>
      </c>
      <c r="H487" s="2">
        <v>30</v>
      </c>
      <c r="I487" s="2" t="s">
        <v>26</v>
      </c>
      <c r="J487" s="2" t="s">
        <v>36</v>
      </c>
      <c r="K487" s="2" t="s">
        <v>37</v>
      </c>
      <c r="L487" s="2" t="s">
        <v>29</v>
      </c>
      <c r="M487" s="2" t="s">
        <v>38</v>
      </c>
      <c r="N487" s="2" t="s">
        <v>39</v>
      </c>
      <c r="O487" s="2" t="s">
        <v>40</v>
      </c>
      <c r="P487" s="2" t="s">
        <v>41</v>
      </c>
      <c r="Q487" s="2">
        <v>1</v>
      </c>
      <c r="R487" s="2"/>
      <c r="S487" s="2"/>
      <c r="T487" s="2"/>
      <c r="U487" s="3"/>
      <c r="V487" s="8"/>
    </row>
    <row r="488" spans="1:22" ht="15" customHeight="1" x14ac:dyDescent="0.25">
      <c r="A488" s="7">
        <v>487</v>
      </c>
      <c r="B488" s="3">
        <v>43740</v>
      </c>
      <c r="C488" s="2" t="s">
        <v>48</v>
      </c>
      <c r="D488" s="2" t="s">
        <v>23</v>
      </c>
      <c r="E488" s="2" t="s">
        <v>24</v>
      </c>
      <c r="F488" s="2" t="s">
        <v>44</v>
      </c>
      <c r="G488" s="3">
        <v>33327</v>
      </c>
      <c r="H488" s="2">
        <v>29</v>
      </c>
      <c r="I488" s="2" t="s">
        <v>26</v>
      </c>
      <c r="J488" s="2" t="s">
        <v>27</v>
      </c>
      <c r="K488" s="2" t="s">
        <v>37</v>
      </c>
      <c r="L488" s="2" t="s">
        <v>45</v>
      </c>
      <c r="M488" s="2" t="s">
        <v>38</v>
      </c>
      <c r="N488" s="2" t="s">
        <v>39</v>
      </c>
      <c r="O488" s="2" t="s">
        <v>40</v>
      </c>
      <c r="P488" s="2" t="s">
        <v>41</v>
      </c>
      <c r="Q488" s="2">
        <v>1</v>
      </c>
      <c r="R488" s="2">
        <v>1</v>
      </c>
      <c r="S488" s="2">
        <v>1</v>
      </c>
      <c r="T488" s="2">
        <v>1</v>
      </c>
      <c r="U488" s="3">
        <v>43746</v>
      </c>
      <c r="V488" s="8"/>
    </row>
    <row r="489" spans="1:22" ht="15" customHeight="1" x14ac:dyDescent="0.25">
      <c r="A489" s="7">
        <v>488</v>
      </c>
      <c r="B489" s="3">
        <v>43740</v>
      </c>
      <c r="C489" s="2" t="s">
        <v>57</v>
      </c>
      <c r="D489" s="2" t="s">
        <v>23</v>
      </c>
      <c r="E489" s="2" t="s">
        <v>24</v>
      </c>
      <c r="F489" s="2" t="s">
        <v>49</v>
      </c>
      <c r="G489" s="3">
        <v>32996</v>
      </c>
      <c r="H489" s="2">
        <v>30</v>
      </c>
      <c r="I489" s="2" t="s">
        <v>26</v>
      </c>
      <c r="J489" s="2" t="s">
        <v>50</v>
      </c>
      <c r="K489" s="2" t="s">
        <v>37</v>
      </c>
      <c r="L489" s="2" t="s">
        <v>45</v>
      </c>
      <c r="M489" s="2" t="s">
        <v>38</v>
      </c>
      <c r="N489" s="2" t="s">
        <v>39</v>
      </c>
      <c r="O489" s="2" t="s">
        <v>46</v>
      </c>
      <c r="P489" s="2" t="s">
        <v>84</v>
      </c>
      <c r="Q489" s="2">
        <v>1</v>
      </c>
      <c r="R489" s="2">
        <v>1</v>
      </c>
      <c r="S489" s="2">
        <v>1</v>
      </c>
      <c r="T489" s="2">
        <v>1</v>
      </c>
      <c r="U489" s="3">
        <v>43758</v>
      </c>
      <c r="V489" s="8">
        <v>200000</v>
      </c>
    </row>
    <row r="490" spans="1:22" ht="15" customHeight="1" x14ac:dyDescent="0.25">
      <c r="A490" s="7">
        <v>489</v>
      </c>
      <c r="B490" s="3">
        <v>43741</v>
      </c>
      <c r="C490" s="2" t="s">
        <v>57</v>
      </c>
      <c r="D490" s="2" t="s">
        <v>23</v>
      </c>
      <c r="E490" s="2" t="s">
        <v>24</v>
      </c>
      <c r="F490" s="2" t="s">
        <v>53</v>
      </c>
      <c r="G490" s="3">
        <v>33041</v>
      </c>
      <c r="H490" s="2">
        <v>30</v>
      </c>
      <c r="I490" s="2" t="s">
        <v>26</v>
      </c>
      <c r="J490" s="2" t="s">
        <v>50</v>
      </c>
      <c r="K490" s="2" t="s">
        <v>37</v>
      </c>
      <c r="L490" s="2" t="s">
        <v>45</v>
      </c>
      <c r="M490" s="2" t="s">
        <v>38</v>
      </c>
      <c r="N490" s="2" t="s">
        <v>63</v>
      </c>
      <c r="O490" s="2" t="s">
        <v>64</v>
      </c>
      <c r="P490" s="2"/>
      <c r="Q490" s="2">
        <v>1</v>
      </c>
      <c r="R490" s="2">
        <v>1</v>
      </c>
      <c r="S490" s="2">
        <v>1</v>
      </c>
      <c r="T490" s="2"/>
      <c r="U490" s="3"/>
      <c r="V490" s="8">
        <v>100000</v>
      </c>
    </row>
    <row r="491" spans="1:22" ht="15" customHeight="1" x14ac:dyDescent="0.25">
      <c r="A491" s="7">
        <v>490</v>
      </c>
      <c r="B491" s="3">
        <v>43742</v>
      </c>
      <c r="C491" s="2" t="s">
        <v>48</v>
      </c>
      <c r="D491" s="2" t="s">
        <v>67</v>
      </c>
      <c r="E491" s="2" t="s">
        <v>68</v>
      </c>
      <c r="F491" s="2" t="s">
        <v>54</v>
      </c>
      <c r="G491" s="3">
        <v>33132</v>
      </c>
      <c r="H491" s="2">
        <v>29</v>
      </c>
      <c r="I491" s="2" t="s">
        <v>26</v>
      </c>
      <c r="J491" s="2" t="s">
        <v>27</v>
      </c>
      <c r="K491" s="2" t="s">
        <v>37</v>
      </c>
      <c r="L491" s="2" t="s">
        <v>55</v>
      </c>
      <c r="M491" s="2" t="s">
        <v>38</v>
      </c>
      <c r="N491" s="2" t="s">
        <v>56</v>
      </c>
      <c r="O491" s="2"/>
      <c r="P491" s="2"/>
      <c r="Q491" s="2">
        <v>1</v>
      </c>
      <c r="R491" s="2"/>
      <c r="S491" s="2"/>
      <c r="T491" s="2"/>
      <c r="U491" s="3"/>
      <c r="V491" s="8"/>
    </row>
    <row r="492" spans="1:22" ht="15" customHeight="1" x14ac:dyDescent="0.25">
      <c r="A492" s="7">
        <v>491</v>
      </c>
      <c r="B492" s="3">
        <v>43742</v>
      </c>
      <c r="C492" s="2" t="s">
        <v>32</v>
      </c>
      <c r="D492" s="2" t="s">
        <v>71</v>
      </c>
      <c r="E492" s="2" t="s">
        <v>139</v>
      </c>
      <c r="F492" s="2" t="s">
        <v>58</v>
      </c>
      <c r="G492" s="3">
        <v>33144</v>
      </c>
      <c r="H492" s="2">
        <v>29</v>
      </c>
      <c r="I492" s="2" t="s">
        <v>26</v>
      </c>
      <c r="J492" s="2" t="s">
        <v>50</v>
      </c>
      <c r="K492" s="2" t="s">
        <v>28</v>
      </c>
      <c r="L492" s="2" t="s">
        <v>45</v>
      </c>
      <c r="M492" s="2" t="s">
        <v>38</v>
      </c>
      <c r="N492" s="2" t="s">
        <v>39</v>
      </c>
      <c r="O492" s="2" t="s">
        <v>46</v>
      </c>
      <c r="P492" s="2" t="s">
        <v>47</v>
      </c>
      <c r="Q492" s="2">
        <v>1</v>
      </c>
      <c r="R492" s="2"/>
      <c r="S492" s="2"/>
      <c r="T492" s="2"/>
      <c r="U492" s="3"/>
      <c r="V492" s="8">
        <v>200000</v>
      </c>
    </row>
    <row r="493" spans="1:22" ht="15" customHeight="1" x14ac:dyDescent="0.25">
      <c r="A493" s="7">
        <v>492</v>
      </c>
      <c r="B493" s="3">
        <v>43743</v>
      </c>
      <c r="C493" s="2" t="s">
        <v>48</v>
      </c>
      <c r="D493" s="2" t="s">
        <v>67</v>
      </c>
      <c r="E493" s="2" t="s">
        <v>68</v>
      </c>
      <c r="F493" s="2" t="s">
        <v>60</v>
      </c>
      <c r="G493" s="3">
        <v>32919</v>
      </c>
      <c r="H493" s="2">
        <v>30</v>
      </c>
      <c r="I493" s="2" t="s">
        <v>26</v>
      </c>
      <c r="J493" s="2" t="s">
        <v>61</v>
      </c>
      <c r="K493" s="2" t="s">
        <v>37</v>
      </c>
      <c r="L493" s="2" t="s">
        <v>62</v>
      </c>
      <c r="M493" s="2" t="s">
        <v>38</v>
      </c>
      <c r="N493" s="2" t="s">
        <v>63</v>
      </c>
      <c r="O493" s="2" t="s">
        <v>64</v>
      </c>
      <c r="P493" s="2"/>
      <c r="Q493" s="2">
        <v>1</v>
      </c>
      <c r="R493" s="2"/>
      <c r="S493" s="2"/>
      <c r="T493" s="2"/>
      <c r="U493" s="3"/>
      <c r="V493" s="8">
        <v>100000</v>
      </c>
    </row>
    <row r="494" spans="1:22" ht="15" customHeight="1" x14ac:dyDescent="0.25">
      <c r="A494" s="7">
        <v>493</v>
      </c>
      <c r="B494" s="3">
        <v>43744</v>
      </c>
      <c r="C494" s="2" t="s">
        <v>66</v>
      </c>
      <c r="D494" s="2" t="s">
        <v>67</v>
      </c>
      <c r="E494" s="2" t="s">
        <v>68</v>
      </c>
      <c r="F494" s="2" t="s">
        <v>65</v>
      </c>
      <c r="G494" s="3">
        <v>34195</v>
      </c>
      <c r="H494" s="2">
        <v>27</v>
      </c>
      <c r="I494" s="2" t="s">
        <v>26</v>
      </c>
      <c r="J494" s="2" t="s">
        <v>27</v>
      </c>
      <c r="K494" s="2" t="s">
        <v>37</v>
      </c>
      <c r="L494" s="2" t="s">
        <v>45</v>
      </c>
      <c r="M494" s="2" t="s">
        <v>38</v>
      </c>
      <c r="N494" s="2" t="s">
        <v>63</v>
      </c>
      <c r="O494" s="2" t="s">
        <v>64</v>
      </c>
      <c r="P494" s="2"/>
      <c r="Q494" s="2">
        <v>1</v>
      </c>
      <c r="R494" s="2">
        <v>1</v>
      </c>
      <c r="S494" s="2"/>
      <c r="T494" s="2"/>
      <c r="U494" s="3"/>
      <c r="V494" s="8">
        <v>100000</v>
      </c>
    </row>
    <row r="495" spans="1:22" ht="15" customHeight="1" x14ac:dyDescent="0.25">
      <c r="A495" s="7">
        <v>494</v>
      </c>
      <c r="B495" s="3">
        <v>43744</v>
      </c>
      <c r="C495" s="2" t="s">
        <v>57</v>
      </c>
      <c r="D495" s="2" t="s">
        <v>23</v>
      </c>
      <c r="E495" s="2" t="s">
        <v>24</v>
      </c>
      <c r="F495" s="2" t="s">
        <v>69</v>
      </c>
      <c r="G495" s="3">
        <v>32589</v>
      </c>
      <c r="H495" s="2">
        <v>31</v>
      </c>
      <c r="I495" s="2" t="s">
        <v>26</v>
      </c>
      <c r="J495" s="2" t="s">
        <v>70</v>
      </c>
      <c r="K495" s="2" t="s">
        <v>28</v>
      </c>
      <c r="L495" s="2" t="s">
        <v>45</v>
      </c>
      <c r="M495" s="2" t="s">
        <v>38</v>
      </c>
      <c r="N495" s="2" t="s">
        <v>63</v>
      </c>
      <c r="O495" s="2" t="s">
        <v>64</v>
      </c>
      <c r="P495" s="2"/>
      <c r="Q495" s="2">
        <v>1</v>
      </c>
      <c r="R495" s="2">
        <v>1</v>
      </c>
      <c r="S495" s="2">
        <v>1</v>
      </c>
      <c r="T495" s="2"/>
      <c r="U495" s="3"/>
      <c r="V495" s="8">
        <v>100000</v>
      </c>
    </row>
    <row r="496" spans="1:22" ht="15" customHeight="1" x14ac:dyDescent="0.25">
      <c r="A496" s="7">
        <v>495</v>
      </c>
      <c r="B496" s="3">
        <v>43744</v>
      </c>
      <c r="C496" s="2" t="s">
        <v>66</v>
      </c>
      <c r="D496" s="2" t="s">
        <v>67</v>
      </c>
      <c r="E496" s="2" t="s">
        <v>68</v>
      </c>
      <c r="F496" s="2" t="s">
        <v>65</v>
      </c>
      <c r="G496" s="3">
        <v>34195</v>
      </c>
      <c r="H496" s="2">
        <v>27</v>
      </c>
      <c r="I496" s="2" t="s">
        <v>26</v>
      </c>
      <c r="J496" s="2" t="s">
        <v>27</v>
      </c>
      <c r="K496" s="2" t="s">
        <v>37</v>
      </c>
      <c r="L496" s="2" t="s">
        <v>45</v>
      </c>
      <c r="M496" s="2" t="s">
        <v>38</v>
      </c>
      <c r="N496" s="2" t="s">
        <v>63</v>
      </c>
      <c r="O496" s="2" t="s">
        <v>64</v>
      </c>
      <c r="P496" s="2"/>
      <c r="Q496" s="2">
        <v>1</v>
      </c>
      <c r="R496" s="2">
        <v>1</v>
      </c>
      <c r="S496" s="2"/>
      <c r="T496" s="2"/>
      <c r="U496" s="3"/>
      <c r="V496" s="8">
        <v>100000</v>
      </c>
    </row>
    <row r="497" spans="1:22" ht="15" customHeight="1" x14ac:dyDescent="0.25">
      <c r="A497" s="7">
        <v>496</v>
      </c>
      <c r="B497" s="3">
        <v>43746</v>
      </c>
      <c r="C497" s="2" t="s">
        <v>48</v>
      </c>
      <c r="D497" s="2" t="s">
        <v>67</v>
      </c>
      <c r="E497" s="2" t="s">
        <v>68</v>
      </c>
      <c r="F497" s="2" t="s">
        <v>72</v>
      </c>
      <c r="G497" s="3">
        <v>33476</v>
      </c>
      <c r="H497" s="2">
        <v>29</v>
      </c>
      <c r="I497" s="2" t="s">
        <v>26</v>
      </c>
      <c r="J497" s="2" t="s">
        <v>73</v>
      </c>
      <c r="K497" s="2" t="s">
        <v>37</v>
      </c>
      <c r="L497" s="2" t="s">
        <v>45</v>
      </c>
      <c r="M497" s="2" t="s">
        <v>38</v>
      </c>
      <c r="N497" s="2" t="s">
        <v>39</v>
      </c>
      <c r="O497" s="2" t="s">
        <v>46</v>
      </c>
      <c r="P497" s="2" t="s">
        <v>47</v>
      </c>
      <c r="Q497" s="2">
        <v>1</v>
      </c>
      <c r="R497" s="2"/>
      <c r="S497" s="2"/>
      <c r="T497" s="2"/>
      <c r="U497" s="3"/>
      <c r="V497" s="8">
        <v>200000</v>
      </c>
    </row>
    <row r="498" spans="1:22" ht="15" customHeight="1" x14ac:dyDescent="0.25">
      <c r="A498" s="7">
        <v>497</v>
      </c>
      <c r="B498" s="3">
        <v>43747</v>
      </c>
      <c r="C498" s="2" t="s">
        <v>22</v>
      </c>
      <c r="D498" s="2" t="s">
        <v>67</v>
      </c>
      <c r="E498" s="2" t="s">
        <v>68</v>
      </c>
      <c r="F498" s="2" t="s">
        <v>122</v>
      </c>
      <c r="G498" s="3">
        <v>33041</v>
      </c>
      <c r="H498" s="2">
        <v>30</v>
      </c>
      <c r="I498" s="2" t="s">
        <v>26</v>
      </c>
      <c r="J498" s="2" t="s">
        <v>27</v>
      </c>
      <c r="K498" s="2" t="s">
        <v>37</v>
      </c>
      <c r="L498" s="2" t="s">
        <v>92</v>
      </c>
      <c r="M498" s="2" t="s">
        <v>38</v>
      </c>
      <c r="N498" s="2" t="s">
        <v>39</v>
      </c>
      <c r="O498" s="2" t="s">
        <v>40</v>
      </c>
      <c r="P498" s="2" t="s">
        <v>84</v>
      </c>
      <c r="Q498" s="2">
        <v>1</v>
      </c>
      <c r="R498" s="2"/>
      <c r="S498" s="2"/>
      <c r="T498" s="2"/>
      <c r="U498" s="3"/>
      <c r="V498" s="8">
        <v>200000</v>
      </c>
    </row>
    <row r="499" spans="1:22" ht="15" customHeight="1" x14ac:dyDescent="0.25">
      <c r="A499" s="7">
        <v>498</v>
      </c>
      <c r="B499" s="3">
        <v>43747</v>
      </c>
      <c r="C499" s="2" t="s">
        <v>22</v>
      </c>
      <c r="D499" s="2" t="s">
        <v>67</v>
      </c>
      <c r="E499" s="2" t="s">
        <v>68</v>
      </c>
      <c r="F499" s="2" t="s">
        <v>74</v>
      </c>
      <c r="G499" s="3">
        <v>32558</v>
      </c>
      <c r="H499" s="2">
        <v>31</v>
      </c>
      <c r="I499" s="2" t="s">
        <v>26</v>
      </c>
      <c r="J499" s="2" t="s">
        <v>75</v>
      </c>
      <c r="K499" s="2" t="s">
        <v>37</v>
      </c>
      <c r="L499" s="2" t="s">
        <v>76</v>
      </c>
      <c r="M499" s="2" t="s">
        <v>38</v>
      </c>
      <c r="N499" s="2" t="s">
        <v>39</v>
      </c>
      <c r="O499" s="2" t="s">
        <v>40</v>
      </c>
      <c r="P499" s="2" t="s">
        <v>77</v>
      </c>
      <c r="Q499" s="2">
        <v>1</v>
      </c>
      <c r="R499" s="2">
        <v>1</v>
      </c>
      <c r="S499" s="2">
        <v>1</v>
      </c>
      <c r="T499" s="2">
        <v>1</v>
      </c>
      <c r="U499" s="3">
        <v>43750</v>
      </c>
      <c r="V499" s="8"/>
    </row>
    <row r="500" spans="1:22" ht="15" customHeight="1" x14ac:dyDescent="0.25">
      <c r="A500" s="7">
        <v>499</v>
      </c>
      <c r="B500" s="3">
        <v>43748</v>
      </c>
      <c r="C500" s="2" t="s">
        <v>48</v>
      </c>
      <c r="D500" s="2" t="s">
        <v>23</v>
      </c>
      <c r="E500" s="2" t="s">
        <v>24</v>
      </c>
      <c r="F500" s="2" t="s">
        <v>78</v>
      </c>
      <c r="G500" s="3">
        <v>33573</v>
      </c>
      <c r="H500" s="2">
        <v>28</v>
      </c>
      <c r="I500" s="2" t="s">
        <v>26</v>
      </c>
      <c r="J500" s="2" t="s">
        <v>79</v>
      </c>
      <c r="K500" s="2" t="s">
        <v>37</v>
      </c>
      <c r="L500" s="2" t="s">
        <v>45</v>
      </c>
      <c r="M500" s="2" t="s">
        <v>38</v>
      </c>
      <c r="N500" s="2" t="s">
        <v>89</v>
      </c>
      <c r="O500" s="2"/>
      <c r="P500" s="2"/>
      <c r="Q500" s="2">
        <v>1</v>
      </c>
      <c r="R500" s="2">
        <v>1</v>
      </c>
      <c r="S500" s="2"/>
      <c r="T500" s="2"/>
      <c r="U500" s="3"/>
      <c r="V500" s="8"/>
    </row>
    <row r="501" spans="1:22" ht="15" customHeight="1" x14ac:dyDescent="0.25">
      <c r="A501" s="7">
        <v>500</v>
      </c>
      <c r="B501" s="3">
        <v>43749</v>
      </c>
      <c r="C501" s="2" t="s">
        <v>32</v>
      </c>
      <c r="D501" s="2" t="s">
        <v>71</v>
      </c>
      <c r="E501" s="2" t="s">
        <v>139</v>
      </c>
      <c r="F501" s="2" t="s">
        <v>80</v>
      </c>
      <c r="G501" s="3">
        <v>33088</v>
      </c>
      <c r="H501" s="2">
        <v>30</v>
      </c>
      <c r="I501" s="2" t="s">
        <v>26</v>
      </c>
      <c r="J501" s="2" t="s">
        <v>75</v>
      </c>
      <c r="K501" s="2" t="s">
        <v>37</v>
      </c>
      <c r="L501" s="2" t="s">
        <v>45</v>
      </c>
      <c r="M501" s="2" t="s">
        <v>30</v>
      </c>
      <c r="N501" s="2" t="s">
        <v>81</v>
      </c>
      <c r="O501" s="2"/>
      <c r="P501" s="2"/>
      <c r="Q501" s="2">
        <v>1</v>
      </c>
      <c r="R501" s="2"/>
      <c r="S501" s="2"/>
      <c r="T501" s="2"/>
      <c r="U501" s="3"/>
      <c r="V501" s="8"/>
    </row>
    <row r="502" spans="1:22" ht="15" customHeight="1" x14ac:dyDescent="0.25">
      <c r="A502" s="7">
        <v>501</v>
      </c>
      <c r="B502" s="3">
        <v>43750</v>
      </c>
      <c r="C502" s="2" t="s">
        <v>48</v>
      </c>
      <c r="D502" s="2" t="s">
        <v>23</v>
      </c>
      <c r="E502" s="2" t="s">
        <v>24</v>
      </c>
      <c r="F502" s="2" t="s">
        <v>82</v>
      </c>
      <c r="G502" s="3">
        <v>33594</v>
      </c>
      <c r="H502" s="2">
        <v>28</v>
      </c>
      <c r="I502" s="2" t="s">
        <v>26</v>
      </c>
      <c r="J502" s="2" t="s">
        <v>83</v>
      </c>
      <c r="K502" s="2" t="s">
        <v>37</v>
      </c>
      <c r="L502" s="2" t="s">
        <v>45</v>
      </c>
      <c r="M502" s="2" t="s">
        <v>38</v>
      </c>
      <c r="N502" s="2" t="s">
        <v>39</v>
      </c>
      <c r="O502" s="2" t="s">
        <v>40</v>
      </c>
      <c r="P502" s="2" t="s">
        <v>84</v>
      </c>
      <c r="Q502" s="2">
        <v>1</v>
      </c>
      <c r="R502" s="2">
        <v>1</v>
      </c>
      <c r="S502" s="2"/>
      <c r="T502" s="2"/>
      <c r="U502" s="3"/>
      <c r="V502" s="8">
        <v>200000</v>
      </c>
    </row>
    <row r="503" spans="1:22" ht="15" customHeight="1" x14ac:dyDescent="0.25">
      <c r="A503" s="7">
        <v>502</v>
      </c>
      <c r="B503" s="3">
        <v>43751</v>
      </c>
      <c r="C503" s="2" t="s">
        <v>48</v>
      </c>
      <c r="D503" s="2" t="s">
        <v>23</v>
      </c>
      <c r="E503" s="2" t="s">
        <v>24</v>
      </c>
      <c r="F503" s="2" t="s">
        <v>117</v>
      </c>
      <c r="G503" s="3">
        <v>34021</v>
      </c>
      <c r="H503" s="2">
        <v>27</v>
      </c>
      <c r="I503" s="2" t="s">
        <v>26</v>
      </c>
      <c r="J503" s="2" t="s">
        <v>27</v>
      </c>
      <c r="K503" s="2" t="s">
        <v>28</v>
      </c>
      <c r="L503" s="2" t="s">
        <v>45</v>
      </c>
      <c r="M503" s="2" t="s">
        <v>38</v>
      </c>
      <c r="N503" s="2" t="s">
        <v>39</v>
      </c>
      <c r="O503" s="2" t="s">
        <v>46</v>
      </c>
      <c r="P503" s="2" t="s">
        <v>118</v>
      </c>
      <c r="Q503" s="2">
        <v>1</v>
      </c>
      <c r="R503" s="2">
        <v>1</v>
      </c>
      <c r="S503" s="2">
        <v>1</v>
      </c>
      <c r="T503" s="2">
        <v>1</v>
      </c>
      <c r="U503" s="3">
        <v>43747</v>
      </c>
      <c r="V503" s="8"/>
    </row>
    <row r="504" spans="1:22" ht="15" customHeight="1" x14ac:dyDescent="0.25">
      <c r="A504" s="7">
        <v>503</v>
      </c>
      <c r="B504" s="3">
        <v>43753</v>
      </c>
      <c r="C504" s="2" t="s">
        <v>48</v>
      </c>
      <c r="D504" s="2" t="s">
        <v>67</v>
      </c>
      <c r="E504" s="2" t="s">
        <v>68</v>
      </c>
      <c r="F504" s="2" t="s">
        <v>119</v>
      </c>
      <c r="G504" s="3">
        <v>34295</v>
      </c>
      <c r="H504" s="2">
        <v>26</v>
      </c>
      <c r="I504" s="2" t="s">
        <v>26</v>
      </c>
      <c r="J504" s="2" t="s">
        <v>27</v>
      </c>
      <c r="K504" s="2" t="s">
        <v>37</v>
      </c>
      <c r="L504" s="2" t="s">
        <v>45</v>
      </c>
      <c r="M504" s="2" t="s">
        <v>38</v>
      </c>
      <c r="N504" s="2" t="s">
        <v>56</v>
      </c>
      <c r="O504" s="2"/>
      <c r="P504" s="2"/>
      <c r="Q504" s="2">
        <v>1</v>
      </c>
      <c r="R504" s="2"/>
      <c r="S504" s="2"/>
      <c r="T504" s="2"/>
      <c r="U504" s="3"/>
      <c r="V504" s="8"/>
    </row>
    <row r="505" spans="1:22" ht="15" customHeight="1" x14ac:dyDescent="0.25">
      <c r="A505" s="7">
        <v>504</v>
      </c>
      <c r="B505" s="3">
        <v>43753</v>
      </c>
      <c r="C505" s="2" t="s">
        <v>32</v>
      </c>
      <c r="D505" s="2" t="s">
        <v>71</v>
      </c>
      <c r="E505" s="2" t="s">
        <v>139</v>
      </c>
      <c r="F505" s="2" t="s">
        <v>121</v>
      </c>
      <c r="G505" s="3">
        <v>33041</v>
      </c>
      <c r="H505" s="2">
        <v>30</v>
      </c>
      <c r="I505" s="2" t="s">
        <v>26</v>
      </c>
      <c r="J505" s="2" t="s">
        <v>70</v>
      </c>
      <c r="K505" s="2" t="s">
        <v>91</v>
      </c>
      <c r="L505" s="2" t="s">
        <v>45</v>
      </c>
      <c r="M505" s="2" t="s">
        <v>30</v>
      </c>
      <c r="N505" s="2" t="s">
        <v>81</v>
      </c>
      <c r="O505" s="2"/>
      <c r="P505" s="2"/>
      <c r="Q505" s="2">
        <v>1</v>
      </c>
      <c r="R505" s="2">
        <v>1</v>
      </c>
      <c r="S505" s="2"/>
      <c r="T505" s="2"/>
      <c r="U505" s="3"/>
      <c r="V505" s="8"/>
    </row>
    <row r="506" spans="1:22" ht="15" customHeight="1" x14ac:dyDescent="0.25">
      <c r="A506" s="7">
        <v>505</v>
      </c>
      <c r="B506" s="3">
        <v>43754</v>
      </c>
      <c r="C506" s="2" t="s">
        <v>57</v>
      </c>
      <c r="D506" s="2" t="s">
        <v>23</v>
      </c>
      <c r="E506" s="2" t="s">
        <v>24</v>
      </c>
      <c r="F506" s="2" t="s">
        <v>120</v>
      </c>
      <c r="G506" s="3">
        <v>34118</v>
      </c>
      <c r="H506" s="2">
        <v>27</v>
      </c>
      <c r="I506" s="2" t="s">
        <v>26</v>
      </c>
      <c r="J506" s="2" t="s">
        <v>79</v>
      </c>
      <c r="K506" s="2" t="s">
        <v>28</v>
      </c>
      <c r="L506" s="2" t="s">
        <v>45</v>
      </c>
      <c r="M506" s="2" t="s">
        <v>38</v>
      </c>
      <c r="N506" s="2" t="s">
        <v>63</v>
      </c>
      <c r="O506" s="2" t="s">
        <v>64</v>
      </c>
      <c r="P506" s="2"/>
      <c r="Q506" s="2">
        <v>1</v>
      </c>
      <c r="R506" s="2"/>
      <c r="S506" s="2"/>
      <c r="T506" s="2"/>
      <c r="U506" s="3"/>
      <c r="V506" s="8">
        <v>100000</v>
      </c>
    </row>
    <row r="507" spans="1:22" ht="15" customHeight="1" x14ac:dyDescent="0.25">
      <c r="A507" s="7">
        <v>506</v>
      </c>
      <c r="B507" s="3">
        <v>43754</v>
      </c>
      <c r="C507" s="2" t="s">
        <v>22</v>
      </c>
      <c r="D507" s="2" t="s">
        <v>67</v>
      </c>
      <c r="E507" s="2" t="s">
        <v>68</v>
      </c>
      <c r="F507" s="2" t="s">
        <v>101</v>
      </c>
      <c r="G507" s="3">
        <v>33016</v>
      </c>
      <c r="H507" s="2">
        <v>30</v>
      </c>
      <c r="I507" s="2" t="s">
        <v>26</v>
      </c>
      <c r="J507" s="2" t="s">
        <v>93</v>
      </c>
      <c r="K507" s="2" t="s">
        <v>37</v>
      </c>
      <c r="L507" s="2" t="s">
        <v>45</v>
      </c>
      <c r="M507" s="2" t="s">
        <v>38</v>
      </c>
      <c r="N507" s="2" t="s">
        <v>39</v>
      </c>
      <c r="O507" s="2" t="s">
        <v>46</v>
      </c>
      <c r="P507" s="2" t="s">
        <v>95</v>
      </c>
      <c r="Q507" s="2">
        <v>1</v>
      </c>
      <c r="R507" s="2">
        <v>1</v>
      </c>
      <c r="S507" s="2"/>
      <c r="T507" s="2"/>
      <c r="U507" s="3"/>
      <c r="V507" s="8">
        <v>100000</v>
      </c>
    </row>
    <row r="508" spans="1:22" ht="15" customHeight="1" x14ac:dyDescent="0.25">
      <c r="A508" s="7">
        <v>507</v>
      </c>
      <c r="B508" s="3">
        <v>43755</v>
      </c>
      <c r="C508" s="2" t="s">
        <v>32</v>
      </c>
      <c r="D508" s="2" t="s">
        <v>71</v>
      </c>
      <c r="E508" s="2" t="s">
        <v>139</v>
      </c>
      <c r="F508" s="2" t="s">
        <v>25</v>
      </c>
      <c r="G508" s="3">
        <v>32589</v>
      </c>
      <c r="H508" s="2">
        <v>31</v>
      </c>
      <c r="I508" s="2" t="s">
        <v>26</v>
      </c>
      <c r="J508" s="2" t="s">
        <v>93</v>
      </c>
      <c r="K508" s="2" t="s">
        <v>37</v>
      </c>
      <c r="L508" s="2" t="s">
        <v>45</v>
      </c>
      <c r="M508" s="2" t="s">
        <v>30</v>
      </c>
      <c r="N508" s="2" t="s">
        <v>81</v>
      </c>
      <c r="O508" s="2"/>
      <c r="P508" s="2"/>
      <c r="Q508" s="2">
        <v>1</v>
      </c>
      <c r="R508" s="2"/>
      <c r="S508" s="2"/>
      <c r="T508" s="2"/>
      <c r="U508" s="3"/>
      <c r="V508" s="8"/>
    </row>
    <row r="509" spans="1:22" ht="15" customHeight="1" x14ac:dyDescent="0.25">
      <c r="A509" s="7">
        <v>508</v>
      </c>
      <c r="B509" s="3">
        <v>43755</v>
      </c>
      <c r="C509" s="2" t="s">
        <v>22</v>
      </c>
      <c r="D509" s="2" t="s">
        <v>67</v>
      </c>
      <c r="E509" s="2" t="s">
        <v>68</v>
      </c>
      <c r="F509" s="2" t="s">
        <v>90</v>
      </c>
      <c r="G509" s="3">
        <v>33302</v>
      </c>
      <c r="H509" s="2">
        <v>29</v>
      </c>
      <c r="I509" s="2" t="s">
        <v>87</v>
      </c>
      <c r="J509" s="2" t="s">
        <v>27</v>
      </c>
      <c r="K509" s="2" t="s">
        <v>91</v>
      </c>
      <c r="L509" s="2" t="s">
        <v>92</v>
      </c>
      <c r="M509" s="2" t="s">
        <v>38</v>
      </c>
      <c r="N509" s="2" t="s">
        <v>39</v>
      </c>
      <c r="O509" s="2" t="s">
        <v>46</v>
      </c>
      <c r="P509" s="2" t="s">
        <v>118</v>
      </c>
      <c r="Q509" s="2">
        <v>1</v>
      </c>
      <c r="R509" s="2">
        <v>1</v>
      </c>
      <c r="S509" s="2"/>
      <c r="T509" s="2"/>
      <c r="U509" s="3"/>
      <c r="V509" s="8">
        <v>200000</v>
      </c>
    </row>
    <row r="510" spans="1:22" ht="15" customHeight="1" x14ac:dyDescent="0.25">
      <c r="A510" s="7">
        <v>509</v>
      </c>
      <c r="B510" s="3">
        <v>43755</v>
      </c>
      <c r="C510" s="2" t="s">
        <v>22</v>
      </c>
      <c r="D510" s="2" t="s">
        <v>67</v>
      </c>
      <c r="E510" s="2" t="s">
        <v>68</v>
      </c>
      <c r="F510" s="2" t="s">
        <v>86</v>
      </c>
      <c r="G510" s="3">
        <v>34384</v>
      </c>
      <c r="H510" s="2">
        <v>26</v>
      </c>
      <c r="I510" s="2" t="s">
        <v>87</v>
      </c>
      <c r="J510" s="2" t="s">
        <v>88</v>
      </c>
      <c r="K510" s="2" t="s">
        <v>37</v>
      </c>
      <c r="L510" s="2" t="s">
        <v>55</v>
      </c>
      <c r="M510" s="2" t="s">
        <v>38</v>
      </c>
      <c r="N510" s="2" t="s">
        <v>39</v>
      </c>
      <c r="O510" s="2" t="s">
        <v>40</v>
      </c>
      <c r="P510" s="2" t="s">
        <v>41</v>
      </c>
      <c r="Q510" s="2">
        <v>1</v>
      </c>
      <c r="R510" s="2">
        <v>1</v>
      </c>
      <c r="S510" s="2">
        <v>1</v>
      </c>
      <c r="T510" s="2"/>
      <c r="U510" s="3"/>
      <c r="V510" s="8"/>
    </row>
    <row r="511" spans="1:22" ht="15" customHeight="1" x14ac:dyDescent="0.25">
      <c r="A511" s="7">
        <v>510</v>
      </c>
      <c r="B511" s="3">
        <v>43755</v>
      </c>
      <c r="C511" s="2" t="s">
        <v>48</v>
      </c>
      <c r="D511" s="2" t="s">
        <v>67</v>
      </c>
      <c r="E511" s="2" t="s">
        <v>68</v>
      </c>
      <c r="F511" s="2" t="s">
        <v>94</v>
      </c>
      <c r="G511" s="3">
        <v>33667</v>
      </c>
      <c r="H511" s="2">
        <v>28</v>
      </c>
      <c r="I511" s="2" t="s">
        <v>26</v>
      </c>
      <c r="J511" s="2" t="s">
        <v>27</v>
      </c>
      <c r="K511" s="2" t="s">
        <v>37</v>
      </c>
      <c r="L511" s="2" t="s">
        <v>92</v>
      </c>
      <c r="M511" s="2" t="s">
        <v>38</v>
      </c>
      <c r="N511" s="2" t="s">
        <v>39</v>
      </c>
      <c r="O511" s="2" t="s">
        <v>46</v>
      </c>
      <c r="P511" s="2" t="s">
        <v>95</v>
      </c>
      <c r="Q511" s="2">
        <v>1</v>
      </c>
      <c r="R511" s="2">
        <v>1</v>
      </c>
      <c r="S511" s="2"/>
      <c r="T511" s="2"/>
      <c r="U511" s="3"/>
      <c r="V511" s="8">
        <v>120000</v>
      </c>
    </row>
    <row r="512" spans="1:22" ht="15" customHeight="1" x14ac:dyDescent="0.25">
      <c r="A512" s="7">
        <v>511</v>
      </c>
      <c r="B512" s="3">
        <v>43756</v>
      </c>
      <c r="C512" s="2" t="s">
        <v>48</v>
      </c>
      <c r="D512" s="2" t="s">
        <v>23</v>
      </c>
      <c r="E512" s="2" t="s">
        <v>24</v>
      </c>
      <c r="F512" s="2" t="s">
        <v>117</v>
      </c>
      <c r="G512" s="3">
        <v>33144</v>
      </c>
      <c r="H512" s="2">
        <v>29</v>
      </c>
      <c r="I512" s="2" t="s">
        <v>87</v>
      </c>
      <c r="J512" s="2" t="s">
        <v>27</v>
      </c>
      <c r="K512" s="2" t="s">
        <v>37</v>
      </c>
      <c r="L512" s="2" t="s">
        <v>92</v>
      </c>
      <c r="M512" s="2" t="s">
        <v>38</v>
      </c>
      <c r="N512" s="2" t="s">
        <v>56</v>
      </c>
      <c r="O512" s="2"/>
      <c r="P512" s="2"/>
      <c r="Q512" s="2">
        <v>1</v>
      </c>
      <c r="R512" s="2"/>
      <c r="S512" s="2"/>
      <c r="T512" s="2"/>
      <c r="U512" s="3"/>
      <c r="V512" s="8"/>
    </row>
    <row r="513" spans="1:22" ht="15" customHeight="1" x14ac:dyDescent="0.25">
      <c r="A513" s="7">
        <v>512</v>
      </c>
      <c r="B513" s="3">
        <v>43756</v>
      </c>
      <c r="C513" s="2" t="s">
        <v>66</v>
      </c>
      <c r="D513" s="2" t="s">
        <v>67</v>
      </c>
      <c r="E513" s="2" t="s">
        <v>68</v>
      </c>
      <c r="F513" s="2" t="s">
        <v>96</v>
      </c>
      <c r="G513" s="3">
        <v>35008</v>
      </c>
      <c r="H513" s="2">
        <v>24</v>
      </c>
      <c r="I513" s="2" t="s">
        <v>26</v>
      </c>
      <c r="J513" s="2" t="s">
        <v>97</v>
      </c>
      <c r="K513" s="2" t="s">
        <v>37</v>
      </c>
      <c r="L513" s="2" t="s">
        <v>45</v>
      </c>
      <c r="M513" s="2" t="s">
        <v>38</v>
      </c>
      <c r="N513" s="2" t="s">
        <v>63</v>
      </c>
      <c r="O513" s="2" t="s">
        <v>64</v>
      </c>
      <c r="P513" s="2"/>
      <c r="Q513" s="2">
        <v>1</v>
      </c>
      <c r="R513" s="2">
        <v>1</v>
      </c>
      <c r="S513" s="2">
        <v>1</v>
      </c>
      <c r="T513" s="2"/>
      <c r="U513" s="3"/>
      <c r="V513" s="8">
        <v>100000</v>
      </c>
    </row>
    <row r="514" spans="1:22" ht="15" customHeight="1" x14ac:dyDescent="0.25">
      <c r="A514" s="7">
        <v>513</v>
      </c>
      <c r="B514" s="3">
        <v>43756</v>
      </c>
      <c r="C514" s="2" t="s">
        <v>57</v>
      </c>
      <c r="D514" s="2" t="s">
        <v>23</v>
      </c>
      <c r="E514" s="2" t="s">
        <v>24</v>
      </c>
      <c r="F514" s="2" t="s">
        <v>98</v>
      </c>
      <c r="G514" s="3">
        <v>34231</v>
      </c>
      <c r="H514" s="2">
        <v>26</v>
      </c>
      <c r="I514" s="2" t="s">
        <v>26</v>
      </c>
      <c r="J514" s="2" t="s">
        <v>88</v>
      </c>
      <c r="K514" s="2" t="s">
        <v>37</v>
      </c>
      <c r="L514" s="2" t="s">
        <v>45</v>
      </c>
      <c r="M514" s="2" t="s">
        <v>38</v>
      </c>
      <c r="N514" s="2" t="s">
        <v>39</v>
      </c>
      <c r="O514" s="2" t="s">
        <v>40</v>
      </c>
      <c r="P514" s="2" t="s">
        <v>41</v>
      </c>
      <c r="Q514" s="2">
        <v>1</v>
      </c>
      <c r="R514" s="2"/>
      <c r="S514" s="2"/>
      <c r="T514" s="2"/>
      <c r="U514" s="3"/>
      <c r="V514" s="8"/>
    </row>
    <row r="515" spans="1:22" ht="15" customHeight="1" x14ac:dyDescent="0.25">
      <c r="A515" s="7">
        <v>514</v>
      </c>
      <c r="B515" s="3">
        <v>43756</v>
      </c>
      <c r="C515" s="2" t="s">
        <v>48</v>
      </c>
      <c r="D515" s="2" t="s">
        <v>67</v>
      </c>
      <c r="E515" s="2" t="s">
        <v>68</v>
      </c>
      <c r="F515" s="2" t="s">
        <v>53</v>
      </c>
      <c r="G515" s="3">
        <v>32589</v>
      </c>
      <c r="H515" s="2">
        <v>31</v>
      </c>
      <c r="I515" s="2" t="s">
        <v>26</v>
      </c>
      <c r="J515" s="2" t="s">
        <v>50</v>
      </c>
      <c r="K515" s="2" t="s">
        <v>28</v>
      </c>
      <c r="L515" s="2" t="s">
        <v>45</v>
      </c>
      <c r="M515" s="2" t="s">
        <v>38</v>
      </c>
      <c r="N515" s="2" t="s">
        <v>39</v>
      </c>
      <c r="O515" s="2" t="s">
        <v>40</v>
      </c>
      <c r="P515" s="2" t="s">
        <v>41</v>
      </c>
      <c r="Q515" s="2">
        <v>1</v>
      </c>
      <c r="R515" s="2">
        <v>1</v>
      </c>
      <c r="S515" s="2">
        <v>1</v>
      </c>
      <c r="T515" s="2">
        <v>1</v>
      </c>
      <c r="U515" s="3">
        <v>43748</v>
      </c>
      <c r="V515" s="8"/>
    </row>
    <row r="516" spans="1:22" ht="15" customHeight="1" x14ac:dyDescent="0.25">
      <c r="A516" s="7">
        <v>515</v>
      </c>
      <c r="B516" s="3">
        <v>43757</v>
      </c>
      <c r="C516" s="2" t="s">
        <v>66</v>
      </c>
      <c r="D516" s="2" t="s">
        <v>67</v>
      </c>
      <c r="E516" s="2" t="s">
        <v>68</v>
      </c>
      <c r="F516" s="2" t="s">
        <v>99</v>
      </c>
      <c r="G516" s="3">
        <v>33577</v>
      </c>
      <c r="H516" s="2">
        <v>28</v>
      </c>
      <c r="I516" s="2" t="s">
        <v>26</v>
      </c>
      <c r="J516" s="2" t="s">
        <v>27</v>
      </c>
      <c r="K516" s="2" t="s">
        <v>37</v>
      </c>
      <c r="L516" s="2" t="s">
        <v>92</v>
      </c>
      <c r="M516" s="2" t="s">
        <v>38</v>
      </c>
      <c r="N516" s="2" t="s">
        <v>39</v>
      </c>
      <c r="O516" s="2" t="s">
        <v>40</v>
      </c>
      <c r="P516" s="2" t="s">
        <v>41</v>
      </c>
      <c r="Q516" s="2">
        <v>1</v>
      </c>
      <c r="R516" s="2">
        <v>1</v>
      </c>
      <c r="S516" s="2"/>
      <c r="T516" s="2"/>
      <c r="U516" s="3"/>
      <c r="V516" s="8"/>
    </row>
    <row r="517" spans="1:22" ht="15" customHeight="1" x14ac:dyDescent="0.25">
      <c r="A517" s="7">
        <v>516</v>
      </c>
      <c r="B517" s="3">
        <v>43757</v>
      </c>
      <c r="C517" s="2" t="s">
        <v>48</v>
      </c>
      <c r="D517" s="2" t="s">
        <v>23</v>
      </c>
      <c r="E517" s="2" t="s">
        <v>24</v>
      </c>
      <c r="F517" s="2" t="s">
        <v>100</v>
      </c>
      <c r="G517" s="3">
        <v>33409</v>
      </c>
      <c r="H517" s="2">
        <v>29</v>
      </c>
      <c r="I517" s="2" t="s">
        <v>26</v>
      </c>
      <c r="J517" s="2" t="s">
        <v>75</v>
      </c>
      <c r="K517" s="2" t="s">
        <v>91</v>
      </c>
      <c r="L517" s="2" t="s">
        <v>55</v>
      </c>
      <c r="M517" s="2" t="s">
        <v>38</v>
      </c>
      <c r="N517" s="2" t="s">
        <v>39</v>
      </c>
      <c r="O517" s="2" t="s">
        <v>46</v>
      </c>
      <c r="P517" s="2" t="s">
        <v>84</v>
      </c>
      <c r="Q517" s="2">
        <v>1</v>
      </c>
      <c r="R517" s="2"/>
      <c r="S517" s="2"/>
      <c r="T517" s="2"/>
      <c r="U517" s="3"/>
      <c r="V517" s="8">
        <v>200000</v>
      </c>
    </row>
    <row r="518" spans="1:22" ht="15" customHeight="1" x14ac:dyDescent="0.25">
      <c r="A518" s="7">
        <v>517</v>
      </c>
      <c r="B518" s="3">
        <v>43758</v>
      </c>
      <c r="C518" s="2" t="s">
        <v>57</v>
      </c>
      <c r="D518" s="2" t="s">
        <v>23</v>
      </c>
      <c r="E518" s="2" t="s">
        <v>24</v>
      </c>
      <c r="F518" s="2" t="s">
        <v>60</v>
      </c>
      <c r="G518" s="3">
        <v>33409</v>
      </c>
      <c r="H518" s="2">
        <v>29</v>
      </c>
      <c r="I518" s="2" t="s">
        <v>26</v>
      </c>
      <c r="J518" s="2" t="s">
        <v>27</v>
      </c>
      <c r="K518" s="2" t="s">
        <v>37</v>
      </c>
      <c r="L518" s="2" t="s">
        <v>45</v>
      </c>
      <c r="M518" s="2" t="s">
        <v>30</v>
      </c>
      <c r="N518" s="2" t="s">
        <v>31</v>
      </c>
      <c r="O518" s="2"/>
      <c r="P518" s="2"/>
      <c r="Q518" s="2">
        <v>1</v>
      </c>
      <c r="R518" s="2"/>
      <c r="S518" s="2"/>
      <c r="T518" s="2"/>
      <c r="U518" s="3"/>
      <c r="V518" s="8"/>
    </row>
    <row r="519" spans="1:22" ht="15" customHeight="1" x14ac:dyDescent="0.25">
      <c r="A519" s="7">
        <v>518</v>
      </c>
      <c r="B519" s="3">
        <v>43758</v>
      </c>
      <c r="C519" s="2" t="s">
        <v>22</v>
      </c>
      <c r="D519" s="2" t="s">
        <v>67</v>
      </c>
      <c r="E519" s="2" t="s">
        <v>68</v>
      </c>
      <c r="F519" s="2" t="s">
        <v>101</v>
      </c>
      <c r="G519" s="3">
        <v>33840</v>
      </c>
      <c r="H519" s="2">
        <v>28</v>
      </c>
      <c r="I519" s="2" t="s">
        <v>87</v>
      </c>
      <c r="J519" s="2" t="s">
        <v>102</v>
      </c>
      <c r="K519" s="2" t="s">
        <v>37</v>
      </c>
      <c r="L519" s="2" t="s">
        <v>103</v>
      </c>
      <c r="M519" s="2" t="s">
        <v>38</v>
      </c>
      <c r="N519" s="2" t="s">
        <v>89</v>
      </c>
      <c r="O519" s="2"/>
      <c r="P519" s="2"/>
      <c r="Q519" s="2">
        <v>1</v>
      </c>
      <c r="R519" s="2">
        <v>1</v>
      </c>
      <c r="S519" s="2"/>
      <c r="T519" s="2"/>
      <c r="U519" s="3"/>
      <c r="V519" s="8"/>
    </row>
    <row r="520" spans="1:22" ht="15" customHeight="1" x14ac:dyDescent="0.25">
      <c r="A520" s="7">
        <v>519</v>
      </c>
      <c r="B520" s="3">
        <v>43758</v>
      </c>
      <c r="C520" s="2" t="s">
        <v>22</v>
      </c>
      <c r="D520" s="2" t="s">
        <v>67</v>
      </c>
      <c r="E520" s="2" t="s">
        <v>68</v>
      </c>
      <c r="F520" s="2" t="s">
        <v>104</v>
      </c>
      <c r="G520" s="3">
        <v>34542</v>
      </c>
      <c r="H520" s="2">
        <v>26</v>
      </c>
      <c r="I520" s="2" t="s">
        <v>26</v>
      </c>
      <c r="J520" s="2" t="s">
        <v>27</v>
      </c>
      <c r="K520" s="2" t="s">
        <v>91</v>
      </c>
      <c r="L520" s="2" t="s">
        <v>55</v>
      </c>
      <c r="M520" s="2" t="s">
        <v>38</v>
      </c>
      <c r="N520" s="2" t="s">
        <v>56</v>
      </c>
      <c r="O520" s="2"/>
      <c r="P520" s="2"/>
      <c r="Q520" s="2">
        <v>1</v>
      </c>
      <c r="R520" s="2">
        <v>1</v>
      </c>
      <c r="S520" s="2">
        <v>1</v>
      </c>
      <c r="T520" s="2"/>
      <c r="U520" s="3"/>
      <c r="V520" s="8">
        <v>122000</v>
      </c>
    </row>
    <row r="521" spans="1:22" ht="15" customHeight="1" x14ac:dyDescent="0.25">
      <c r="A521" s="7">
        <v>520</v>
      </c>
      <c r="B521" s="3">
        <v>43758</v>
      </c>
      <c r="C521" s="2" t="s">
        <v>32</v>
      </c>
      <c r="D521" s="2" t="s">
        <v>71</v>
      </c>
      <c r="E521" s="2" t="s">
        <v>139</v>
      </c>
      <c r="F521" s="2" t="s">
        <v>105</v>
      </c>
      <c r="G521" s="3">
        <v>33144</v>
      </c>
      <c r="H521" s="2">
        <v>29</v>
      </c>
      <c r="I521" s="2" t="s">
        <v>26</v>
      </c>
      <c r="J521" s="2" t="s">
        <v>27</v>
      </c>
      <c r="K521" s="2" t="s">
        <v>37</v>
      </c>
      <c r="L521" s="2" t="s">
        <v>55</v>
      </c>
      <c r="M521" s="2" t="s">
        <v>30</v>
      </c>
      <c r="N521" s="2" t="s">
        <v>31</v>
      </c>
      <c r="O521" s="2"/>
      <c r="P521" s="2"/>
      <c r="Q521" s="2">
        <v>1</v>
      </c>
      <c r="R521" s="2">
        <v>1</v>
      </c>
      <c r="S521" s="2">
        <v>1</v>
      </c>
      <c r="T521" s="2">
        <v>1</v>
      </c>
      <c r="U521" s="3">
        <v>43758</v>
      </c>
      <c r="V521" s="8">
        <v>500000</v>
      </c>
    </row>
    <row r="522" spans="1:22" ht="15" customHeight="1" x14ac:dyDescent="0.25">
      <c r="A522" s="7">
        <v>521</v>
      </c>
      <c r="B522" s="3">
        <v>43759</v>
      </c>
      <c r="C522" s="2" t="s">
        <v>32</v>
      </c>
      <c r="D522" s="2" t="s">
        <v>71</v>
      </c>
      <c r="E522" s="2" t="s">
        <v>139</v>
      </c>
      <c r="F522" s="2" t="s">
        <v>106</v>
      </c>
      <c r="G522" s="3">
        <v>33868</v>
      </c>
      <c r="H522" s="2">
        <v>27</v>
      </c>
      <c r="I522" s="2" t="s">
        <v>26</v>
      </c>
      <c r="J522" s="2" t="s">
        <v>79</v>
      </c>
      <c r="K522" s="2" t="s">
        <v>91</v>
      </c>
      <c r="L522" s="2" t="s">
        <v>45</v>
      </c>
      <c r="M522" s="2" t="s">
        <v>30</v>
      </c>
      <c r="N522" s="2" t="s">
        <v>81</v>
      </c>
      <c r="O522" s="2"/>
      <c r="P522" s="2"/>
      <c r="Q522" s="2">
        <v>1</v>
      </c>
      <c r="R522" s="2">
        <v>1</v>
      </c>
      <c r="S522" s="2"/>
      <c r="T522" s="2"/>
      <c r="U522" s="3"/>
      <c r="V522" s="8"/>
    </row>
    <row r="523" spans="1:22" ht="15" customHeight="1" x14ac:dyDescent="0.25">
      <c r="A523" s="7">
        <v>522</v>
      </c>
      <c r="B523" s="3">
        <v>43759</v>
      </c>
      <c r="C523" s="2" t="s">
        <v>32</v>
      </c>
      <c r="D523" s="2" t="s">
        <v>71</v>
      </c>
      <c r="E523" s="2" t="s">
        <v>139</v>
      </c>
      <c r="F523" s="2" t="s">
        <v>107</v>
      </c>
      <c r="G523" s="3">
        <v>33429</v>
      </c>
      <c r="H523" s="2">
        <v>29</v>
      </c>
      <c r="I523" s="2" t="s">
        <v>87</v>
      </c>
      <c r="J523" s="2" t="s">
        <v>108</v>
      </c>
      <c r="K523" s="2" t="s">
        <v>37</v>
      </c>
      <c r="L523" s="2" t="s">
        <v>45</v>
      </c>
      <c r="M523" s="2" t="s">
        <v>30</v>
      </c>
      <c r="N523" s="2" t="s">
        <v>31</v>
      </c>
      <c r="O523" s="2"/>
      <c r="P523" s="2"/>
      <c r="Q523" s="2">
        <v>1</v>
      </c>
      <c r="R523" s="2"/>
      <c r="S523" s="2"/>
      <c r="T523" s="2"/>
      <c r="U523" s="3"/>
      <c r="V523" s="8"/>
    </row>
    <row r="524" spans="1:22" ht="15" customHeight="1" x14ac:dyDescent="0.25">
      <c r="A524" s="7">
        <v>523</v>
      </c>
      <c r="B524" s="3">
        <v>43759</v>
      </c>
      <c r="C524" s="2" t="s">
        <v>66</v>
      </c>
      <c r="D524" s="2" t="s">
        <v>67</v>
      </c>
      <c r="E524" s="2" t="s">
        <v>68</v>
      </c>
      <c r="F524" s="2" t="s">
        <v>69</v>
      </c>
      <c r="G524" s="3">
        <v>32996</v>
      </c>
      <c r="H524" s="2">
        <v>30</v>
      </c>
      <c r="I524" s="2" t="s">
        <v>26</v>
      </c>
      <c r="J524" s="2" t="s">
        <v>110</v>
      </c>
      <c r="K524" s="2" t="s">
        <v>37</v>
      </c>
      <c r="L524" s="2" t="s">
        <v>45</v>
      </c>
      <c r="M524" s="2" t="s">
        <v>30</v>
      </c>
      <c r="N524" s="2" t="s">
        <v>31</v>
      </c>
      <c r="O524" s="2"/>
      <c r="P524" s="2"/>
      <c r="Q524" s="2">
        <v>1</v>
      </c>
      <c r="R524" s="2">
        <v>1</v>
      </c>
      <c r="S524" s="2">
        <v>1</v>
      </c>
      <c r="T524" s="2"/>
      <c r="U524" s="3"/>
      <c r="V524" s="8"/>
    </row>
    <row r="525" spans="1:22" ht="15" customHeight="1" x14ac:dyDescent="0.25">
      <c r="A525" s="7">
        <v>524</v>
      </c>
      <c r="B525" s="3">
        <v>43759</v>
      </c>
      <c r="C525" s="2" t="s">
        <v>22</v>
      </c>
      <c r="D525" s="2" t="s">
        <v>67</v>
      </c>
      <c r="E525" s="2" t="s">
        <v>68</v>
      </c>
      <c r="F525" s="2" t="s">
        <v>65</v>
      </c>
      <c r="G525" s="3">
        <v>33302</v>
      </c>
      <c r="H525" s="2">
        <v>29</v>
      </c>
      <c r="I525" s="2" t="s">
        <v>26</v>
      </c>
      <c r="J525" s="2" t="s">
        <v>83</v>
      </c>
      <c r="K525" s="2" t="s">
        <v>91</v>
      </c>
      <c r="L525" s="2" t="s">
        <v>45</v>
      </c>
      <c r="M525" s="2" t="s">
        <v>30</v>
      </c>
      <c r="N525" s="2" t="s">
        <v>81</v>
      </c>
      <c r="O525" s="2"/>
      <c r="P525" s="2"/>
      <c r="Q525" s="2">
        <v>1</v>
      </c>
      <c r="R525" s="2">
        <v>1</v>
      </c>
      <c r="S525" s="2">
        <v>1</v>
      </c>
      <c r="T525" s="2"/>
      <c r="U525" s="3"/>
      <c r="V525" s="8"/>
    </row>
    <row r="526" spans="1:22" ht="15" customHeight="1" x14ac:dyDescent="0.25">
      <c r="A526" s="7">
        <v>525</v>
      </c>
      <c r="B526" s="3">
        <v>43759</v>
      </c>
      <c r="C526" s="2" t="s">
        <v>32</v>
      </c>
      <c r="D526" s="2" t="s">
        <v>71</v>
      </c>
      <c r="E526" s="2" t="s">
        <v>139</v>
      </c>
      <c r="F526" s="2" t="s">
        <v>106</v>
      </c>
      <c r="G526" s="3">
        <v>33868</v>
      </c>
      <c r="H526" s="2">
        <v>27</v>
      </c>
      <c r="I526" s="2" t="s">
        <v>26</v>
      </c>
      <c r="J526" s="2" t="s">
        <v>79</v>
      </c>
      <c r="K526" s="2" t="s">
        <v>91</v>
      </c>
      <c r="L526" s="2" t="s">
        <v>45</v>
      </c>
      <c r="M526" s="2" t="s">
        <v>30</v>
      </c>
      <c r="N526" s="2" t="s">
        <v>81</v>
      </c>
      <c r="O526" s="2"/>
      <c r="P526" s="2"/>
      <c r="Q526" s="2">
        <v>1</v>
      </c>
      <c r="R526" s="2">
        <v>1</v>
      </c>
      <c r="S526" s="2"/>
      <c r="T526" s="2"/>
      <c r="U526" s="3"/>
      <c r="V526" s="8"/>
    </row>
    <row r="527" spans="1:22" ht="15" customHeight="1" x14ac:dyDescent="0.25">
      <c r="A527" s="7">
        <v>526</v>
      </c>
      <c r="B527" s="3">
        <v>43759</v>
      </c>
      <c r="C527" s="2" t="s">
        <v>32</v>
      </c>
      <c r="D527" s="2" t="s">
        <v>71</v>
      </c>
      <c r="E527" s="2" t="s">
        <v>139</v>
      </c>
      <c r="F527" s="2" t="s">
        <v>107</v>
      </c>
      <c r="G527" s="3">
        <v>33429</v>
      </c>
      <c r="H527" s="2">
        <v>29</v>
      </c>
      <c r="I527" s="2" t="s">
        <v>87</v>
      </c>
      <c r="J527" s="2" t="s">
        <v>108</v>
      </c>
      <c r="K527" s="2" t="s">
        <v>37</v>
      </c>
      <c r="L527" s="2" t="s">
        <v>45</v>
      </c>
      <c r="M527" s="2" t="s">
        <v>30</v>
      </c>
      <c r="N527" s="2" t="s">
        <v>31</v>
      </c>
      <c r="O527" s="2"/>
      <c r="P527" s="2"/>
      <c r="Q527" s="2">
        <v>1</v>
      </c>
      <c r="R527" s="2"/>
      <c r="S527" s="2"/>
      <c r="T527" s="2"/>
      <c r="U527" s="3"/>
      <c r="V527" s="8"/>
    </row>
    <row r="528" spans="1:22" ht="15" customHeight="1" x14ac:dyDescent="0.25">
      <c r="A528" s="7">
        <v>527</v>
      </c>
      <c r="B528" s="3">
        <v>43759</v>
      </c>
      <c r="C528" s="2" t="s">
        <v>66</v>
      </c>
      <c r="D528" s="2" t="s">
        <v>67</v>
      </c>
      <c r="E528" s="2" t="s">
        <v>68</v>
      </c>
      <c r="F528" s="2" t="s">
        <v>69</v>
      </c>
      <c r="G528" s="3">
        <v>32996</v>
      </c>
      <c r="H528" s="2">
        <v>30</v>
      </c>
      <c r="I528" s="2" t="s">
        <v>26</v>
      </c>
      <c r="J528" s="2" t="s">
        <v>110</v>
      </c>
      <c r="K528" s="2" t="s">
        <v>37</v>
      </c>
      <c r="L528" s="2" t="s">
        <v>45</v>
      </c>
      <c r="M528" s="2" t="s">
        <v>30</v>
      </c>
      <c r="N528" s="2" t="s">
        <v>31</v>
      </c>
      <c r="O528" s="2"/>
      <c r="P528" s="2"/>
      <c r="Q528" s="2">
        <v>1</v>
      </c>
      <c r="R528" s="2">
        <v>1</v>
      </c>
      <c r="S528" s="2">
        <v>1</v>
      </c>
      <c r="T528" s="2"/>
      <c r="U528" s="3"/>
      <c r="V528" s="8"/>
    </row>
    <row r="529" spans="1:22" ht="15" customHeight="1" x14ac:dyDescent="0.25">
      <c r="A529" s="7">
        <v>528</v>
      </c>
      <c r="B529" s="3">
        <v>43759</v>
      </c>
      <c r="C529" s="2" t="s">
        <v>22</v>
      </c>
      <c r="D529" s="2" t="s">
        <v>67</v>
      </c>
      <c r="E529" s="2" t="s">
        <v>68</v>
      </c>
      <c r="F529" s="2" t="s">
        <v>65</v>
      </c>
      <c r="G529" s="3">
        <v>33302</v>
      </c>
      <c r="H529" s="2">
        <v>29</v>
      </c>
      <c r="I529" s="2" t="s">
        <v>26</v>
      </c>
      <c r="J529" s="2" t="s">
        <v>83</v>
      </c>
      <c r="K529" s="2" t="s">
        <v>91</v>
      </c>
      <c r="L529" s="2" t="s">
        <v>45</v>
      </c>
      <c r="M529" s="2" t="s">
        <v>30</v>
      </c>
      <c r="N529" s="2" t="s">
        <v>81</v>
      </c>
      <c r="O529" s="2"/>
      <c r="P529" s="2"/>
      <c r="Q529" s="2">
        <v>1</v>
      </c>
      <c r="R529" s="2">
        <v>1</v>
      </c>
      <c r="S529" s="2">
        <v>1</v>
      </c>
      <c r="T529" s="2"/>
      <c r="U529" s="3"/>
      <c r="V529" s="8"/>
    </row>
    <row r="530" spans="1:22" ht="15" customHeight="1" x14ac:dyDescent="0.25">
      <c r="A530" s="7">
        <v>529</v>
      </c>
      <c r="B530" s="3">
        <v>43759</v>
      </c>
      <c r="C530" s="2" t="s">
        <v>48</v>
      </c>
      <c r="D530" s="2" t="s">
        <v>23</v>
      </c>
      <c r="E530" s="2" t="s">
        <v>24</v>
      </c>
      <c r="F530" s="2" t="s">
        <v>111</v>
      </c>
      <c r="G530" s="3">
        <v>32919</v>
      </c>
      <c r="H530" s="2">
        <v>30</v>
      </c>
      <c r="I530" s="2" t="s">
        <v>87</v>
      </c>
      <c r="J530" s="2" t="s">
        <v>50</v>
      </c>
      <c r="K530" s="2" t="s">
        <v>91</v>
      </c>
      <c r="L530" s="2" t="s">
        <v>45</v>
      </c>
      <c r="M530" s="2" t="s">
        <v>38</v>
      </c>
      <c r="N530" s="2" t="s">
        <v>39</v>
      </c>
      <c r="O530" s="2" t="s">
        <v>40</v>
      </c>
      <c r="P530" s="2" t="s">
        <v>112</v>
      </c>
      <c r="Q530" s="2">
        <v>1</v>
      </c>
      <c r="R530" s="2">
        <v>1</v>
      </c>
      <c r="S530" s="2">
        <v>1</v>
      </c>
      <c r="T530" s="2"/>
      <c r="U530" s="3"/>
      <c r="V530" s="8">
        <v>100000</v>
      </c>
    </row>
    <row r="531" spans="1:22" ht="15" customHeight="1" x14ac:dyDescent="0.25">
      <c r="A531" s="7">
        <v>530</v>
      </c>
      <c r="B531" s="3">
        <v>43759</v>
      </c>
      <c r="C531" s="2" t="s">
        <v>32</v>
      </c>
      <c r="D531" s="2" t="s">
        <v>71</v>
      </c>
      <c r="E531" s="2" t="s">
        <v>139</v>
      </c>
      <c r="F531" s="2" t="s">
        <v>113</v>
      </c>
      <c r="G531" s="3">
        <v>33302</v>
      </c>
      <c r="H531" s="2">
        <v>29</v>
      </c>
      <c r="I531" s="2" t="s">
        <v>26</v>
      </c>
      <c r="J531" s="2" t="s">
        <v>75</v>
      </c>
      <c r="K531" s="2" t="s">
        <v>91</v>
      </c>
      <c r="L531" s="2" t="s">
        <v>114</v>
      </c>
      <c r="M531" s="2" t="s">
        <v>38</v>
      </c>
      <c r="N531" s="2" t="s">
        <v>39</v>
      </c>
      <c r="O531" s="2" t="s">
        <v>46</v>
      </c>
      <c r="P531" s="2" t="s">
        <v>84</v>
      </c>
      <c r="Q531" s="2">
        <v>1</v>
      </c>
      <c r="R531" s="2">
        <v>1</v>
      </c>
      <c r="S531" s="2">
        <v>1</v>
      </c>
      <c r="T531" s="2">
        <v>1</v>
      </c>
      <c r="U531" s="3">
        <v>43749</v>
      </c>
      <c r="V531" s="8">
        <v>200000</v>
      </c>
    </row>
    <row r="532" spans="1:22" ht="15" customHeight="1" x14ac:dyDescent="0.25">
      <c r="A532" s="7">
        <v>531</v>
      </c>
      <c r="B532" s="3">
        <v>43760</v>
      </c>
      <c r="C532" s="2" t="s">
        <v>48</v>
      </c>
      <c r="D532" s="2" t="s">
        <v>67</v>
      </c>
      <c r="E532" s="2" t="s">
        <v>68</v>
      </c>
      <c r="F532" s="2" t="s">
        <v>115</v>
      </c>
      <c r="G532" s="3">
        <v>32589</v>
      </c>
      <c r="H532" s="2">
        <v>31</v>
      </c>
      <c r="I532" s="2" t="s">
        <v>26</v>
      </c>
      <c r="J532" s="2" t="s">
        <v>27</v>
      </c>
      <c r="K532" s="2" t="s">
        <v>37</v>
      </c>
      <c r="L532" s="2" t="s">
        <v>45</v>
      </c>
      <c r="M532" s="2" t="s">
        <v>38</v>
      </c>
      <c r="N532" s="2" t="s">
        <v>89</v>
      </c>
      <c r="O532" s="2"/>
      <c r="P532" s="2"/>
      <c r="Q532" s="2">
        <v>1</v>
      </c>
      <c r="R532" s="2"/>
      <c r="S532" s="2"/>
      <c r="T532" s="2"/>
      <c r="U532" s="3"/>
      <c r="V532" s="8"/>
    </row>
    <row r="533" spans="1:22" ht="15" customHeight="1" x14ac:dyDescent="0.25">
      <c r="A533" s="7">
        <v>532</v>
      </c>
      <c r="B533" s="3">
        <v>43760</v>
      </c>
      <c r="C533" s="2" t="s">
        <v>48</v>
      </c>
      <c r="D533" s="2" t="s">
        <v>23</v>
      </c>
      <c r="E533" s="2" t="s">
        <v>24</v>
      </c>
      <c r="F533" s="2" t="s">
        <v>116</v>
      </c>
      <c r="G533" s="3">
        <v>34652</v>
      </c>
      <c r="H533" s="2">
        <v>25</v>
      </c>
      <c r="I533" s="2" t="s">
        <v>26</v>
      </c>
      <c r="J533" s="2" t="s">
        <v>88</v>
      </c>
      <c r="K533" s="2" t="s">
        <v>91</v>
      </c>
      <c r="L533" s="2" t="s">
        <v>45</v>
      </c>
      <c r="M533" s="2" t="s">
        <v>38</v>
      </c>
      <c r="N533" s="2" t="s">
        <v>39</v>
      </c>
      <c r="O533" s="2" t="s">
        <v>46</v>
      </c>
      <c r="P533" s="2" t="s">
        <v>47</v>
      </c>
      <c r="Q533" s="2">
        <v>1</v>
      </c>
      <c r="R533" s="2"/>
      <c r="S533" s="2"/>
      <c r="T533" s="2"/>
      <c r="U533" s="3"/>
      <c r="V533" s="8">
        <v>120000</v>
      </c>
    </row>
    <row r="534" spans="1:22" ht="15" customHeight="1" x14ac:dyDescent="0.25">
      <c r="A534" s="7">
        <v>533</v>
      </c>
      <c r="B534" s="3">
        <v>43761</v>
      </c>
      <c r="C534" s="2" t="s">
        <v>57</v>
      </c>
      <c r="D534" s="2" t="s">
        <v>23</v>
      </c>
      <c r="E534" s="2" t="s">
        <v>24</v>
      </c>
      <c r="F534" s="2" t="s">
        <v>86</v>
      </c>
      <c r="G534" s="3">
        <v>31553</v>
      </c>
      <c r="H534" s="2">
        <v>34</v>
      </c>
      <c r="I534" s="2" t="s">
        <v>26</v>
      </c>
      <c r="J534" s="2" t="s">
        <v>27</v>
      </c>
      <c r="K534" s="2" t="s">
        <v>91</v>
      </c>
      <c r="L534" s="2" t="s">
        <v>45</v>
      </c>
      <c r="M534" s="2" t="s">
        <v>30</v>
      </c>
      <c r="N534" s="2" t="s">
        <v>81</v>
      </c>
      <c r="O534" s="2"/>
      <c r="P534" s="2"/>
      <c r="Q534" s="2">
        <v>1</v>
      </c>
      <c r="R534" s="2">
        <v>1</v>
      </c>
      <c r="S534" s="2"/>
      <c r="T534" s="2"/>
      <c r="U534" s="3"/>
      <c r="V534" s="8"/>
    </row>
    <row r="535" spans="1:22" ht="15" customHeight="1" x14ac:dyDescent="0.25">
      <c r="A535" s="7">
        <v>534</v>
      </c>
      <c r="B535" s="3">
        <v>43762</v>
      </c>
      <c r="C535" s="2" t="s">
        <v>66</v>
      </c>
      <c r="D535" s="2" t="s">
        <v>67</v>
      </c>
      <c r="E535" s="2" t="s">
        <v>68</v>
      </c>
      <c r="F535" s="2" t="s">
        <v>96</v>
      </c>
      <c r="G535" s="3">
        <v>33409</v>
      </c>
      <c r="H535" s="2">
        <v>29</v>
      </c>
      <c r="I535" s="2" t="s">
        <v>26</v>
      </c>
      <c r="J535" s="2" t="s">
        <v>110</v>
      </c>
      <c r="K535" s="2" t="s">
        <v>28</v>
      </c>
      <c r="L535" s="2" t="s">
        <v>114</v>
      </c>
      <c r="M535" s="2" t="s">
        <v>30</v>
      </c>
      <c r="N535" s="2" t="s">
        <v>81</v>
      </c>
      <c r="O535" s="2"/>
      <c r="P535" s="2"/>
      <c r="Q535" s="2">
        <v>1</v>
      </c>
      <c r="R535" s="2"/>
      <c r="S535" s="2"/>
      <c r="T535" s="2"/>
      <c r="U535" s="3"/>
      <c r="V535" s="8"/>
    </row>
    <row r="536" spans="1:22" ht="15" customHeight="1" x14ac:dyDescent="0.25">
      <c r="A536" s="7">
        <v>535</v>
      </c>
      <c r="B536" s="3">
        <v>43765</v>
      </c>
      <c r="C536" s="2" t="s">
        <v>66</v>
      </c>
      <c r="D536" s="2" t="s">
        <v>67</v>
      </c>
      <c r="E536" s="2" t="s">
        <v>68</v>
      </c>
      <c r="F536" s="2" t="s">
        <v>80</v>
      </c>
      <c r="G536" s="3">
        <v>33016</v>
      </c>
      <c r="H536" s="2">
        <v>30</v>
      </c>
      <c r="I536" s="2" t="s">
        <v>26</v>
      </c>
      <c r="J536" s="2" t="s">
        <v>61</v>
      </c>
      <c r="K536" s="2" t="s">
        <v>28</v>
      </c>
      <c r="L536" s="2" t="s">
        <v>92</v>
      </c>
      <c r="M536" s="2" t="s">
        <v>38</v>
      </c>
      <c r="N536" s="2" t="s">
        <v>63</v>
      </c>
      <c r="O536" s="2" t="s">
        <v>64</v>
      </c>
      <c r="P536" s="2"/>
      <c r="Q536" s="2">
        <v>1</v>
      </c>
      <c r="R536" s="2">
        <v>1</v>
      </c>
      <c r="S536" s="2">
        <v>1</v>
      </c>
      <c r="T536" s="2">
        <v>1</v>
      </c>
      <c r="U536" s="3">
        <v>43748</v>
      </c>
      <c r="V536" s="8">
        <v>150000</v>
      </c>
    </row>
    <row r="537" spans="1:22" ht="15" customHeight="1" x14ac:dyDescent="0.25">
      <c r="A537" s="7">
        <v>536</v>
      </c>
      <c r="B537" s="3">
        <v>43770</v>
      </c>
      <c r="C537" s="2" t="s">
        <v>32</v>
      </c>
      <c r="D537" s="2" t="s">
        <v>140</v>
      </c>
      <c r="E537" s="2" t="s">
        <v>141</v>
      </c>
      <c r="F537" s="2" t="s">
        <v>35</v>
      </c>
      <c r="G537" s="3">
        <v>33016</v>
      </c>
      <c r="H537" s="2">
        <v>30</v>
      </c>
      <c r="I537" s="2" t="s">
        <v>26</v>
      </c>
      <c r="J537" s="2" t="s">
        <v>36</v>
      </c>
      <c r="K537" s="2" t="s">
        <v>37</v>
      </c>
      <c r="L537" s="2" t="s">
        <v>29</v>
      </c>
      <c r="M537" s="2" t="s">
        <v>38</v>
      </c>
      <c r="N537" s="2" t="s">
        <v>39</v>
      </c>
      <c r="O537" s="2" t="s">
        <v>40</v>
      </c>
      <c r="P537" s="2" t="s">
        <v>41</v>
      </c>
      <c r="Q537" s="2">
        <v>1</v>
      </c>
      <c r="R537" s="2"/>
      <c r="S537" s="2"/>
      <c r="T537" s="2"/>
      <c r="U537" s="3"/>
      <c r="V537" s="8"/>
    </row>
    <row r="538" spans="1:22" ht="15" customHeight="1" x14ac:dyDescent="0.25">
      <c r="A538" s="7">
        <v>537</v>
      </c>
      <c r="B538" s="3">
        <v>43771</v>
      </c>
      <c r="C538" s="2" t="s">
        <v>32</v>
      </c>
      <c r="D538" s="2" t="s">
        <v>140</v>
      </c>
      <c r="E538" s="2" t="s">
        <v>141</v>
      </c>
      <c r="F538" s="2" t="s">
        <v>49</v>
      </c>
      <c r="G538" s="3">
        <v>32996</v>
      </c>
      <c r="H538" s="2">
        <v>30</v>
      </c>
      <c r="I538" s="2" t="s">
        <v>26</v>
      </c>
      <c r="J538" s="2" t="s">
        <v>50</v>
      </c>
      <c r="K538" s="2" t="s">
        <v>37</v>
      </c>
      <c r="L538" s="2" t="s">
        <v>45</v>
      </c>
      <c r="M538" s="2" t="s">
        <v>38</v>
      </c>
      <c r="N538" s="2" t="s">
        <v>63</v>
      </c>
      <c r="O538" s="2" t="s">
        <v>64</v>
      </c>
      <c r="P538" s="2"/>
      <c r="Q538" s="2">
        <v>1</v>
      </c>
      <c r="R538" s="2">
        <v>1</v>
      </c>
      <c r="S538" s="2"/>
      <c r="T538" s="2"/>
      <c r="U538" s="3"/>
      <c r="V538" s="8">
        <v>100000</v>
      </c>
    </row>
    <row r="539" spans="1:22" ht="15" customHeight="1" x14ac:dyDescent="0.25">
      <c r="A539" s="7">
        <v>538</v>
      </c>
      <c r="B539" s="3">
        <v>43771</v>
      </c>
      <c r="C539" s="2" t="s">
        <v>48</v>
      </c>
      <c r="D539" s="2" t="s">
        <v>67</v>
      </c>
      <c r="E539" s="2" t="s">
        <v>68</v>
      </c>
      <c r="F539" s="2" t="s">
        <v>44</v>
      </c>
      <c r="G539" s="3">
        <v>33327</v>
      </c>
      <c r="H539" s="2">
        <v>29</v>
      </c>
      <c r="I539" s="2" t="s">
        <v>26</v>
      </c>
      <c r="J539" s="2" t="s">
        <v>27</v>
      </c>
      <c r="K539" s="2" t="s">
        <v>37</v>
      </c>
      <c r="L539" s="2" t="s">
        <v>45</v>
      </c>
      <c r="M539" s="2" t="s">
        <v>38</v>
      </c>
      <c r="N539" s="2" t="s">
        <v>39</v>
      </c>
      <c r="O539" s="2" t="s">
        <v>40</v>
      </c>
      <c r="P539" s="2" t="s">
        <v>41</v>
      </c>
      <c r="Q539" s="2">
        <v>1</v>
      </c>
      <c r="R539" s="2">
        <v>1</v>
      </c>
      <c r="S539" s="2">
        <v>1</v>
      </c>
      <c r="T539" s="2">
        <v>1</v>
      </c>
      <c r="U539" s="3">
        <v>43777</v>
      </c>
      <c r="V539" s="8"/>
    </row>
    <row r="540" spans="1:22" ht="15" customHeight="1" x14ac:dyDescent="0.25">
      <c r="A540" s="7">
        <v>539</v>
      </c>
      <c r="B540" s="3">
        <v>43772</v>
      </c>
      <c r="C540" s="2" t="s">
        <v>66</v>
      </c>
      <c r="D540" s="2" t="s">
        <v>67</v>
      </c>
      <c r="E540" s="2" t="s">
        <v>68</v>
      </c>
      <c r="F540" s="2" t="s">
        <v>53</v>
      </c>
      <c r="G540" s="3">
        <v>33041</v>
      </c>
      <c r="H540" s="2">
        <v>30</v>
      </c>
      <c r="I540" s="2" t="s">
        <v>26</v>
      </c>
      <c r="J540" s="2" t="s">
        <v>50</v>
      </c>
      <c r="K540" s="2" t="s">
        <v>37</v>
      </c>
      <c r="L540" s="2" t="s">
        <v>45</v>
      </c>
      <c r="M540" s="2" t="s">
        <v>38</v>
      </c>
      <c r="N540" s="2" t="s">
        <v>63</v>
      </c>
      <c r="O540" s="2" t="s">
        <v>64</v>
      </c>
      <c r="P540" s="2"/>
      <c r="Q540" s="2">
        <v>1</v>
      </c>
      <c r="R540" s="2">
        <v>1</v>
      </c>
      <c r="S540" s="2"/>
      <c r="T540" s="2"/>
      <c r="U540" s="3"/>
      <c r="V540" s="8">
        <v>100000</v>
      </c>
    </row>
    <row r="541" spans="1:22" ht="15" customHeight="1" x14ac:dyDescent="0.25">
      <c r="A541" s="7">
        <v>540</v>
      </c>
      <c r="B541" s="3">
        <v>43773</v>
      </c>
      <c r="C541" s="2" t="s">
        <v>22</v>
      </c>
      <c r="D541" s="2" t="s">
        <v>67</v>
      </c>
      <c r="E541" s="2" t="s">
        <v>68</v>
      </c>
      <c r="F541" s="2" t="s">
        <v>54</v>
      </c>
      <c r="G541" s="3">
        <v>33132</v>
      </c>
      <c r="H541" s="2">
        <v>29</v>
      </c>
      <c r="I541" s="2" t="s">
        <v>26</v>
      </c>
      <c r="J541" s="2" t="s">
        <v>27</v>
      </c>
      <c r="K541" s="2" t="s">
        <v>37</v>
      </c>
      <c r="L541" s="2" t="s">
        <v>55</v>
      </c>
      <c r="M541" s="2" t="s">
        <v>38</v>
      </c>
      <c r="N541" s="2" t="s">
        <v>56</v>
      </c>
      <c r="O541" s="2"/>
      <c r="P541" s="2"/>
      <c r="Q541" s="2">
        <v>1</v>
      </c>
      <c r="R541" s="2"/>
      <c r="S541" s="2"/>
      <c r="T541" s="2"/>
      <c r="U541" s="3"/>
      <c r="V541" s="8"/>
    </row>
    <row r="542" spans="1:22" ht="15" customHeight="1" x14ac:dyDescent="0.25">
      <c r="A542" s="7">
        <v>541</v>
      </c>
      <c r="B542" s="3">
        <v>43773</v>
      </c>
      <c r="C542" s="2" t="s">
        <v>48</v>
      </c>
      <c r="D542" s="2" t="s">
        <v>67</v>
      </c>
      <c r="E542" s="2" t="s">
        <v>68</v>
      </c>
      <c r="F542" s="2" t="s">
        <v>58</v>
      </c>
      <c r="G542" s="3">
        <v>33144</v>
      </c>
      <c r="H542" s="2">
        <v>29</v>
      </c>
      <c r="I542" s="2" t="s">
        <v>26</v>
      </c>
      <c r="J542" s="2" t="s">
        <v>50</v>
      </c>
      <c r="K542" s="2" t="s">
        <v>28</v>
      </c>
      <c r="L542" s="2" t="s">
        <v>45</v>
      </c>
      <c r="M542" s="2" t="s">
        <v>38</v>
      </c>
      <c r="N542" s="2" t="s">
        <v>39</v>
      </c>
      <c r="O542" s="2" t="s">
        <v>40</v>
      </c>
      <c r="P542" s="2" t="s">
        <v>41</v>
      </c>
      <c r="Q542" s="2">
        <v>1</v>
      </c>
      <c r="R542" s="2"/>
      <c r="S542" s="2"/>
      <c r="T542" s="2"/>
      <c r="U542" s="3"/>
      <c r="V542" s="8"/>
    </row>
    <row r="543" spans="1:22" ht="15" customHeight="1" x14ac:dyDescent="0.25">
      <c r="A543" s="7">
        <v>542</v>
      </c>
      <c r="B543" s="3">
        <v>43774</v>
      </c>
      <c r="C543" s="2" t="s">
        <v>66</v>
      </c>
      <c r="D543" s="2" t="s">
        <v>67</v>
      </c>
      <c r="E543" s="2" t="s">
        <v>68</v>
      </c>
      <c r="F543" s="2" t="s">
        <v>60</v>
      </c>
      <c r="G543" s="3">
        <v>32919</v>
      </c>
      <c r="H543" s="2">
        <v>30</v>
      </c>
      <c r="I543" s="2" t="s">
        <v>26</v>
      </c>
      <c r="J543" s="2" t="s">
        <v>61</v>
      </c>
      <c r="K543" s="2" t="s">
        <v>37</v>
      </c>
      <c r="L543" s="2" t="s">
        <v>62</v>
      </c>
      <c r="M543" s="2" t="s">
        <v>38</v>
      </c>
      <c r="N543" s="2" t="s">
        <v>63</v>
      </c>
      <c r="O543" s="2" t="s">
        <v>64</v>
      </c>
      <c r="P543" s="2"/>
      <c r="Q543" s="2">
        <v>1</v>
      </c>
      <c r="R543" s="2"/>
      <c r="S543" s="2"/>
      <c r="T543" s="2"/>
      <c r="U543" s="3"/>
      <c r="V543" s="8">
        <v>100000</v>
      </c>
    </row>
    <row r="544" spans="1:22" ht="15" customHeight="1" x14ac:dyDescent="0.25">
      <c r="A544" s="7">
        <v>543</v>
      </c>
      <c r="B544" s="3">
        <v>43775</v>
      </c>
      <c r="C544" s="2" t="s">
        <v>22</v>
      </c>
      <c r="D544" s="2" t="s">
        <v>67</v>
      </c>
      <c r="E544" s="2" t="s">
        <v>68</v>
      </c>
      <c r="F544" s="2" t="s">
        <v>65</v>
      </c>
      <c r="G544" s="3">
        <v>34195</v>
      </c>
      <c r="H544" s="2">
        <v>27</v>
      </c>
      <c r="I544" s="2" t="s">
        <v>26</v>
      </c>
      <c r="J544" s="2" t="s">
        <v>27</v>
      </c>
      <c r="K544" s="2" t="s">
        <v>37</v>
      </c>
      <c r="L544" s="2" t="s">
        <v>45</v>
      </c>
      <c r="M544" s="2" t="s">
        <v>38</v>
      </c>
      <c r="N544" s="2" t="s">
        <v>63</v>
      </c>
      <c r="O544" s="2" t="s">
        <v>64</v>
      </c>
      <c r="P544" s="2"/>
      <c r="Q544" s="2">
        <v>1</v>
      </c>
      <c r="R544" s="2">
        <v>1</v>
      </c>
      <c r="S544" s="2"/>
      <c r="T544" s="2"/>
      <c r="U544" s="3"/>
      <c r="V544" s="8">
        <v>100000</v>
      </c>
    </row>
    <row r="545" spans="1:22" ht="15" customHeight="1" x14ac:dyDescent="0.25">
      <c r="A545" s="7">
        <v>544</v>
      </c>
      <c r="B545" s="3">
        <v>43775</v>
      </c>
      <c r="C545" s="2" t="s">
        <v>22</v>
      </c>
      <c r="D545" s="2" t="s">
        <v>67</v>
      </c>
      <c r="E545" s="2" t="s">
        <v>68</v>
      </c>
      <c r="F545" s="2" t="s">
        <v>69</v>
      </c>
      <c r="G545" s="3">
        <v>32589</v>
      </c>
      <c r="H545" s="2">
        <v>31</v>
      </c>
      <c r="I545" s="2" t="s">
        <v>26</v>
      </c>
      <c r="J545" s="2" t="s">
        <v>70</v>
      </c>
      <c r="K545" s="2" t="s">
        <v>28</v>
      </c>
      <c r="L545" s="2" t="s">
        <v>45</v>
      </c>
      <c r="M545" s="2" t="s">
        <v>38</v>
      </c>
      <c r="N545" s="2" t="s">
        <v>63</v>
      </c>
      <c r="O545" s="2" t="s">
        <v>64</v>
      </c>
      <c r="P545" s="2"/>
      <c r="Q545" s="2">
        <v>1</v>
      </c>
      <c r="R545" s="2">
        <v>1</v>
      </c>
      <c r="S545" s="2"/>
      <c r="T545" s="2"/>
      <c r="U545" s="3"/>
      <c r="V545" s="8">
        <v>100000</v>
      </c>
    </row>
    <row r="546" spans="1:22" ht="15" customHeight="1" x14ac:dyDescent="0.25">
      <c r="A546" s="7">
        <v>545</v>
      </c>
      <c r="B546" s="3">
        <v>43775</v>
      </c>
      <c r="C546" s="2" t="s">
        <v>22</v>
      </c>
      <c r="D546" s="2" t="s">
        <v>67</v>
      </c>
      <c r="E546" s="2" t="s">
        <v>68</v>
      </c>
      <c r="F546" s="2" t="s">
        <v>65</v>
      </c>
      <c r="G546" s="3">
        <v>34195</v>
      </c>
      <c r="H546" s="2">
        <v>27</v>
      </c>
      <c r="I546" s="2" t="s">
        <v>26</v>
      </c>
      <c r="J546" s="2" t="s">
        <v>27</v>
      </c>
      <c r="K546" s="2" t="s">
        <v>37</v>
      </c>
      <c r="L546" s="2" t="s">
        <v>45</v>
      </c>
      <c r="M546" s="2" t="s">
        <v>38</v>
      </c>
      <c r="N546" s="2" t="s">
        <v>63</v>
      </c>
      <c r="O546" s="2" t="s">
        <v>64</v>
      </c>
      <c r="P546" s="2"/>
      <c r="Q546" s="2">
        <v>1</v>
      </c>
      <c r="R546" s="2">
        <v>1</v>
      </c>
      <c r="S546" s="2"/>
      <c r="T546" s="2"/>
      <c r="U546" s="3"/>
      <c r="V546" s="8">
        <v>100000</v>
      </c>
    </row>
    <row r="547" spans="1:22" ht="15" customHeight="1" x14ac:dyDescent="0.25">
      <c r="A547" s="7">
        <v>546</v>
      </c>
      <c r="B547" s="3">
        <v>43777</v>
      </c>
      <c r="C547" s="2" t="s">
        <v>57</v>
      </c>
      <c r="D547" s="2" t="s">
        <v>23</v>
      </c>
      <c r="E547" s="2" t="s">
        <v>24</v>
      </c>
      <c r="F547" s="2" t="s">
        <v>72</v>
      </c>
      <c r="G547" s="3">
        <v>33476</v>
      </c>
      <c r="H547" s="2">
        <v>29</v>
      </c>
      <c r="I547" s="2" t="s">
        <v>26</v>
      </c>
      <c r="J547" s="2" t="s">
        <v>73</v>
      </c>
      <c r="K547" s="2" t="s">
        <v>37</v>
      </c>
      <c r="L547" s="2" t="s">
        <v>45</v>
      </c>
      <c r="M547" s="2" t="s">
        <v>38</v>
      </c>
      <c r="N547" s="2" t="s">
        <v>39</v>
      </c>
      <c r="O547" s="2" t="s">
        <v>46</v>
      </c>
      <c r="P547" s="2" t="s">
        <v>47</v>
      </c>
      <c r="Q547" s="2">
        <v>1</v>
      </c>
      <c r="R547" s="2">
        <v>1</v>
      </c>
      <c r="S547" s="2"/>
      <c r="T547" s="2"/>
      <c r="U547" s="3"/>
      <c r="V547" s="8">
        <v>200000</v>
      </c>
    </row>
    <row r="548" spans="1:22" ht="15" customHeight="1" x14ac:dyDescent="0.25">
      <c r="A548" s="7">
        <v>547</v>
      </c>
      <c r="B548" s="3">
        <v>43778</v>
      </c>
      <c r="C548" s="2" t="s">
        <v>22</v>
      </c>
      <c r="D548" s="2" t="s">
        <v>67</v>
      </c>
      <c r="E548" s="2" t="s">
        <v>68</v>
      </c>
      <c r="F548" s="2" t="s">
        <v>122</v>
      </c>
      <c r="G548" s="3">
        <v>33041</v>
      </c>
      <c r="H548" s="2">
        <v>30</v>
      </c>
      <c r="I548" s="2" t="s">
        <v>26</v>
      </c>
      <c r="J548" s="2" t="s">
        <v>27</v>
      </c>
      <c r="K548" s="2" t="s">
        <v>37</v>
      </c>
      <c r="L548" s="2" t="s">
        <v>92</v>
      </c>
      <c r="M548" s="2" t="s">
        <v>38</v>
      </c>
      <c r="N548" s="2" t="s">
        <v>39</v>
      </c>
      <c r="O548" s="2" t="s">
        <v>40</v>
      </c>
      <c r="P548" s="2" t="s">
        <v>84</v>
      </c>
      <c r="Q548" s="2">
        <v>1</v>
      </c>
      <c r="R548" s="2"/>
      <c r="S548" s="2"/>
      <c r="T548" s="2"/>
      <c r="U548" s="3"/>
      <c r="V548" s="8">
        <v>200000</v>
      </c>
    </row>
    <row r="549" spans="1:22" ht="15" customHeight="1" x14ac:dyDescent="0.25">
      <c r="A549" s="7">
        <v>548</v>
      </c>
      <c r="B549" s="3">
        <v>43779</v>
      </c>
      <c r="C549" s="2" t="s">
        <v>57</v>
      </c>
      <c r="D549" s="2" t="s">
        <v>23</v>
      </c>
      <c r="E549" s="2" t="s">
        <v>24</v>
      </c>
      <c r="F549" s="2" t="s">
        <v>78</v>
      </c>
      <c r="G549" s="3">
        <v>33573</v>
      </c>
      <c r="H549" s="2">
        <v>28</v>
      </c>
      <c r="I549" s="2" t="s">
        <v>26</v>
      </c>
      <c r="J549" s="2" t="s">
        <v>79</v>
      </c>
      <c r="K549" s="2" t="s">
        <v>37</v>
      </c>
      <c r="L549" s="2" t="s">
        <v>45</v>
      </c>
      <c r="M549" s="2" t="s">
        <v>38</v>
      </c>
      <c r="N549" s="2" t="s">
        <v>89</v>
      </c>
      <c r="O549" s="2"/>
      <c r="P549" s="2"/>
      <c r="Q549" s="2">
        <v>1</v>
      </c>
      <c r="R549" s="2">
        <v>1</v>
      </c>
      <c r="S549" s="2">
        <v>1</v>
      </c>
      <c r="T549" s="2">
        <v>1</v>
      </c>
      <c r="U549" s="3">
        <v>43785</v>
      </c>
      <c r="V549" s="8">
        <v>5000000</v>
      </c>
    </row>
    <row r="550" spans="1:22" ht="15" customHeight="1" x14ac:dyDescent="0.25">
      <c r="A550" s="7">
        <v>549</v>
      </c>
      <c r="B550" s="3">
        <v>43780</v>
      </c>
      <c r="C550" s="2" t="s">
        <v>57</v>
      </c>
      <c r="D550" s="2" t="s">
        <v>23</v>
      </c>
      <c r="E550" s="2" t="s">
        <v>24</v>
      </c>
      <c r="F550" s="2" t="s">
        <v>80</v>
      </c>
      <c r="G550" s="3">
        <v>33088</v>
      </c>
      <c r="H550" s="2">
        <v>30</v>
      </c>
      <c r="I550" s="2" t="s">
        <v>26</v>
      </c>
      <c r="J550" s="2" t="s">
        <v>75</v>
      </c>
      <c r="K550" s="2" t="s">
        <v>37</v>
      </c>
      <c r="L550" s="2" t="s">
        <v>45</v>
      </c>
      <c r="M550" s="2" t="s">
        <v>30</v>
      </c>
      <c r="N550" s="2" t="s">
        <v>81</v>
      </c>
      <c r="O550" s="2"/>
      <c r="P550" s="2"/>
      <c r="Q550" s="2">
        <v>1</v>
      </c>
      <c r="R550" s="2"/>
      <c r="S550" s="2"/>
      <c r="T550" s="2"/>
      <c r="U550" s="3"/>
      <c r="V550" s="8"/>
    </row>
    <row r="551" spans="1:22" ht="15" customHeight="1" x14ac:dyDescent="0.25">
      <c r="A551" s="7">
        <v>550</v>
      </c>
      <c r="B551" s="3">
        <v>43781</v>
      </c>
      <c r="C551" s="2" t="s">
        <v>66</v>
      </c>
      <c r="D551" s="2" t="s">
        <v>67</v>
      </c>
      <c r="E551" s="2" t="s">
        <v>68</v>
      </c>
      <c r="F551" s="2" t="s">
        <v>82</v>
      </c>
      <c r="G551" s="3">
        <v>33594</v>
      </c>
      <c r="H551" s="2">
        <v>28</v>
      </c>
      <c r="I551" s="2" t="s">
        <v>26</v>
      </c>
      <c r="J551" s="2" t="s">
        <v>83</v>
      </c>
      <c r="K551" s="2" t="s">
        <v>37</v>
      </c>
      <c r="L551" s="2" t="s">
        <v>45</v>
      </c>
      <c r="M551" s="2" t="s">
        <v>38</v>
      </c>
      <c r="N551" s="2" t="s">
        <v>39</v>
      </c>
      <c r="O551" s="2" t="s">
        <v>46</v>
      </c>
      <c r="P551" s="2" t="s">
        <v>84</v>
      </c>
      <c r="Q551" s="2">
        <v>1</v>
      </c>
      <c r="R551" s="2">
        <v>1</v>
      </c>
      <c r="S551" s="2">
        <v>1</v>
      </c>
      <c r="T551" s="2">
        <v>1</v>
      </c>
      <c r="U551" s="3">
        <v>43781</v>
      </c>
      <c r="V551" s="8">
        <v>200000</v>
      </c>
    </row>
    <row r="552" spans="1:22" ht="15" customHeight="1" x14ac:dyDescent="0.25">
      <c r="A552" s="7">
        <v>551</v>
      </c>
      <c r="B552" s="3">
        <v>43782</v>
      </c>
      <c r="C552" s="2" t="s">
        <v>22</v>
      </c>
      <c r="D552" s="2" t="s">
        <v>67</v>
      </c>
      <c r="E552" s="2" t="s">
        <v>68</v>
      </c>
      <c r="F552" s="2" t="s">
        <v>117</v>
      </c>
      <c r="G552" s="3">
        <v>34021</v>
      </c>
      <c r="H552" s="2">
        <v>27</v>
      </c>
      <c r="I552" s="2" t="s">
        <v>26</v>
      </c>
      <c r="J552" s="2" t="s">
        <v>27</v>
      </c>
      <c r="K552" s="2" t="s">
        <v>28</v>
      </c>
      <c r="L552" s="2" t="s">
        <v>45</v>
      </c>
      <c r="M552" s="2" t="s">
        <v>38</v>
      </c>
      <c r="N552" s="2" t="s">
        <v>39</v>
      </c>
      <c r="O552" s="2" t="s">
        <v>46</v>
      </c>
      <c r="P552" s="2" t="s">
        <v>118</v>
      </c>
      <c r="Q552" s="2">
        <v>1</v>
      </c>
      <c r="R552" s="2">
        <v>1</v>
      </c>
      <c r="S552" s="2">
        <v>1</v>
      </c>
      <c r="T552" s="2">
        <v>1</v>
      </c>
      <c r="U552" s="3">
        <v>43788</v>
      </c>
      <c r="V552" s="8"/>
    </row>
    <row r="553" spans="1:22" ht="15" customHeight="1" x14ac:dyDescent="0.25">
      <c r="A553" s="7">
        <v>552</v>
      </c>
      <c r="B553" s="3">
        <v>43784</v>
      </c>
      <c r="C553" s="2" t="s">
        <v>48</v>
      </c>
      <c r="D553" s="2" t="s">
        <v>67</v>
      </c>
      <c r="E553" s="2" t="s">
        <v>68</v>
      </c>
      <c r="F553" s="2" t="s">
        <v>119</v>
      </c>
      <c r="G553" s="3">
        <v>34295</v>
      </c>
      <c r="H553" s="2">
        <v>26</v>
      </c>
      <c r="I553" s="2" t="s">
        <v>26</v>
      </c>
      <c r="J553" s="2" t="s">
        <v>27</v>
      </c>
      <c r="K553" s="2" t="s">
        <v>37</v>
      </c>
      <c r="L553" s="2" t="s">
        <v>45</v>
      </c>
      <c r="M553" s="2" t="s">
        <v>38</v>
      </c>
      <c r="N553" s="2" t="s">
        <v>56</v>
      </c>
      <c r="O553" s="2"/>
      <c r="P553" s="2"/>
      <c r="Q553" s="2">
        <v>1</v>
      </c>
      <c r="R553" s="2"/>
      <c r="S553" s="2"/>
      <c r="T553" s="2"/>
      <c r="U553" s="3"/>
      <c r="V553" s="8"/>
    </row>
    <row r="554" spans="1:22" ht="15" customHeight="1" x14ac:dyDescent="0.25">
      <c r="A554" s="7">
        <v>553</v>
      </c>
      <c r="B554" s="3">
        <v>43785</v>
      </c>
      <c r="C554" s="2" t="s">
        <v>57</v>
      </c>
      <c r="D554" s="2" t="s">
        <v>23</v>
      </c>
      <c r="E554" s="2" t="s">
        <v>24</v>
      </c>
      <c r="F554" s="2" t="s">
        <v>120</v>
      </c>
      <c r="G554" s="3">
        <v>34118</v>
      </c>
      <c r="H554" s="2">
        <v>27</v>
      </c>
      <c r="I554" s="2" t="s">
        <v>26</v>
      </c>
      <c r="J554" s="2" t="s">
        <v>79</v>
      </c>
      <c r="K554" s="2" t="s">
        <v>28</v>
      </c>
      <c r="L554" s="2" t="s">
        <v>45</v>
      </c>
      <c r="M554" s="2" t="s">
        <v>38</v>
      </c>
      <c r="N554" s="2" t="s">
        <v>63</v>
      </c>
      <c r="O554" s="2" t="s">
        <v>64</v>
      </c>
      <c r="P554" s="2"/>
      <c r="Q554" s="2">
        <v>1</v>
      </c>
      <c r="R554" s="2"/>
      <c r="S554" s="2"/>
      <c r="T554" s="2"/>
      <c r="U554" s="3"/>
      <c r="V554" s="8"/>
    </row>
    <row r="555" spans="1:22" ht="15" customHeight="1" x14ac:dyDescent="0.25">
      <c r="A555" s="7">
        <v>554</v>
      </c>
      <c r="B555" s="3">
        <v>43785</v>
      </c>
      <c r="C555" s="2" t="s">
        <v>32</v>
      </c>
      <c r="D555" s="2" t="s">
        <v>140</v>
      </c>
      <c r="E555" s="2" t="s">
        <v>141</v>
      </c>
      <c r="F555" s="2" t="s">
        <v>101</v>
      </c>
      <c r="G555" s="3">
        <v>33016</v>
      </c>
      <c r="H555" s="2">
        <v>30</v>
      </c>
      <c r="I555" s="2" t="s">
        <v>26</v>
      </c>
      <c r="J555" s="2" t="s">
        <v>93</v>
      </c>
      <c r="K555" s="2" t="s">
        <v>37</v>
      </c>
      <c r="L555" s="2" t="s">
        <v>45</v>
      </c>
      <c r="M555" s="2" t="s">
        <v>38</v>
      </c>
      <c r="N555" s="2" t="s">
        <v>39</v>
      </c>
      <c r="O555" s="2" t="s">
        <v>46</v>
      </c>
      <c r="P555" s="2" t="s">
        <v>95</v>
      </c>
      <c r="Q555" s="2">
        <v>1</v>
      </c>
      <c r="R555" s="2">
        <v>1</v>
      </c>
      <c r="S555" s="2"/>
      <c r="T555" s="2"/>
      <c r="U555" s="3"/>
      <c r="V555" s="8">
        <v>150000</v>
      </c>
    </row>
    <row r="556" spans="1:22" ht="15" customHeight="1" x14ac:dyDescent="0.25">
      <c r="A556" s="7">
        <v>555</v>
      </c>
      <c r="B556" s="3">
        <v>43786</v>
      </c>
      <c r="C556" s="2" t="s">
        <v>32</v>
      </c>
      <c r="D556" s="2" t="s">
        <v>140</v>
      </c>
      <c r="E556" s="2" t="s">
        <v>141</v>
      </c>
      <c r="F556" s="2" t="s">
        <v>86</v>
      </c>
      <c r="G556" s="3">
        <v>34384</v>
      </c>
      <c r="H556" s="2">
        <v>26</v>
      </c>
      <c r="I556" s="2" t="s">
        <v>87</v>
      </c>
      <c r="J556" s="2" t="s">
        <v>88</v>
      </c>
      <c r="K556" s="2" t="s">
        <v>37</v>
      </c>
      <c r="L556" s="2" t="s">
        <v>55</v>
      </c>
      <c r="M556" s="2" t="s">
        <v>38</v>
      </c>
      <c r="N556" s="2" t="s">
        <v>39</v>
      </c>
      <c r="O556" s="2" t="s">
        <v>46</v>
      </c>
      <c r="P556" s="2" t="s">
        <v>47</v>
      </c>
      <c r="Q556" s="2">
        <v>1</v>
      </c>
      <c r="R556" s="2">
        <v>1</v>
      </c>
      <c r="S556" s="2"/>
      <c r="T556" s="2"/>
      <c r="U556" s="3"/>
      <c r="V556" s="8">
        <v>200000</v>
      </c>
    </row>
    <row r="557" spans="1:22" ht="15" customHeight="1" x14ac:dyDescent="0.25">
      <c r="A557" s="7">
        <v>556</v>
      </c>
      <c r="B557" s="3">
        <v>43786</v>
      </c>
      <c r="C557" s="2" t="s">
        <v>32</v>
      </c>
      <c r="D557" s="2" t="s">
        <v>140</v>
      </c>
      <c r="E557" s="2" t="s">
        <v>141</v>
      </c>
      <c r="F557" s="2" t="s">
        <v>94</v>
      </c>
      <c r="G557" s="3">
        <v>33667</v>
      </c>
      <c r="H557" s="2">
        <v>28</v>
      </c>
      <c r="I557" s="2" t="s">
        <v>26</v>
      </c>
      <c r="J557" s="2" t="s">
        <v>27</v>
      </c>
      <c r="K557" s="2" t="s">
        <v>37</v>
      </c>
      <c r="L557" s="2" t="s">
        <v>92</v>
      </c>
      <c r="M557" s="2" t="s">
        <v>38</v>
      </c>
      <c r="N557" s="2" t="s">
        <v>39</v>
      </c>
      <c r="O557" s="2" t="s">
        <v>46</v>
      </c>
      <c r="P557" s="2" t="s">
        <v>95</v>
      </c>
      <c r="Q557" s="2">
        <v>1</v>
      </c>
      <c r="R557" s="2">
        <v>1</v>
      </c>
      <c r="S557" s="2"/>
      <c r="T557" s="2"/>
      <c r="U557" s="3"/>
      <c r="V557" s="8">
        <v>150000</v>
      </c>
    </row>
    <row r="558" spans="1:22" ht="15" customHeight="1" x14ac:dyDescent="0.25">
      <c r="A558" s="7">
        <v>557</v>
      </c>
      <c r="B558" s="3">
        <v>43787</v>
      </c>
      <c r="C558" s="2" t="s">
        <v>48</v>
      </c>
      <c r="D558" s="2" t="s">
        <v>67</v>
      </c>
      <c r="E558" s="2" t="s">
        <v>68</v>
      </c>
      <c r="F558" s="2" t="s">
        <v>98</v>
      </c>
      <c r="G558" s="3">
        <v>34231</v>
      </c>
      <c r="H558" s="2">
        <v>26</v>
      </c>
      <c r="I558" s="2" t="s">
        <v>26</v>
      </c>
      <c r="J558" s="2" t="s">
        <v>88</v>
      </c>
      <c r="K558" s="2" t="s">
        <v>37</v>
      </c>
      <c r="L558" s="2" t="s">
        <v>45</v>
      </c>
      <c r="M558" s="2" t="s">
        <v>38</v>
      </c>
      <c r="N558" s="2" t="s">
        <v>63</v>
      </c>
      <c r="O558" s="2" t="s">
        <v>64</v>
      </c>
      <c r="P558" s="2"/>
      <c r="Q558" s="2">
        <v>1</v>
      </c>
      <c r="R558" s="2"/>
      <c r="S558" s="2"/>
      <c r="T558" s="2"/>
      <c r="U558" s="3"/>
      <c r="V558" s="8"/>
    </row>
    <row r="559" spans="1:22" ht="15" customHeight="1" x14ac:dyDescent="0.25">
      <c r="A559" s="7">
        <v>558</v>
      </c>
      <c r="B559" s="3">
        <v>43787</v>
      </c>
      <c r="C559" s="2" t="s">
        <v>48</v>
      </c>
      <c r="D559" s="2" t="s">
        <v>67</v>
      </c>
      <c r="E559" s="2" t="s">
        <v>68</v>
      </c>
      <c r="F559" s="2" t="s">
        <v>96</v>
      </c>
      <c r="G559" s="3">
        <v>35008</v>
      </c>
      <c r="H559" s="2">
        <v>24</v>
      </c>
      <c r="I559" s="2" t="s">
        <v>26</v>
      </c>
      <c r="J559" s="2" t="s">
        <v>97</v>
      </c>
      <c r="K559" s="2" t="s">
        <v>37</v>
      </c>
      <c r="L559" s="2" t="s">
        <v>45</v>
      </c>
      <c r="M559" s="2" t="s">
        <v>38</v>
      </c>
      <c r="N559" s="2" t="s">
        <v>63</v>
      </c>
      <c r="O559" s="2" t="s">
        <v>64</v>
      </c>
      <c r="P559" s="2"/>
      <c r="Q559" s="2">
        <v>1</v>
      </c>
      <c r="R559" s="2">
        <v>1</v>
      </c>
      <c r="S559" s="2"/>
      <c r="T559" s="2"/>
      <c r="U559" s="3"/>
      <c r="V559" s="8">
        <v>100000</v>
      </c>
    </row>
    <row r="560" spans="1:22" ht="15" customHeight="1" x14ac:dyDescent="0.25">
      <c r="A560" s="7">
        <v>559</v>
      </c>
      <c r="B560" s="3">
        <v>43787</v>
      </c>
      <c r="C560" s="2" t="s">
        <v>66</v>
      </c>
      <c r="D560" s="2" t="s">
        <v>67</v>
      </c>
      <c r="E560" s="2" t="s">
        <v>68</v>
      </c>
      <c r="F560" s="2" t="s">
        <v>53</v>
      </c>
      <c r="G560" s="3">
        <v>32589</v>
      </c>
      <c r="H560" s="2">
        <v>31</v>
      </c>
      <c r="I560" s="2" t="s">
        <v>26</v>
      </c>
      <c r="J560" s="2" t="s">
        <v>50</v>
      </c>
      <c r="K560" s="2" t="s">
        <v>28</v>
      </c>
      <c r="L560" s="2" t="s">
        <v>45</v>
      </c>
      <c r="M560" s="2" t="s">
        <v>38</v>
      </c>
      <c r="N560" s="2" t="s">
        <v>39</v>
      </c>
      <c r="O560" s="2" t="s">
        <v>40</v>
      </c>
      <c r="P560" s="2" t="s">
        <v>41</v>
      </c>
      <c r="Q560" s="2">
        <v>1</v>
      </c>
      <c r="R560" s="2">
        <v>1</v>
      </c>
      <c r="S560" s="2">
        <v>1</v>
      </c>
      <c r="T560" s="2">
        <v>1</v>
      </c>
      <c r="U560" s="3">
        <v>43779</v>
      </c>
      <c r="V560" s="8"/>
    </row>
    <row r="561" spans="1:22" ht="15" customHeight="1" x14ac:dyDescent="0.25">
      <c r="A561" s="7">
        <v>560</v>
      </c>
      <c r="B561" s="3">
        <v>43789</v>
      </c>
      <c r="C561" s="2" t="s">
        <v>57</v>
      </c>
      <c r="D561" s="2" t="s">
        <v>23</v>
      </c>
      <c r="E561" s="2" t="s">
        <v>24</v>
      </c>
      <c r="F561" s="2" t="s">
        <v>101</v>
      </c>
      <c r="G561" s="3">
        <v>33840</v>
      </c>
      <c r="H561" s="2">
        <v>28</v>
      </c>
      <c r="I561" s="2" t="s">
        <v>87</v>
      </c>
      <c r="J561" s="2" t="s">
        <v>102</v>
      </c>
      <c r="K561" s="2" t="s">
        <v>37</v>
      </c>
      <c r="L561" s="2" t="s">
        <v>103</v>
      </c>
      <c r="M561" s="2" t="s">
        <v>38</v>
      </c>
      <c r="N561" s="2" t="s">
        <v>89</v>
      </c>
      <c r="O561" s="2"/>
      <c r="P561" s="2"/>
      <c r="Q561" s="2">
        <v>1</v>
      </c>
      <c r="R561" s="2">
        <v>1</v>
      </c>
      <c r="S561" s="2"/>
      <c r="T561" s="2"/>
      <c r="U561" s="3"/>
      <c r="V561" s="8"/>
    </row>
    <row r="562" spans="1:22" ht="15" customHeight="1" x14ac:dyDescent="0.25">
      <c r="A562" s="7">
        <v>561</v>
      </c>
      <c r="B562" s="3">
        <v>43789</v>
      </c>
      <c r="C562" s="2" t="s">
        <v>22</v>
      </c>
      <c r="D562" s="2" t="s">
        <v>67</v>
      </c>
      <c r="E562" s="2" t="s">
        <v>68</v>
      </c>
      <c r="F562" s="2" t="s">
        <v>60</v>
      </c>
      <c r="G562" s="3">
        <v>33409</v>
      </c>
      <c r="H562" s="2">
        <v>29</v>
      </c>
      <c r="I562" s="2" t="s">
        <v>26</v>
      </c>
      <c r="J562" s="2" t="s">
        <v>27</v>
      </c>
      <c r="K562" s="2" t="s">
        <v>37</v>
      </c>
      <c r="L562" s="2" t="s">
        <v>45</v>
      </c>
      <c r="M562" s="2" t="s">
        <v>38</v>
      </c>
      <c r="N562" s="2" t="s">
        <v>39</v>
      </c>
      <c r="O562" s="2" t="s">
        <v>46</v>
      </c>
      <c r="P562" s="2" t="s">
        <v>84</v>
      </c>
      <c r="Q562" s="2">
        <v>1</v>
      </c>
      <c r="R562" s="2"/>
      <c r="S562" s="2"/>
      <c r="T562" s="2"/>
      <c r="U562" s="3"/>
      <c r="V562" s="8">
        <v>200000</v>
      </c>
    </row>
    <row r="563" spans="1:22" ht="15" customHeight="1" x14ac:dyDescent="0.25">
      <c r="A563" s="7">
        <v>562</v>
      </c>
      <c r="B563" s="3">
        <v>43789</v>
      </c>
      <c r="C563" s="2" t="s">
        <v>32</v>
      </c>
      <c r="D563" s="2" t="s">
        <v>140</v>
      </c>
      <c r="E563" s="2" t="s">
        <v>141</v>
      </c>
      <c r="F563" s="2" t="s">
        <v>105</v>
      </c>
      <c r="G563" s="3">
        <v>33144</v>
      </c>
      <c r="H563" s="2">
        <v>29</v>
      </c>
      <c r="I563" s="2" t="s">
        <v>26</v>
      </c>
      <c r="J563" s="2" t="s">
        <v>27</v>
      </c>
      <c r="K563" s="2" t="s">
        <v>37</v>
      </c>
      <c r="L563" s="2" t="s">
        <v>55</v>
      </c>
      <c r="M563" s="2" t="s">
        <v>30</v>
      </c>
      <c r="N563" s="2" t="s">
        <v>31</v>
      </c>
      <c r="O563" s="2"/>
      <c r="P563" s="2"/>
      <c r="Q563" s="2">
        <v>1</v>
      </c>
      <c r="R563" s="2">
        <v>1</v>
      </c>
      <c r="S563" s="2">
        <v>1</v>
      </c>
      <c r="T563" s="2">
        <v>1</v>
      </c>
      <c r="U563" s="3">
        <v>43789</v>
      </c>
      <c r="V563" s="8">
        <v>500000</v>
      </c>
    </row>
    <row r="564" spans="1:22" ht="15" customHeight="1" x14ac:dyDescent="0.25">
      <c r="A564" s="7">
        <v>563</v>
      </c>
      <c r="B564" s="3">
        <v>43790</v>
      </c>
      <c r="C564" s="2" t="s">
        <v>66</v>
      </c>
      <c r="D564" s="2" t="s">
        <v>67</v>
      </c>
      <c r="E564" s="2" t="s">
        <v>68</v>
      </c>
      <c r="F564" s="2" t="s">
        <v>106</v>
      </c>
      <c r="G564" s="3">
        <v>33868</v>
      </c>
      <c r="H564" s="2">
        <v>27</v>
      </c>
      <c r="I564" s="2" t="s">
        <v>26</v>
      </c>
      <c r="J564" s="2" t="s">
        <v>79</v>
      </c>
      <c r="K564" s="2" t="s">
        <v>91</v>
      </c>
      <c r="L564" s="2" t="s">
        <v>45</v>
      </c>
      <c r="M564" s="2" t="s">
        <v>30</v>
      </c>
      <c r="N564" s="2" t="s">
        <v>81</v>
      </c>
      <c r="O564" s="2"/>
      <c r="P564" s="2"/>
      <c r="Q564" s="2">
        <v>1</v>
      </c>
      <c r="R564" s="2"/>
      <c r="S564" s="2"/>
      <c r="T564" s="2"/>
      <c r="U564" s="3"/>
      <c r="V564" s="8"/>
    </row>
    <row r="565" spans="1:22" ht="15" customHeight="1" x14ac:dyDescent="0.25">
      <c r="A565" s="7">
        <v>564</v>
      </c>
      <c r="B565" s="3">
        <v>43790</v>
      </c>
      <c r="C565" s="2" t="s">
        <v>22</v>
      </c>
      <c r="D565" s="2" t="s">
        <v>67</v>
      </c>
      <c r="E565" s="2" t="s">
        <v>68</v>
      </c>
      <c r="F565" s="2" t="s">
        <v>107</v>
      </c>
      <c r="G565" s="3">
        <v>33429</v>
      </c>
      <c r="H565" s="2">
        <v>29</v>
      </c>
      <c r="I565" s="2" t="s">
        <v>87</v>
      </c>
      <c r="J565" s="2" t="s">
        <v>108</v>
      </c>
      <c r="K565" s="2" t="s">
        <v>37</v>
      </c>
      <c r="L565" s="2" t="s">
        <v>45</v>
      </c>
      <c r="M565" s="2" t="s">
        <v>30</v>
      </c>
      <c r="N565" s="2" t="s">
        <v>31</v>
      </c>
      <c r="O565" s="2"/>
      <c r="P565" s="2"/>
      <c r="Q565" s="2">
        <v>1</v>
      </c>
      <c r="R565" s="2"/>
      <c r="S565" s="2"/>
      <c r="T565" s="2"/>
      <c r="U565" s="3"/>
      <c r="V565" s="8"/>
    </row>
    <row r="566" spans="1:22" ht="15" customHeight="1" x14ac:dyDescent="0.25">
      <c r="A566" s="7">
        <v>565</v>
      </c>
      <c r="B566" s="3">
        <v>43790</v>
      </c>
      <c r="C566" s="2" t="s">
        <v>32</v>
      </c>
      <c r="D566" s="2" t="s">
        <v>140</v>
      </c>
      <c r="E566" s="2" t="s">
        <v>141</v>
      </c>
      <c r="F566" s="2" t="s">
        <v>69</v>
      </c>
      <c r="G566" s="3">
        <v>32996</v>
      </c>
      <c r="H566" s="2">
        <v>30</v>
      </c>
      <c r="I566" s="2" t="s">
        <v>26</v>
      </c>
      <c r="J566" s="2" t="s">
        <v>110</v>
      </c>
      <c r="K566" s="2" t="s">
        <v>37</v>
      </c>
      <c r="L566" s="2" t="s">
        <v>45</v>
      </c>
      <c r="M566" s="2" t="s">
        <v>30</v>
      </c>
      <c r="N566" s="2" t="s">
        <v>31</v>
      </c>
      <c r="O566" s="2"/>
      <c r="P566" s="2"/>
      <c r="Q566" s="2">
        <v>1</v>
      </c>
      <c r="R566" s="2">
        <v>1</v>
      </c>
      <c r="S566" s="2"/>
      <c r="T566" s="2"/>
      <c r="U566" s="3"/>
      <c r="V566" s="8"/>
    </row>
    <row r="567" spans="1:22" ht="15" customHeight="1" x14ac:dyDescent="0.25">
      <c r="A567" s="7">
        <v>566</v>
      </c>
      <c r="B567" s="3">
        <v>43790</v>
      </c>
      <c r="C567" s="2" t="s">
        <v>66</v>
      </c>
      <c r="D567" s="2" t="s">
        <v>67</v>
      </c>
      <c r="E567" s="2" t="s">
        <v>68</v>
      </c>
      <c r="F567" s="2" t="s">
        <v>106</v>
      </c>
      <c r="G567" s="3">
        <v>33868</v>
      </c>
      <c r="H567" s="2">
        <v>27</v>
      </c>
      <c r="I567" s="2" t="s">
        <v>26</v>
      </c>
      <c r="J567" s="2" t="s">
        <v>79</v>
      </c>
      <c r="K567" s="2" t="s">
        <v>91</v>
      </c>
      <c r="L567" s="2" t="s">
        <v>45</v>
      </c>
      <c r="M567" s="2" t="s">
        <v>30</v>
      </c>
      <c r="N567" s="2" t="s">
        <v>81</v>
      </c>
      <c r="O567" s="2"/>
      <c r="P567" s="2"/>
      <c r="Q567" s="2">
        <v>1</v>
      </c>
      <c r="R567" s="2"/>
      <c r="S567" s="2"/>
      <c r="T567" s="2"/>
      <c r="U567" s="3"/>
      <c r="V567" s="8"/>
    </row>
    <row r="568" spans="1:22" ht="15" customHeight="1" x14ac:dyDescent="0.25">
      <c r="A568" s="7">
        <v>567</v>
      </c>
      <c r="B568" s="3">
        <v>43790</v>
      </c>
      <c r="C568" s="2" t="s">
        <v>32</v>
      </c>
      <c r="D568" s="2" t="s">
        <v>140</v>
      </c>
      <c r="E568" s="2" t="s">
        <v>141</v>
      </c>
      <c r="F568" s="2" t="s">
        <v>69</v>
      </c>
      <c r="G568" s="3">
        <v>32996</v>
      </c>
      <c r="H568" s="2">
        <v>30</v>
      </c>
      <c r="I568" s="2" t="s">
        <v>26</v>
      </c>
      <c r="J568" s="2" t="s">
        <v>110</v>
      </c>
      <c r="K568" s="2" t="s">
        <v>37</v>
      </c>
      <c r="L568" s="2" t="s">
        <v>45</v>
      </c>
      <c r="M568" s="2" t="s">
        <v>30</v>
      </c>
      <c r="N568" s="2" t="s">
        <v>31</v>
      </c>
      <c r="O568" s="2"/>
      <c r="P568" s="2"/>
      <c r="Q568" s="2">
        <v>1</v>
      </c>
      <c r="R568" s="2">
        <v>1</v>
      </c>
      <c r="S568" s="2"/>
      <c r="T568" s="2"/>
      <c r="U568" s="3"/>
      <c r="V568" s="8"/>
    </row>
    <row r="569" spans="1:22" ht="15" customHeight="1" x14ac:dyDescent="0.25">
      <c r="A569" s="7">
        <v>568</v>
      </c>
      <c r="B569" s="3">
        <v>43790</v>
      </c>
      <c r="C569" s="2" t="s">
        <v>48</v>
      </c>
      <c r="D569" s="2" t="s">
        <v>67</v>
      </c>
      <c r="E569" s="2" t="s">
        <v>68</v>
      </c>
      <c r="F569" s="2" t="s">
        <v>111</v>
      </c>
      <c r="G569" s="3">
        <v>32919</v>
      </c>
      <c r="H569" s="2">
        <v>30</v>
      </c>
      <c r="I569" s="2" t="s">
        <v>87</v>
      </c>
      <c r="J569" s="2" t="s">
        <v>50</v>
      </c>
      <c r="K569" s="2" t="s">
        <v>91</v>
      </c>
      <c r="L569" s="2" t="s">
        <v>45</v>
      </c>
      <c r="M569" s="2" t="s">
        <v>38</v>
      </c>
      <c r="N569" s="2" t="s">
        <v>39</v>
      </c>
      <c r="O569" s="2" t="s">
        <v>40</v>
      </c>
      <c r="P569" s="2" t="s">
        <v>112</v>
      </c>
      <c r="Q569" s="2">
        <v>1</v>
      </c>
      <c r="R569" s="2">
        <v>1</v>
      </c>
      <c r="S569" s="2"/>
      <c r="T569" s="2"/>
      <c r="U569" s="3"/>
      <c r="V569" s="8">
        <v>150000</v>
      </c>
    </row>
    <row r="570" spans="1:22" ht="15" customHeight="1" x14ac:dyDescent="0.25">
      <c r="A570" s="7">
        <v>569</v>
      </c>
      <c r="B570" s="3">
        <v>43790</v>
      </c>
      <c r="C570" s="2" t="s">
        <v>66</v>
      </c>
      <c r="D570" s="2" t="s">
        <v>67</v>
      </c>
      <c r="E570" s="2" t="s">
        <v>68</v>
      </c>
      <c r="F570" s="2" t="s">
        <v>113</v>
      </c>
      <c r="G570" s="3">
        <v>33302</v>
      </c>
      <c r="H570" s="2">
        <v>29</v>
      </c>
      <c r="I570" s="2" t="s">
        <v>26</v>
      </c>
      <c r="J570" s="2" t="s">
        <v>75</v>
      </c>
      <c r="K570" s="2" t="s">
        <v>91</v>
      </c>
      <c r="L570" s="2" t="s">
        <v>114</v>
      </c>
      <c r="M570" s="2" t="s">
        <v>38</v>
      </c>
      <c r="N570" s="2" t="s">
        <v>39</v>
      </c>
      <c r="O570" s="2" t="s">
        <v>46</v>
      </c>
      <c r="P570" s="2" t="s">
        <v>84</v>
      </c>
      <c r="Q570" s="2">
        <v>1</v>
      </c>
      <c r="R570" s="2">
        <v>1</v>
      </c>
      <c r="S570" s="2">
        <v>1</v>
      </c>
      <c r="T570" s="2">
        <v>1</v>
      </c>
      <c r="U570" s="3">
        <v>43788</v>
      </c>
      <c r="V570" s="8">
        <v>200000</v>
      </c>
    </row>
    <row r="571" spans="1:22" ht="15" customHeight="1" x14ac:dyDescent="0.25">
      <c r="A571" s="7">
        <v>570</v>
      </c>
      <c r="B571" s="3">
        <v>43791</v>
      </c>
      <c r="C571" s="2" t="s">
        <v>57</v>
      </c>
      <c r="D571" s="2" t="s">
        <v>23</v>
      </c>
      <c r="E571" s="2" t="s">
        <v>24</v>
      </c>
      <c r="F571" s="2" t="s">
        <v>115</v>
      </c>
      <c r="G571" s="3">
        <v>32589</v>
      </c>
      <c r="H571" s="2">
        <v>31</v>
      </c>
      <c r="I571" s="2" t="s">
        <v>26</v>
      </c>
      <c r="J571" s="2" t="s">
        <v>27</v>
      </c>
      <c r="K571" s="2" t="s">
        <v>37</v>
      </c>
      <c r="L571" s="2" t="s">
        <v>45</v>
      </c>
      <c r="M571" s="2" t="s">
        <v>38</v>
      </c>
      <c r="N571" s="2" t="s">
        <v>89</v>
      </c>
      <c r="O571" s="2"/>
      <c r="P571" s="2"/>
      <c r="Q571" s="2">
        <v>1</v>
      </c>
      <c r="R571" s="2"/>
      <c r="S571" s="2"/>
      <c r="T571" s="2"/>
      <c r="U571" s="3"/>
      <c r="V571" s="8"/>
    </row>
    <row r="572" spans="1:22" ht="15" customHeight="1" x14ac:dyDescent="0.25">
      <c r="A572" s="7">
        <v>571</v>
      </c>
      <c r="B572" s="3">
        <v>43791</v>
      </c>
      <c r="C572" s="2" t="s">
        <v>32</v>
      </c>
      <c r="D572" s="2" t="s">
        <v>140</v>
      </c>
      <c r="E572" s="2" t="s">
        <v>141</v>
      </c>
      <c r="F572" s="2" t="s">
        <v>116</v>
      </c>
      <c r="G572" s="3">
        <v>34652</v>
      </c>
      <c r="H572" s="2">
        <v>25</v>
      </c>
      <c r="I572" s="2" t="s">
        <v>26</v>
      </c>
      <c r="J572" s="2" t="s">
        <v>88</v>
      </c>
      <c r="K572" s="2" t="s">
        <v>91</v>
      </c>
      <c r="L572" s="2" t="s">
        <v>45</v>
      </c>
      <c r="M572" s="2" t="s">
        <v>38</v>
      </c>
      <c r="N572" s="2" t="s">
        <v>39</v>
      </c>
      <c r="O572" s="2" t="s">
        <v>46</v>
      </c>
      <c r="P572" s="2" t="s">
        <v>47</v>
      </c>
      <c r="Q572" s="2">
        <v>1</v>
      </c>
      <c r="R572" s="2"/>
      <c r="S572" s="2"/>
      <c r="T572" s="2"/>
      <c r="U572" s="3"/>
      <c r="V572" s="8">
        <v>120000</v>
      </c>
    </row>
    <row r="573" spans="1:22" ht="15" customHeight="1" x14ac:dyDescent="0.25">
      <c r="A573" s="7">
        <v>572</v>
      </c>
      <c r="B573" s="3">
        <v>43792</v>
      </c>
      <c r="C573" s="2" t="s">
        <v>66</v>
      </c>
      <c r="D573" s="2" t="s">
        <v>67</v>
      </c>
      <c r="E573" s="2" t="s">
        <v>68</v>
      </c>
      <c r="F573" s="2" t="s">
        <v>86</v>
      </c>
      <c r="G573" s="3">
        <v>31553</v>
      </c>
      <c r="H573" s="2">
        <v>34</v>
      </c>
      <c r="I573" s="2" t="s">
        <v>26</v>
      </c>
      <c r="J573" s="2" t="s">
        <v>27</v>
      </c>
      <c r="K573" s="2" t="s">
        <v>91</v>
      </c>
      <c r="L573" s="2" t="s">
        <v>45</v>
      </c>
      <c r="M573" s="2" t="s">
        <v>30</v>
      </c>
      <c r="N573" s="2" t="s">
        <v>81</v>
      </c>
      <c r="O573" s="2"/>
      <c r="P573" s="2"/>
      <c r="Q573" s="2">
        <v>1</v>
      </c>
      <c r="R573" s="2"/>
      <c r="S573" s="2"/>
      <c r="T573" s="2"/>
      <c r="U573" s="3"/>
      <c r="V573" s="8"/>
    </row>
    <row r="574" spans="1:22" ht="15" customHeight="1" x14ac:dyDescent="0.25">
      <c r="A574" s="7">
        <v>573</v>
      </c>
      <c r="B574" s="3">
        <v>43793</v>
      </c>
      <c r="C574" s="2" t="s">
        <v>22</v>
      </c>
      <c r="D574" s="2" t="s">
        <v>67</v>
      </c>
      <c r="E574" s="2" t="s">
        <v>68</v>
      </c>
      <c r="F574" s="2" t="s">
        <v>96</v>
      </c>
      <c r="G574" s="3">
        <v>33409</v>
      </c>
      <c r="H574" s="2">
        <v>29</v>
      </c>
      <c r="I574" s="2" t="s">
        <v>26</v>
      </c>
      <c r="J574" s="2" t="s">
        <v>110</v>
      </c>
      <c r="K574" s="2" t="s">
        <v>28</v>
      </c>
      <c r="L574" s="2" t="s">
        <v>114</v>
      </c>
      <c r="M574" s="2" t="s">
        <v>30</v>
      </c>
      <c r="N574" s="2" t="s">
        <v>81</v>
      </c>
      <c r="O574" s="2"/>
      <c r="P574" s="2"/>
      <c r="Q574" s="2">
        <v>1</v>
      </c>
      <c r="R574" s="2"/>
      <c r="S574" s="2"/>
      <c r="T574" s="2"/>
      <c r="U574" s="3"/>
      <c r="V574" s="8"/>
    </row>
    <row r="575" spans="1:22" ht="15" customHeight="1" x14ac:dyDescent="0.25">
      <c r="A575" s="7">
        <v>574</v>
      </c>
      <c r="B575" s="3">
        <v>43800</v>
      </c>
      <c r="C575" s="2" t="s">
        <v>66</v>
      </c>
      <c r="D575" s="2" t="s">
        <v>23</v>
      </c>
      <c r="E575" s="2" t="s">
        <v>24</v>
      </c>
      <c r="F575" s="2" t="s">
        <v>25</v>
      </c>
      <c r="G575" s="3">
        <v>33409</v>
      </c>
      <c r="H575" s="2">
        <v>29</v>
      </c>
      <c r="I575" s="2" t="s">
        <v>26</v>
      </c>
      <c r="J575" s="2" t="s">
        <v>27</v>
      </c>
      <c r="K575" s="2" t="s">
        <v>28</v>
      </c>
      <c r="L575" s="2" t="s">
        <v>29</v>
      </c>
      <c r="M575" s="2" t="s">
        <v>30</v>
      </c>
      <c r="N575" s="2" t="s">
        <v>31</v>
      </c>
      <c r="O575" s="2"/>
      <c r="P575" s="2"/>
      <c r="Q575" s="2">
        <v>1</v>
      </c>
      <c r="R575" s="2"/>
      <c r="S575" s="2"/>
      <c r="T575" s="2"/>
      <c r="U575" s="3"/>
      <c r="V575" s="8"/>
    </row>
    <row r="576" spans="1:22" ht="15" customHeight="1" x14ac:dyDescent="0.25">
      <c r="A576" s="7">
        <v>575</v>
      </c>
      <c r="B576" s="3">
        <v>43800</v>
      </c>
      <c r="C576" s="2" t="s">
        <v>32</v>
      </c>
      <c r="D576" s="2" t="s">
        <v>140</v>
      </c>
      <c r="E576" s="2" t="s">
        <v>142</v>
      </c>
      <c r="F576" s="2" t="s">
        <v>35</v>
      </c>
      <c r="G576" s="3">
        <v>33016</v>
      </c>
      <c r="H576" s="2">
        <v>30</v>
      </c>
      <c r="I576" s="2" t="s">
        <v>26</v>
      </c>
      <c r="J576" s="2" t="s">
        <v>36</v>
      </c>
      <c r="K576" s="2" t="s">
        <v>37</v>
      </c>
      <c r="L576" s="2" t="s">
        <v>29</v>
      </c>
      <c r="M576" s="2" t="s">
        <v>38</v>
      </c>
      <c r="N576" s="2" t="s">
        <v>39</v>
      </c>
      <c r="O576" s="2" t="s">
        <v>40</v>
      </c>
      <c r="P576" s="2" t="s">
        <v>41</v>
      </c>
      <c r="Q576" s="2">
        <v>1</v>
      </c>
      <c r="R576" s="2"/>
      <c r="S576" s="2"/>
      <c r="T576" s="2"/>
      <c r="U576" s="3"/>
      <c r="V576" s="8"/>
    </row>
    <row r="577" spans="1:22" ht="15" customHeight="1" x14ac:dyDescent="0.25">
      <c r="A577" s="7">
        <v>576</v>
      </c>
      <c r="B577" s="3">
        <v>43801</v>
      </c>
      <c r="C577" s="2" t="s">
        <v>48</v>
      </c>
      <c r="D577" s="2" t="s">
        <v>23</v>
      </c>
      <c r="E577" s="2" t="s">
        <v>24</v>
      </c>
      <c r="F577" s="2" t="s">
        <v>44</v>
      </c>
      <c r="G577" s="3">
        <v>33327</v>
      </c>
      <c r="H577" s="2">
        <v>29</v>
      </c>
      <c r="I577" s="2" t="s">
        <v>26</v>
      </c>
      <c r="J577" s="2" t="s">
        <v>27</v>
      </c>
      <c r="K577" s="2" t="s">
        <v>37</v>
      </c>
      <c r="L577" s="2" t="s">
        <v>45</v>
      </c>
      <c r="M577" s="2" t="s">
        <v>38</v>
      </c>
      <c r="N577" s="2" t="s">
        <v>39</v>
      </c>
      <c r="O577" s="2" t="s">
        <v>40</v>
      </c>
      <c r="P577" s="2" t="s">
        <v>41</v>
      </c>
      <c r="Q577" s="2">
        <v>1</v>
      </c>
      <c r="R577" s="2">
        <v>1</v>
      </c>
      <c r="S577" s="2">
        <v>1</v>
      </c>
      <c r="T577" s="2">
        <v>1</v>
      </c>
      <c r="U577" s="3">
        <v>43817</v>
      </c>
      <c r="V577" s="8"/>
    </row>
    <row r="578" spans="1:22" ht="15" customHeight="1" x14ac:dyDescent="0.25">
      <c r="A578" s="7">
        <v>577</v>
      </c>
      <c r="B578" s="3">
        <v>43801</v>
      </c>
      <c r="C578" s="2" t="s">
        <v>48</v>
      </c>
      <c r="D578" s="2" t="s">
        <v>23</v>
      </c>
      <c r="E578" s="2" t="s">
        <v>24</v>
      </c>
      <c r="F578" s="2" t="s">
        <v>44</v>
      </c>
      <c r="G578" s="3">
        <v>33327</v>
      </c>
      <c r="H578" s="2">
        <v>29</v>
      </c>
      <c r="I578" s="2" t="s">
        <v>26</v>
      </c>
      <c r="J578" s="2" t="s">
        <v>27</v>
      </c>
      <c r="K578" s="2" t="s">
        <v>37</v>
      </c>
      <c r="L578" s="2" t="s">
        <v>45</v>
      </c>
      <c r="M578" s="2" t="s">
        <v>38</v>
      </c>
      <c r="N578" s="2" t="s">
        <v>39</v>
      </c>
      <c r="O578" s="2" t="s">
        <v>40</v>
      </c>
      <c r="P578" s="2" t="s">
        <v>41</v>
      </c>
      <c r="Q578" s="2">
        <v>1</v>
      </c>
      <c r="R578" s="2">
        <v>1</v>
      </c>
      <c r="S578" s="2">
        <v>1</v>
      </c>
      <c r="T578" s="2"/>
      <c r="U578" s="3"/>
      <c r="V578" s="8"/>
    </row>
    <row r="579" spans="1:22" ht="15" customHeight="1" x14ac:dyDescent="0.25">
      <c r="A579" s="7">
        <v>578</v>
      </c>
      <c r="B579" s="3">
        <v>43801</v>
      </c>
      <c r="C579" s="2" t="s">
        <v>57</v>
      </c>
      <c r="D579" s="2" t="s">
        <v>51</v>
      </c>
      <c r="E579" s="2" t="s">
        <v>52</v>
      </c>
      <c r="F579" s="2" t="s">
        <v>49</v>
      </c>
      <c r="G579" s="3">
        <v>32996</v>
      </c>
      <c r="H579" s="2">
        <v>30</v>
      </c>
      <c r="I579" s="2" t="s">
        <v>26</v>
      </c>
      <c r="J579" s="2" t="s">
        <v>50</v>
      </c>
      <c r="K579" s="2" t="s">
        <v>37</v>
      </c>
      <c r="L579" s="2" t="s">
        <v>45</v>
      </c>
      <c r="M579" s="2" t="s">
        <v>38</v>
      </c>
      <c r="N579" s="2" t="s">
        <v>63</v>
      </c>
      <c r="O579" s="2" t="s">
        <v>64</v>
      </c>
      <c r="P579" s="2"/>
      <c r="Q579" s="2">
        <v>1</v>
      </c>
      <c r="R579" s="2">
        <v>1</v>
      </c>
      <c r="S579" s="2">
        <v>1</v>
      </c>
      <c r="T579" s="2">
        <v>1</v>
      </c>
      <c r="U579" s="3">
        <v>43819</v>
      </c>
      <c r="V579" s="8">
        <v>150000</v>
      </c>
    </row>
    <row r="580" spans="1:22" ht="15" customHeight="1" x14ac:dyDescent="0.25">
      <c r="A580" s="7">
        <v>579</v>
      </c>
      <c r="B580" s="3">
        <v>43802</v>
      </c>
      <c r="C580" s="2" t="s">
        <v>57</v>
      </c>
      <c r="D580" s="2" t="s">
        <v>51</v>
      </c>
      <c r="E580" s="2" t="s">
        <v>52</v>
      </c>
      <c r="F580" s="2" t="s">
        <v>53</v>
      </c>
      <c r="G580" s="3">
        <v>33041</v>
      </c>
      <c r="H580" s="2">
        <v>30</v>
      </c>
      <c r="I580" s="2" t="s">
        <v>26</v>
      </c>
      <c r="J580" s="2" t="s">
        <v>50</v>
      </c>
      <c r="K580" s="2" t="s">
        <v>37</v>
      </c>
      <c r="L580" s="2" t="s">
        <v>45</v>
      </c>
      <c r="M580" s="2" t="s">
        <v>38</v>
      </c>
      <c r="N580" s="2" t="s">
        <v>63</v>
      </c>
      <c r="O580" s="2" t="s">
        <v>64</v>
      </c>
      <c r="P580" s="2"/>
      <c r="Q580" s="2">
        <v>1</v>
      </c>
      <c r="R580" s="2">
        <v>1</v>
      </c>
      <c r="S580" s="2"/>
      <c r="T580" s="2"/>
      <c r="U580" s="3"/>
      <c r="V580" s="8">
        <v>100000</v>
      </c>
    </row>
    <row r="581" spans="1:22" ht="15" customHeight="1" x14ac:dyDescent="0.25">
      <c r="A581" s="7">
        <v>580</v>
      </c>
      <c r="B581" s="3">
        <v>43803</v>
      </c>
      <c r="C581" s="2" t="s">
        <v>48</v>
      </c>
      <c r="D581" s="2" t="s">
        <v>67</v>
      </c>
      <c r="E581" s="2" t="s">
        <v>68</v>
      </c>
      <c r="F581" s="2" t="s">
        <v>54</v>
      </c>
      <c r="G581" s="3">
        <v>33132</v>
      </c>
      <c r="H581" s="2">
        <v>29</v>
      </c>
      <c r="I581" s="2" t="s">
        <v>26</v>
      </c>
      <c r="J581" s="2" t="s">
        <v>27</v>
      </c>
      <c r="K581" s="2" t="s">
        <v>37</v>
      </c>
      <c r="L581" s="2" t="s">
        <v>55</v>
      </c>
      <c r="M581" s="2" t="s">
        <v>38</v>
      </c>
      <c r="N581" s="2" t="s">
        <v>56</v>
      </c>
      <c r="O581" s="2"/>
      <c r="P581" s="2"/>
      <c r="Q581" s="2">
        <v>1</v>
      </c>
      <c r="R581" s="2"/>
      <c r="S581" s="2"/>
      <c r="T581" s="2"/>
      <c r="U581" s="3"/>
      <c r="V581" s="8"/>
    </row>
    <row r="582" spans="1:22" ht="15" customHeight="1" x14ac:dyDescent="0.25">
      <c r="A582" s="7">
        <v>581</v>
      </c>
      <c r="B582" s="3">
        <v>43803</v>
      </c>
      <c r="C582" s="2" t="s">
        <v>32</v>
      </c>
      <c r="D582" s="2" t="s">
        <v>140</v>
      </c>
      <c r="E582" s="2" t="s">
        <v>142</v>
      </c>
      <c r="F582" s="2" t="s">
        <v>58</v>
      </c>
      <c r="G582" s="3">
        <v>33144</v>
      </c>
      <c r="H582" s="2">
        <v>29</v>
      </c>
      <c r="I582" s="2" t="s">
        <v>26</v>
      </c>
      <c r="J582" s="2" t="s">
        <v>50</v>
      </c>
      <c r="K582" s="2" t="s">
        <v>28</v>
      </c>
      <c r="L582" s="2" t="s">
        <v>45</v>
      </c>
      <c r="M582" s="2" t="s">
        <v>38</v>
      </c>
      <c r="N582" s="2" t="s">
        <v>39</v>
      </c>
      <c r="O582" s="2" t="s">
        <v>46</v>
      </c>
      <c r="P582" s="2" t="s">
        <v>47</v>
      </c>
      <c r="Q582" s="2">
        <v>1</v>
      </c>
      <c r="R582" s="2"/>
      <c r="S582" s="2"/>
      <c r="T582" s="2"/>
      <c r="U582" s="3"/>
      <c r="V582" s="8">
        <v>200000</v>
      </c>
    </row>
    <row r="583" spans="1:22" ht="15" customHeight="1" x14ac:dyDescent="0.25">
      <c r="A583" s="7">
        <v>582</v>
      </c>
      <c r="B583" s="3">
        <v>43804</v>
      </c>
      <c r="C583" s="2" t="s">
        <v>48</v>
      </c>
      <c r="D583" s="2" t="s">
        <v>67</v>
      </c>
      <c r="E583" s="2" t="s">
        <v>68</v>
      </c>
      <c r="F583" s="2" t="s">
        <v>60</v>
      </c>
      <c r="G583" s="3">
        <v>32919</v>
      </c>
      <c r="H583" s="2">
        <v>30</v>
      </c>
      <c r="I583" s="2" t="s">
        <v>26</v>
      </c>
      <c r="J583" s="2" t="s">
        <v>61</v>
      </c>
      <c r="K583" s="2" t="s">
        <v>37</v>
      </c>
      <c r="L583" s="2" t="s">
        <v>62</v>
      </c>
      <c r="M583" s="2" t="s">
        <v>38</v>
      </c>
      <c r="N583" s="2" t="s">
        <v>63</v>
      </c>
      <c r="O583" s="2" t="s">
        <v>64</v>
      </c>
      <c r="P583" s="2"/>
      <c r="Q583" s="2">
        <v>1</v>
      </c>
      <c r="R583" s="2"/>
      <c r="S583" s="2"/>
      <c r="T583" s="2"/>
      <c r="U583" s="3"/>
      <c r="V583" s="8">
        <v>100000</v>
      </c>
    </row>
    <row r="584" spans="1:22" ht="15" customHeight="1" x14ac:dyDescent="0.25">
      <c r="A584" s="7">
        <v>583</v>
      </c>
      <c r="B584" s="3">
        <v>43805</v>
      </c>
      <c r="C584" s="2" t="s">
        <v>66</v>
      </c>
      <c r="D584" s="2" t="s">
        <v>23</v>
      </c>
      <c r="E584" s="2" t="s">
        <v>24</v>
      </c>
      <c r="F584" s="2" t="s">
        <v>65</v>
      </c>
      <c r="G584" s="3">
        <v>34195</v>
      </c>
      <c r="H584" s="2">
        <v>27</v>
      </c>
      <c r="I584" s="2" t="s">
        <v>26</v>
      </c>
      <c r="J584" s="2" t="s">
        <v>27</v>
      </c>
      <c r="K584" s="2" t="s">
        <v>37</v>
      </c>
      <c r="L584" s="2" t="s">
        <v>45</v>
      </c>
      <c r="M584" s="2" t="s">
        <v>38</v>
      </c>
      <c r="N584" s="2" t="s">
        <v>63</v>
      </c>
      <c r="O584" s="2" t="s">
        <v>64</v>
      </c>
      <c r="P584" s="2"/>
      <c r="Q584" s="2">
        <v>1</v>
      </c>
      <c r="R584" s="2">
        <v>1</v>
      </c>
      <c r="S584" s="2"/>
      <c r="T584" s="2"/>
      <c r="U584" s="3"/>
      <c r="V584" s="8">
        <v>100000</v>
      </c>
    </row>
    <row r="585" spans="1:22" ht="15" customHeight="1" x14ac:dyDescent="0.25">
      <c r="A585" s="7">
        <v>584</v>
      </c>
      <c r="B585" s="3">
        <v>43805</v>
      </c>
      <c r="C585" s="2" t="s">
        <v>57</v>
      </c>
      <c r="D585" s="2" t="s">
        <v>51</v>
      </c>
      <c r="E585" s="2" t="s">
        <v>52</v>
      </c>
      <c r="F585" s="2" t="s">
        <v>69</v>
      </c>
      <c r="G585" s="3">
        <v>32589</v>
      </c>
      <c r="H585" s="2">
        <v>31</v>
      </c>
      <c r="I585" s="2" t="s">
        <v>26</v>
      </c>
      <c r="J585" s="2" t="s">
        <v>70</v>
      </c>
      <c r="K585" s="2" t="s">
        <v>28</v>
      </c>
      <c r="L585" s="2" t="s">
        <v>45</v>
      </c>
      <c r="M585" s="2" t="s">
        <v>38</v>
      </c>
      <c r="N585" s="2" t="s">
        <v>63</v>
      </c>
      <c r="O585" s="2" t="s">
        <v>64</v>
      </c>
      <c r="P585" s="2"/>
      <c r="Q585" s="2">
        <v>1</v>
      </c>
      <c r="R585" s="2">
        <v>1</v>
      </c>
      <c r="S585" s="2">
        <v>1</v>
      </c>
      <c r="T585" s="2"/>
      <c r="U585" s="3"/>
      <c r="V585" s="8">
        <v>100000</v>
      </c>
    </row>
    <row r="586" spans="1:22" ht="15" customHeight="1" x14ac:dyDescent="0.25">
      <c r="A586" s="7">
        <v>585</v>
      </c>
      <c r="B586" s="3">
        <v>43805</v>
      </c>
      <c r="C586" s="2" t="s">
        <v>66</v>
      </c>
      <c r="D586" s="2" t="s">
        <v>23</v>
      </c>
      <c r="E586" s="2" t="s">
        <v>24</v>
      </c>
      <c r="F586" s="2" t="s">
        <v>65</v>
      </c>
      <c r="G586" s="3">
        <v>34195</v>
      </c>
      <c r="H586" s="2">
        <v>27</v>
      </c>
      <c r="I586" s="2" t="s">
        <v>26</v>
      </c>
      <c r="J586" s="2" t="s">
        <v>27</v>
      </c>
      <c r="K586" s="2" t="s">
        <v>37</v>
      </c>
      <c r="L586" s="2" t="s">
        <v>45</v>
      </c>
      <c r="M586" s="2" t="s">
        <v>38</v>
      </c>
      <c r="N586" s="2" t="s">
        <v>63</v>
      </c>
      <c r="O586" s="2" t="s">
        <v>64</v>
      </c>
      <c r="P586" s="2"/>
      <c r="Q586" s="2">
        <v>1</v>
      </c>
      <c r="R586" s="2">
        <v>1</v>
      </c>
      <c r="S586" s="2"/>
      <c r="T586" s="2"/>
      <c r="U586" s="3"/>
      <c r="V586" s="8">
        <v>100000</v>
      </c>
    </row>
    <row r="587" spans="1:22" ht="15" customHeight="1" x14ac:dyDescent="0.25">
      <c r="A587" s="7">
        <v>586</v>
      </c>
      <c r="B587" s="3">
        <v>43807</v>
      </c>
      <c r="C587" s="2" t="s">
        <v>48</v>
      </c>
      <c r="D587" s="2" t="s">
        <v>67</v>
      </c>
      <c r="E587" s="2" t="s">
        <v>68</v>
      </c>
      <c r="F587" s="2" t="s">
        <v>72</v>
      </c>
      <c r="G587" s="3">
        <v>33476</v>
      </c>
      <c r="H587" s="2">
        <v>29</v>
      </c>
      <c r="I587" s="2" t="s">
        <v>26</v>
      </c>
      <c r="J587" s="2" t="s">
        <v>73</v>
      </c>
      <c r="K587" s="2" t="s">
        <v>37</v>
      </c>
      <c r="L587" s="2" t="s">
        <v>45</v>
      </c>
      <c r="M587" s="2" t="s">
        <v>38</v>
      </c>
      <c r="N587" s="2" t="s">
        <v>39</v>
      </c>
      <c r="O587" s="2" t="s">
        <v>46</v>
      </c>
      <c r="P587" s="2" t="s">
        <v>47</v>
      </c>
      <c r="Q587" s="2">
        <v>1</v>
      </c>
      <c r="R587" s="2">
        <v>1</v>
      </c>
      <c r="S587" s="2">
        <v>1</v>
      </c>
      <c r="T587" s="2"/>
      <c r="U587" s="3"/>
      <c r="V587" s="8">
        <v>200000</v>
      </c>
    </row>
    <row r="588" spans="1:22" ht="15" customHeight="1" x14ac:dyDescent="0.25">
      <c r="A588" s="7">
        <v>587</v>
      </c>
      <c r="B588" s="3">
        <v>43808</v>
      </c>
      <c r="C588" s="2" t="s">
        <v>22</v>
      </c>
      <c r="D588" s="2" t="s">
        <v>67</v>
      </c>
      <c r="E588" s="2" t="s">
        <v>68</v>
      </c>
      <c r="F588" s="2" t="s">
        <v>122</v>
      </c>
      <c r="G588" s="3">
        <v>33041</v>
      </c>
      <c r="H588" s="2">
        <v>30</v>
      </c>
      <c r="I588" s="2" t="s">
        <v>26</v>
      </c>
      <c r="J588" s="2" t="s">
        <v>27</v>
      </c>
      <c r="K588" s="2" t="s">
        <v>37</v>
      </c>
      <c r="L588" s="2" t="s">
        <v>92</v>
      </c>
      <c r="M588" s="2" t="s">
        <v>38</v>
      </c>
      <c r="N588" s="2" t="s">
        <v>39</v>
      </c>
      <c r="O588" s="2" t="s">
        <v>40</v>
      </c>
      <c r="P588" s="2" t="s">
        <v>84</v>
      </c>
      <c r="Q588" s="2">
        <v>1</v>
      </c>
      <c r="R588" s="2"/>
      <c r="S588" s="2"/>
      <c r="T588" s="2"/>
      <c r="U588" s="3"/>
      <c r="V588" s="8">
        <v>150000</v>
      </c>
    </row>
    <row r="589" spans="1:22" ht="15" customHeight="1" x14ac:dyDescent="0.25">
      <c r="A589" s="7">
        <v>588</v>
      </c>
      <c r="B589" s="3">
        <v>43808</v>
      </c>
      <c r="C589" s="2" t="s">
        <v>22</v>
      </c>
      <c r="D589" s="2" t="s">
        <v>67</v>
      </c>
      <c r="E589" s="2" t="s">
        <v>68</v>
      </c>
      <c r="F589" s="2" t="s">
        <v>74</v>
      </c>
      <c r="G589" s="3">
        <v>32558</v>
      </c>
      <c r="H589" s="2">
        <v>31</v>
      </c>
      <c r="I589" s="2" t="s">
        <v>26</v>
      </c>
      <c r="J589" s="2" t="s">
        <v>75</v>
      </c>
      <c r="K589" s="2" t="s">
        <v>37</v>
      </c>
      <c r="L589" s="2" t="s">
        <v>76</v>
      </c>
      <c r="M589" s="2" t="s">
        <v>38</v>
      </c>
      <c r="N589" s="2" t="s">
        <v>39</v>
      </c>
      <c r="O589" s="2" t="s">
        <v>40</v>
      </c>
      <c r="P589" s="2" t="s">
        <v>77</v>
      </c>
      <c r="Q589" s="2">
        <v>1</v>
      </c>
      <c r="R589" s="2">
        <v>1</v>
      </c>
      <c r="S589" s="2">
        <v>1</v>
      </c>
      <c r="T589" s="2">
        <v>1</v>
      </c>
      <c r="U589" s="3">
        <v>43811</v>
      </c>
      <c r="V589" s="8"/>
    </row>
    <row r="590" spans="1:22" ht="15" customHeight="1" x14ac:dyDescent="0.25">
      <c r="A590" s="7">
        <v>589</v>
      </c>
      <c r="B590" s="3">
        <v>43809</v>
      </c>
      <c r="C590" s="2" t="s">
        <v>48</v>
      </c>
      <c r="D590" s="2" t="s">
        <v>23</v>
      </c>
      <c r="E590" s="2" t="s">
        <v>24</v>
      </c>
      <c r="F590" s="2" t="s">
        <v>78</v>
      </c>
      <c r="G590" s="3">
        <v>33573</v>
      </c>
      <c r="H590" s="2">
        <v>28</v>
      </c>
      <c r="I590" s="2" t="s">
        <v>26</v>
      </c>
      <c r="J590" s="2" t="s">
        <v>79</v>
      </c>
      <c r="K590" s="2" t="s">
        <v>37</v>
      </c>
      <c r="L590" s="2" t="s">
        <v>45</v>
      </c>
      <c r="M590" s="2" t="s">
        <v>38</v>
      </c>
      <c r="N590" s="2" t="s">
        <v>89</v>
      </c>
      <c r="O590" s="2"/>
      <c r="P590" s="2"/>
      <c r="Q590" s="2">
        <v>1</v>
      </c>
      <c r="R590" s="2">
        <v>1</v>
      </c>
      <c r="S590" s="2">
        <v>1</v>
      </c>
      <c r="T590" s="2"/>
      <c r="U590" s="3"/>
      <c r="V590" s="8">
        <v>5000000</v>
      </c>
    </row>
    <row r="591" spans="1:22" ht="15" customHeight="1" x14ac:dyDescent="0.25">
      <c r="A591" s="7">
        <v>590</v>
      </c>
      <c r="B591" s="3">
        <v>43810</v>
      </c>
      <c r="C591" s="2" t="s">
        <v>32</v>
      </c>
      <c r="D591" s="2" t="s">
        <v>140</v>
      </c>
      <c r="E591" s="2" t="s">
        <v>142</v>
      </c>
      <c r="F591" s="2" t="s">
        <v>80</v>
      </c>
      <c r="G591" s="3">
        <v>33088</v>
      </c>
      <c r="H591" s="2">
        <v>30</v>
      </c>
      <c r="I591" s="2" t="s">
        <v>26</v>
      </c>
      <c r="J591" s="2" t="s">
        <v>75</v>
      </c>
      <c r="K591" s="2" t="s">
        <v>37</v>
      </c>
      <c r="L591" s="2" t="s">
        <v>45</v>
      </c>
      <c r="M591" s="2" t="s">
        <v>30</v>
      </c>
      <c r="N591" s="2" t="s">
        <v>81</v>
      </c>
      <c r="O591" s="2"/>
      <c r="P591" s="2"/>
      <c r="Q591" s="2">
        <v>1</v>
      </c>
      <c r="R591" s="2"/>
      <c r="S591" s="2"/>
      <c r="T591" s="2"/>
      <c r="U591" s="3"/>
      <c r="V591" s="8"/>
    </row>
    <row r="592" spans="1:22" ht="15" customHeight="1" x14ac:dyDescent="0.25">
      <c r="A592" s="7">
        <v>591</v>
      </c>
      <c r="B592" s="3">
        <v>43811</v>
      </c>
      <c r="C592" s="2" t="s">
        <v>48</v>
      </c>
      <c r="D592" s="2" t="s">
        <v>23</v>
      </c>
      <c r="E592" s="2" t="s">
        <v>24</v>
      </c>
      <c r="F592" s="2" t="s">
        <v>82</v>
      </c>
      <c r="G592" s="3">
        <v>33594</v>
      </c>
      <c r="H592" s="2">
        <v>28</v>
      </c>
      <c r="I592" s="2" t="s">
        <v>26</v>
      </c>
      <c r="J592" s="2" t="s">
        <v>83</v>
      </c>
      <c r="K592" s="2" t="s">
        <v>37</v>
      </c>
      <c r="L592" s="2" t="s">
        <v>45</v>
      </c>
      <c r="M592" s="2" t="s">
        <v>38</v>
      </c>
      <c r="N592" s="2" t="s">
        <v>39</v>
      </c>
      <c r="O592" s="2" t="s">
        <v>40</v>
      </c>
      <c r="P592" s="2" t="s">
        <v>84</v>
      </c>
      <c r="Q592" s="2">
        <v>1</v>
      </c>
      <c r="R592" s="2">
        <v>1</v>
      </c>
      <c r="S592" s="2"/>
      <c r="T592" s="2"/>
      <c r="U592" s="3"/>
      <c r="V592" s="8">
        <v>150000</v>
      </c>
    </row>
    <row r="593" spans="1:22" ht="15" customHeight="1" x14ac:dyDescent="0.25">
      <c r="A593" s="7">
        <v>592</v>
      </c>
      <c r="B593" s="3">
        <v>43812</v>
      </c>
      <c r="C593" s="2" t="s">
        <v>48</v>
      </c>
      <c r="D593" s="2" t="s">
        <v>23</v>
      </c>
      <c r="E593" s="2" t="s">
        <v>24</v>
      </c>
      <c r="F593" s="2" t="s">
        <v>117</v>
      </c>
      <c r="G593" s="3">
        <v>34021</v>
      </c>
      <c r="H593" s="2">
        <v>27</v>
      </c>
      <c r="I593" s="2" t="s">
        <v>26</v>
      </c>
      <c r="J593" s="2" t="s">
        <v>27</v>
      </c>
      <c r="K593" s="2" t="s">
        <v>28</v>
      </c>
      <c r="L593" s="2" t="s">
        <v>45</v>
      </c>
      <c r="M593" s="2" t="s">
        <v>38</v>
      </c>
      <c r="N593" s="2" t="s">
        <v>39</v>
      </c>
      <c r="O593" s="2" t="s">
        <v>46</v>
      </c>
      <c r="P593" s="2" t="s">
        <v>118</v>
      </c>
      <c r="Q593" s="2">
        <v>1</v>
      </c>
      <c r="R593" s="2">
        <v>1</v>
      </c>
      <c r="S593" s="2">
        <v>1</v>
      </c>
      <c r="T593" s="2">
        <v>1</v>
      </c>
      <c r="U593" s="3">
        <v>43814</v>
      </c>
      <c r="V593" s="8"/>
    </row>
    <row r="594" spans="1:22" ht="15" customHeight="1" x14ac:dyDescent="0.25">
      <c r="A594" s="7">
        <v>593</v>
      </c>
      <c r="B594" s="3">
        <v>43814</v>
      </c>
      <c r="C594" s="2" t="s">
        <v>48</v>
      </c>
      <c r="D594" s="2" t="s">
        <v>67</v>
      </c>
      <c r="E594" s="2" t="s">
        <v>68</v>
      </c>
      <c r="F594" s="2" t="s">
        <v>119</v>
      </c>
      <c r="G594" s="3">
        <v>34295</v>
      </c>
      <c r="H594" s="2">
        <v>26</v>
      </c>
      <c r="I594" s="2" t="s">
        <v>26</v>
      </c>
      <c r="J594" s="2" t="s">
        <v>27</v>
      </c>
      <c r="K594" s="2" t="s">
        <v>37</v>
      </c>
      <c r="L594" s="2" t="s">
        <v>45</v>
      </c>
      <c r="M594" s="2" t="s">
        <v>38</v>
      </c>
      <c r="N594" s="2" t="s">
        <v>56</v>
      </c>
      <c r="O594" s="2"/>
      <c r="P594" s="2"/>
      <c r="Q594" s="2">
        <v>1</v>
      </c>
      <c r="R594" s="2"/>
      <c r="S594" s="2"/>
      <c r="T594" s="2"/>
      <c r="U594" s="3"/>
      <c r="V594" s="8"/>
    </row>
    <row r="595" spans="1:22" ht="15" customHeight="1" x14ac:dyDescent="0.25">
      <c r="A595" s="7">
        <v>594</v>
      </c>
      <c r="B595" s="3">
        <v>43814</v>
      </c>
      <c r="C595" s="2" t="s">
        <v>32</v>
      </c>
      <c r="D595" s="2" t="s">
        <v>140</v>
      </c>
      <c r="E595" s="2" t="s">
        <v>142</v>
      </c>
      <c r="F595" s="2" t="s">
        <v>121</v>
      </c>
      <c r="G595" s="3">
        <v>33041</v>
      </c>
      <c r="H595" s="2">
        <v>30</v>
      </c>
      <c r="I595" s="2" t="s">
        <v>26</v>
      </c>
      <c r="J595" s="2" t="s">
        <v>70</v>
      </c>
      <c r="K595" s="2" t="s">
        <v>91</v>
      </c>
      <c r="L595" s="2" t="s">
        <v>45</v>
      </c>
      <c r="M595" s="2" t="s">
        <v>30</v>
      </c>
      <c r="N595" s="2" t="s">
        <v>81</v>
      </c>
      <c r="O595" s="2"/>
      <c r="P595" s="2"/>
      <c r="Q595" s="2">
        <v>1</v>
      </c>
      <c r="R595" s="2">
        <v>1</v>
      </c>
      <c r="S595" s="2"/>
      <c r="T595" s="2"/>
      <c r="U595" s="3"/>
      <c r="V595" s="8"/>
    </row>
    <row r="596" spans="1:22" ht="15" customHeight="1" x14ac:dyDescent="0.25">
      <c r="A596" s="7">
        <v>595</v>
      </c>
      <c r="B596" s="3">
        <v>43815</v>
      </c>
      <c r="C596" s="2" t="s">
        <v>57</v>
      </c>
      <c r="D596" s="2" t="s">
        <v>51</v>
      </c>
      <c r="E596" s="2" t="s">
        <v>52</v>
      </c>
      <c r="F596" s="2" t="s">
        <v>120</v>
      </c>
      <c r="G596" s="3">
        <v>34118</v>
      </c>
      <c r="H596" s="2">
        <v>27</v>
      </c>
      <c r="I596" s="2" t="s">
        <v>26</v>
      </c>
      <c r="J596" s="2" t="s">
        <v>79</v>
      </c>
      <c r="K596" s="2" t="s">
        <v>28</v>
      </c>
      <c r="L596" s="2" t="s">
        <v>45</v>
      </c>
      <c r="M596" s="2" t="s">
        <v>38</v>
      </c>
      <c r="N596" s="2" t="s">
        <v>63</v>
      </c>
      <c r="O596" s="2" t="s">
        <v>64</v>
      </c>
      <c r="P596" s="2"/>
      <c r="Q596" s="2">
        <v>1</v>
      </c>
      <c r="R596" s="2"/>
      <c r="S596" s="2"/>
      <c r="T596" s="2"/>
      <c r="U596" s="3"/>
      <c r="V596" s="8">
        <v>100000</v>
      </c>
    </row>
    <row r="597" spans="1:22" ht="15" customHeight="1" x14ac:dyDescent="0.25">
      <c r="A597" s="7">
        <v>596</v>
      </c>
      <c r="B597" s="3">
        <v>43815</v>
      </c>
      <c r="C597" s="2" t="s">
        <v>22</v>
      </c>
      <c r="D597" s="2" t="s">
        <v>67</v>
      </c>
      <c r="E597" s="2" t="s">
        <v>68</v>
      </c>
      <c r="F597" s="2" t="s">
        <v>101</v>
      </c>
      <c r="G597" s="3">
        <v>33016</v>
      </c>
      <c r="H597" s="2">
        <v>30</v>
      </c>
      <c r="I597" s="2" t="s">
        <v>26</v>
      </c>
      <c r="J597" s="2" t="s">
        <v>93</v>
      </c>
      <c r="K597" s="2" t="s">
        <v>37</v>
      </c>
      <c r="L597" s="2" t="s">
        <v>45</v>
      </c>
      <c r="M597" s="2" t="s">
        <v>38</v>
      </c>
      <c r="N597" s="2" t="s">
        <v>39</v>
      </c>
      <c r="O597" s="2" t="s">
        <v>46</v>
      </c>
      <c r="P597" s="2" t="s">
        <v>95</v>
      </c>
      <c r="Q597" s="2">
        <v>1</v>
      </c>
      <c r="R597" s="2">
        <v>1</v>
      </c>
      <c r="S597" s="2"/>
      <c r="T597" s="2"/>
      <c r="U597" s="3"/>
      <c r="V597" s="8">
        <v>120000</v>
      </c>
    </row>
    <row r="598" spans="1:22" ht="15" customHeight="1" x14ac:dyDescent="0.25">
      <c r="A598" s="7">
        <v>597</v>
      </c>
      <c r="B598" s="3">
        <v>43816</v>
      </c>
      <c r="C598" s="2" t="s">
        <v>32</v>
      </c>
      <c r="D598" s="2" t="s">
        <v>140</v>
      </c>
      <c r="E598" s="2" t="s">
        <v>142</v>
      </c>
      <c r="F598" s="2" t="s">
        <v>25</v>
      </c>
      <c r="G598" s="3">
        <v>32589</v>
      </c>
      <c r="H598" s="2">
        <v>31</v>
      </c>
      <c r="I598" s="2" t="s">
        <v>26</v>
      </c>
      <c r="J598" s="2" t="s">
        <v>93</v>
      </c>
      <c r="K598" s="2" t="s">
        <v>37</v>
      </c>
      <c r="L598" s="2" t="s">
        <v>45</v>
      </c>
      <c r="M598" s="2" t="s">
        <v>30</v>
      </c>
      <c r="N598" s="2" t="s">
        <v>81</v>
      </c>
      <c r="O598" s="2"/>
      <c r="P598" s="2"/>
      <c r="Q598" s="2">
        <v>1</v>
      </c>
      <c r="R598" s="2"/>
      <c r="S598" s="2"/>
      <c r="T598" s="2"/>
      <c r="U598" s="3"/>
      <c r="V598" s="8"/>
    </row>
    <row r="599" spans="1:22" ht="15" customHeight="1" x14ac:dyDescent="0.25">
      <c r="A599" s="7">
        <v>598</v>
      </c>
      <c r="B599" s="3">
        <v>43816</v>
      </c>
      <c r="C599" s="2" t="s">
        <v>22</v>
      </c>
      <c r="D599" s="2" t="s">
        <v>67</v>
      </c>
      <c r="E599" s="2" t="s">
        <v>68</v>
      </c>
      <c r="F599" s="2" t="s">
        <v>90</v>
      </c>
      <c r="G599" s="3">
        <v>33302</v>
      </c>
      <c r="H599" s="2">
        <v>29</v>
      </c>
      <c r="I599" s="2" t="s">
        <v>87</v>
      </c>
      <c r="J599" s="2" t="s">
        <v>27</v>
      </c>
      <c r="K599" s="2" t="s">
        <v>91</v>
      </c>
      <c r="L599" s="2" t="s">
        <v>92</v>
      </c>
      <c r="M599" s="2" t="s">
        <v>38</v>
      </c>
      <c r="N599" s="2" t="s">
        <v>39</v>
      </c>
      <c r="O599" s="2" t="s">
        <v>46</v>
      </c>
      <c r="P599" s="2" t="s">
        <v>84</v>
      </c>
      <c r="Q599" s="2">
        <v>1</v>
      </c>
      <c r="R599" s="2">
        <v>1</v>
      </c>
      <c r="S599" s="2"/>
      <c r="T599" s="2"/>
      <c r="U599" s="3"/>
      <c r="V599" s="8">
        <v>150000</v>
      </c>
    </row>
    <row r="600" spans="1:22" ht="15" customHeight="1" x14ac:dyDescent="0.25">
      <c r="A600" s="7">
        <v>599</v>
      </c>
      <c r="B600" s="3">
        <v>43816</v>
      </c>
      <c r="C600" s="2" t="s">
        <v>22</v>
      </c>
      <c r="D600" s="2" t="s">
        <v>67</v>
      </c>
      <c r="E600" s="2" t="s">
        <v>68</v>
      </c>
      <c r="F600" s="2" t="s">
        <v>86</v>
      </c>
      <c r="G600" s="3">
        <v>34384</v>
      </c>
      <c r="H600" s="2">
        <v>26</v>
      </c>
      <c r="I600" s="2" t="s">
        <v>87</v>
      </c>
      <c r="J600" s="2" t="s">
        <v>88</v>
      </c>
      <c r="K600" s="2" t="s">
        <v>37</v>
      </c>
      <c r="L600" s="2" t="s">
        <v>55</v>
      </c>
      <c r="M600" s="2" t="s">
        <v>38</v>
      </c>
      <c r="N600" s="2" t="s">
        <v>39</v>
      </c>
      <c r="O600" s="2" t="s">
        <v>40</v>
      </c>
      <c r="P600" s="2" t="s">
        <v>41</v>
      </c>
      <c r="Q600" s="2">
        <v>1</v>
      </c>
      <c r="R600" s="2">
        <v>1</v>
      </c>
      <c r="S600" s="2"/>
      <c r="T600" s="2"/>
      <c r="U600" s="3"/>
      <c r="V600" s="8"/>
    </row>
    <row r="601" spans="1:22" ht="15" customHeight="1" x14ac:dyDescent="0.25">
      <c r="A601" s="7">
        <v>600</v>
      </c>
      <c r="B601" s="3">
        <v>43816</v>
      </c>
      <c r="C601" s="2" t="s">
        <v>48</v>
      </c>
      <c r="D601" s="2" t="s">
        <v>67</v>
      </c>
      <c r="E601" s="2" t="s">
        <v>68</v>
      </c>
      <c r="F601" s="2" t="s">
        <v>94</v>
      </c>
      <c r="G601" s="3">
        <v>33667</v>
      </c>
      <c r="H601" s="2">
        <v>28</v>
      </c>
      <c r="I601" s="2" t="s">
        <v>26</v>
      </c>
      <c r="J601" s="2" t="s">
        <v>27</v>
      </c>
      <c r="K601" s="2" t="s">
        <v>37</v>
      </c>
      <c r="L601" s="2" t="s">
        <v>92</v>
      </c>
      <c r="M601" s="2" t="s">
        <v>38</v>
      </c>
      <c r="N601" s="2" t="s">
        <v>39</v>
      </c>
      <c r="O601" s="2" t="s">
        <v>46</v>
      </c>
      <c r="P601" s="2" t="s">
        <v>95</v>
      </c>
      <c r="Q601" s="2">
        <v>1</v>
      </c>
      <c r="R601" s="2">
        <v>1</v>
      </c>
      <c r="S601" s="2"/>
      <c r="T601" s="2"/>
      <c r="U601" s="3"/>
      <c r="V601" s="8">
        <v>150000</v>
      </c>
    </row>
    <row r="602" spans="1:22" ht="15" customHeight="1" x14ac:dyDescent="0.25">
      <c r="A602" s="7">
        <v>601</v>
      </c>
      <c r="B602" s="3">
        <v>43817</v>
      </c>
      <c r="C602" s="2" t="s">
        <v>48</v>
      </c>
      <c r="D602" s="2" t="s">
        <v>23</v>
      </c>
      <c r="E602" s="2" t="s">
        <v>24</v>
      </c>
      <c r="F602" s="2" t="s">
        <v>117</v>
      </c>
      <c r="G602" s="3">
        <v>33144</v>
      </c>
      <c r="H602" s="2">
        <v>29</v>
      </c>
      <c r="I602" s="2" t="s">
        <v>87</v>
      </c>
      <c r="J602" s="2" t="s">
        <v>27</v>
      </c>
      <c r="K602" s="2" t="s">
        <v>37</v>
      </c>
      <c r="L602" s="2" t="s">
        <v>92</v>
      </c>
      <c r="M602" s="2" t="s">
        <v>38</v>
      </c>
      <c r="N602" s="2" t="s">
        <v>56</v>
      </c>
      <c r="O602" s="2"/>
      <c r="P602" s="2"/>
      <c r="Q602" s="2">
        <v>1</v>
      </c>
      <c r="R602" s="2"/>
      <c r="S602" s="2"/>
      <c r="T602" s="2"/>
      <c r="U602" s="3"/>
      <c r="V602" s="8"/>
    </row>
    <row r="603" spans="1:22" ht="15" customHeight="1" x14ac:dyDescent="0.25">
      <c r="A603" s="7">
        <v>602</v>
      </c>
      <c r="B603" s="3">
        <v>43817</v>
      </c>
      <c r="C603" s="2" t="s">
        <v>57</v>
      </c>
      <c r="D603" s="2" t="s">
        <v>51</v>
      </c>
      <c r="E603" s="2" t="s">
        <v>52</v>
      </c>
      <c r="F603" s="2" t="s">
        <v>98</v>
      </c>
      <c r="G603" s="3">
        <v>34231</v>
      </c>
      <c r="H603" s="2">
        <v>26</v>
      </c>
      <c r="I603" s="2" t="s">
        <v>26</v>
      </c>
      <c r="J603" s="2" t="s">
        <v>88</v>
      </c>
      <c r="K603" s="2" t="s">
        <v>37</v>
      </c>
      <c r="L603" s="2" t="s">
        <v>45</v>
      </c>
      <c r="M603" s="2" t="s">
        <v>38</v>
      </c>
      <c r="N603" s="2" t="s">
        <v>63</v>
      </c>
      <c r="O603" s="2" t="s">
        <v>64</v>
      </c>
      <c r="P603" s="2"/>
      <c r="Q603" s="2">
        <v>1</v>
      </c>
      <c r="R603" s="2"/>
      <c r="S603" s="2"/>
      <c r="T603" s="2"/>
      <c r="U603" s="3"/>
      <c r="V603" s="8"/>
    </row>
    <row r="604" spans="1:22" ht="15" customHeight="1" x14ac:dyDescent="0.25">
      <c r="A604" s="7">
        <v>603</v>
      </c>
      <c r="B604" s="3">
        <v>43817</v>
      </c>
      <c r="C604" s="2" t="s">
        <v>66</v>
      </c>
      <c r="D604" s="2" t="s">
        <v>23</v>
      </c>
      <c r="E604" s="2" t="s">
        <v>24</v>
      </c>
      <c r="F604" s="2" t="s">
        <v>96</v>
      </c>
      <c r="G604" s="3">
        <v>35008</v>
      </c>
      <c r="H604" s="2">
        <v>24</v>
      </c>
      <c r="I604" s="2" t="s">
        <v>26</v>
      </c>
      <c r="J604" s="2" t="s">
        <v>97</v>
      </c>
      <c r="K604" s="2" t="s">
        <v>37</v>
      </c>
      <c r="L604" s="2" t="s">
        <v>45</v>
      </c>
      <c r="M604" s="2" t="s">
        <v>38</v>
      </c>
      <c r="N604" s="2" t="s">
        <v>63</v>
      </c>
      <c r="O604" s="2" t="s">
        <v>64</v>
      </c>
      <c r="P604" s="2"/>
      <c r="Q604" s="2">
        <v>1</v>
      </c>
      <c r="R604" s="2">
        <v>1</v>
      </c>
      <c r="S604" s="2">
        <v>1</v>
      </c>
      <c r="T604" s="2"/>
      <c r="U604" s="3"/>
      <c r="V604" s="8">
        <v>100000</v>
      </c>
    </row>
    <row r="605" spans="1:22" ht="15" customHeight="1" x14ac:dyDescent="0.25">
      <c r="A605" s="7">
        <v>604</v>
      </c>
      <c r="B605" s="3">
        <v>43817</v>
      </c>
      <c r="C605" s="2" t="s">
        <v>48</v>
      </c>
      <c r="D605" s="2" t="s">
        <v>67</v>
      </c>
      <c r="E605" s="2" t="s">
        <v>68</v>
      </c>
      <c r="F605" s="2" t="s">
        <v>53</v>
      </c>
      <c r="G605" s="3">
        <v>32589</v>
      </c>
      <c r="H605" s="2">
        <v>31</v>
      </c>
      <c r="I605" s="2" t="s">
        <v>26</v>
      </c>
      <c r="J605" s="2" t="s">
        <v>50</v>
      </c>
      <c r="K605" s="2" t="s">
        <v>28</v>
      </c>
      <c r="L605" s="2" t="s">
        <v>45</v>
      </c>
      <c r="M605" s="2" t="s">
        <v>38</v>
      </c>
      <c r="N605" s="2" t="s">
        <v>39</v>
      </c>
      <c r="O605" s="2" t="s">
        <v>40</v>
      </c>
      <c r="P605" s="2" t="s">
        <v>41</v>
      </c>
      <c r="Q605" s="2">
        <v>1</v>
      </c>
      <c r="R605" s="2">
        <v>1</v>
      </c>
      <c r="S605" s="2">
        <v>1</v>
      </c>
      <c r="T605" s="2">
        <v>1</v>
      </c>
      <c r="U605" s="3">
        <v>43809</v>
      </c>
      <c r="V605" s="8"/>
    </row>
    <row r="606" spans="1:22" ht="15" customHeight="1" x14ac:dyDescent="0.25">
      <c r="A606" s="7">
        <v>605</v>
      </c>
      <c r="B606" s="3">
        <v>43818</v>
      </c>
      <c r="C606" s="2" t="s">
        <v>48</v>
      </c>
      <c r="D606" s="2" t="s">
        <v>23</v>
      </c>
      <c r="E606" s="2" t="s">
        <v>24</v>
      </c>
      <c r="F606" s="2" t="s">
        <v>100</v>
      </c>
      <c r="G606" s="3">
        <v>33409</v>
      </c>
      <c r="H606" s="2">
        <v>29</v>
      </c>
      <c r="I606" s="2" t="s">
        <v>26</v>
      </c>
      <c r="J606" s="2" t="s">
        <v>75</v>
      </c>
      <c r="K606" s="2" t="s">
        <v>91</v>
      </c>
      <c r="L606" s="2" t="s">
        <v>55</v>
      </c>
      <c r="M606" s="2" t="s">
        <v>38</v>
      </c>
      <c r="N606" s="2" t="s">
        <v>39</v>
      </c>
      <c r="O606" s="2" t="s">
        <v>46</v>
      </c>
      <c r="P606" s="2" t="s">
        <v>84</v>
      </c>
      <c r="Q606" s="2">
        <v>1</v>
      </c>
      <c r="R606" s="2"/>
      <c r="S606" s="2"/>
      <c r="T606" s="2"/>
      <c r="U606" s="3"/>
      <c r="V606" s="8">
        <v>150000</v>
      </c>
    </row>
    <row r="607" spans="1:22" ht="15" customHeight="1" x14ac:dyDescent="0.25">
      <c r="A607" s="7">
        <v>606</v>
      </c>
      <c r="B607" s="3">
        <v>43819</v>
      </c>
      <c r="C607" s="2" t="s">
        <v>57</v>
      </c>
      <c r="D607" s="2" t="s">
        <v>51</v>
      </c>
      <c r="E607" s="2" t="s">
        <v>52</v>
      </c>
      <c r="F607" s="2" t="s">
        <v>54</v>
      </c>
      <c r="G607" s="3">
        <v>32996</v>
      </c>
      <c r="H607" s="2">
        <v>30</v>
      </c>
      <c r="I607" s="2" t="s">
        <v>26</v>
      </c>
      <c r="J607" s="2" t="s">
        <v>79</v>
      </c>
      <c r="K607" s="2" t="s">
        <v>91</v>
      </c>
      <c r="L607" s="2" t="s">
        <v>45</v>
      </c>
      <c r="M607" s="2" t="s">
        <v>30</v>
      </c>
      <c r="N607" s="2" t="s">
        <v>31</v>
      </c>
      <c r="O607" s="2"/>
      <c r="P607" s="2"/>
      <c r="Q607" s="2">
        <v>1</v>
      </c>
      <c r="R607" s="2">
        <v>1</v>
      </c>
      <c r="S607" s="2"/>
      <c r="T607" s="2"/>
      <c r="U607" s="3"/>
      <c r="V607" s="8"/>
    </row>
    <row r="608" spans="1:22" ht="15" customHeight="1" x14ac:dyDescent="0.25">
      <c r="A608" s="7">
        <v>607</v>
      </c>
      <c r="B608" s="3">
        <v>43819</v>
      </c>
      <c r="C608" s="2" t="s">
        <v>57</v>
      </c>
      <c r="D608" s="2" t="s">
        <v>51</v>
      </c>
      <c r="E608" s="2" t="s">
        <v>52</v>
      </c>
      <c r="F608" s="2" t="s">
        <v>60</v>
      </c>
      <c r="G608" s="3">
        <v>33409</v>
      </c>
      <c r="H608" s="2">
        <v>29</v>
      </c>
      <c r="I608" s="2" t="s">
        <v>26</v>
      </c>
      <c r="J608" s="2" t="s">
        <v>27</v>
      </c>
      <c r="K608" s="2" t="s">
        <v>37</v>
      </c>
      <c r="L608" s="2" t="s">
        <v>45</v>
      </c>
      <c r="M608" s="2" t="s">
        <v>30</v>
      </c>
      <c r="N608" s="2" t="s">
        <v>31</v>
      </c>
      <c r="O608" s="2"/>
      <c r="P608" s="2"/>
      <c r="Q608" s="2">
        <v>1</v>
      </c>
      <c r="R608" s="2"/>
      <c r="S608" s="2"/>
      <c r="T608" s="2"/>
      <c r="U608" s="3"/>
      <c r="V608" s="8"/>
    </row>
    <row r="609" spans="1:22" ht="15" customHeight="1" x14ac:dyDescent="0.25">
      <c r="A609" s="7">
        <v>608</v>
      </c>
      <c r="B609" s="3">
        <v>43819</v>
      </c>
      <c r="C609" s="2" t="s">
        <v>22</v>
      </c>
      <c r="D609" s="2" t="s">
        <v>67</v>
      </c>
      <c r="E609" s="2" t="s">
        <v>68</v>
      </c>
      <c r="F609" s="2" t="s">
        <v>101</v>
      </c>
      <c r="G609" s="3">
        <v>33840</v>
      </c>
      <c r="H609" s="2">
        <v>28</v>
      </c>
      <c r="I609" s="2" t="s">
        <v>87</v>
      </c>
      <c r="J609" s="2" t="s">
        <v>102</v>
      </c>
      <c r="K609" s="2" t="s">
        <v>37</v>
      </c>
      <c r="L609" s="2" t="s">
        <v>103</v>
      </c>
      <c r="M609" s="2" t="s">
        <v>38</v>
      </c>
      <c r="N609" s="2" t="s">
        <v>89</v>
      </c>
      <c r="O609" s="2"/>
      <c r="P609" s="2"/>
      <c r="Q609" s="2">
        <v>1</v>
      </c>
      <c r="R609" s="2">
        <v>1</v>
      </c>
      <c r="S609" s="2"/>
      <c r="T609" s="2"/>
      <c r="U609" s="3"/>
      <c r="V609" s="8"/>
    </row>
    <row r="610" spans="1:22" ht="15" customHeight="1" x14ac:dyDescent="0.25">
      <c r="A610" s="7">
        <v>609</v>
      </c>
      <c r="B610" s="3">
        <v>43819</v>
      </c>
      <c r="C610" s="2" t="s">
        <v>32</v>
      </c>
      <c r="D610" s="2" t="s">
        <v>140</v>
      </c>
      <c r="E610" s="2" t="s">
        <v>142</v>
      </c>
      <c r="F610" s="2" t="s">
        <v>105</v>
      </c>
      <c r="G610" s="3">
        <v>33144</v>
      </c>
      <c r="H610" s="2">
        <v>29</v>
      </c>
      <c r="I610" s="2" t="s">
        <v>26</v>
      </c>
      <c r="J610" s="2" t="s">
        <v>27</v>
      </c>
      <c r="K610" s="2" t="s">
        <v>37</v>
      </c>
      <c r="L610" s="2" t="s">
        <v>55</v>
      </c>
      <c r="M610" s="2" t="s">
        <v>30</v>
      </c>
      <c r="N610" s="2" t="s">
        <v>31</v>
      </c>
      <c r="O610" s="2"/>
      <c r="P610" s="2"/>
      <c r="Q610" s="2">
        <v>1</v>
      </c>
      <c r="R610" s="2">
        <v>1</v>
      </c>
      <c r="S610" s="2">
        <v>1</v>
      </c>
      <c r="T610" s="2">
        <v>1</v>
      </c>
      <c r="U610" s="3">
        <v>43819</v>
      </c>
      <c r="V610" s="8">
        <v>500000</v>
      </c>
    </row>
    <row r="611" spans="1:22" ht="15" customHeight="1" x14ac:dyDescent="0.25">
      <c r="A611" s="7">
        <v>610</v>
      </c>
      <c r="B611" s="3">
        <v>43820</v>
      </c>
      <c r="C611" s="2" t="s">
        <v>32</v>
      </c>
      <c r="D611" s="2" t="s">
        <v>140</v>
      </c>
      <c r="E611" s="2" t="s">
        <v>142</v>
      </c>
      <c r="F611" s="2" t="s">
        <v>106</v>
      </c>
      <c r="G611" s="3">
        <v>33868</v>
      </c>
      <c r="H611" s="2">
        <v>27</v>
      </c>
      <c r="I611" s="2" t="s">
        <v>26</v>
      </c>
      <c r="J611" s="2" t="s">
        <v>79</v>
      </c>
      <c r="K611" s="2" t="s">
        <v>91</v>
      </c>
      <c r="L611" s="2" t="s">
        <v>45</v>
      </c>
      <c r="M611" s="2" t="s">
        <v>30</v>
      </c>
      <c r="N611" s="2" t="s">
        <v>81</v>
      </c>
      <c r="O611" s="2"/>
      <c r="P611" s="2"/>
      <c r="Q611" s="2">
        <v>1</v>
      </c>
      <c r="R611" s="2"/>
      <c r="S611" s="2"/>
      <c r="T611" s="2"/>
      <c r="U611" s="3"/>
      <c r="V611" s="8"/>
    </row>
    <row r="612" spans="1:22" ht="15" customHeight="1" x14ac:dyDescent="0.25">
      <c r="A612" s="7">
        <v>611</v>
      </c>
      <c r="B612" s="3">
        <v>43820</v>
      </c>
      <c r="C612" s="2" t="s">
        <v>32</v>
      </c>
      <c r="D612" s="2" t="s">
        <v>140</v>
      </c>
      <c r="E612" s="2" t="s">
        <v>142</v>
      </c>
      <c r="F612" s="2" t="s">
        <v>107</v>
      </c>
      <c r="G612" s="3">
        <v>33429</v>
      </c>
      <c r="H612" s="2">
        <v>29</v>
      </c>
      <c r="I612" s="2" t="s">
        <v>87</v>
      </c>
      <c r="J612" s="2" t="s">
        <v>108</v>
      </c>
      <c r="K612" s="2" t="s">
        <v>37</v>
      </c>
      <c r="L612" s="2" t="s">
        <v>45</v>
      </c>
      <c r="M612" s="2" t="s">
        <v>30</v>
      </c>
      <c r="N612" s="2" t="s">
        <v>31</v>
      </c>
      <c r="O612" s="2"/>
      <c r="P612" s="2"/>
      <c r="Q612" s="2">
        <v>1</v>
      </c>
      <c r="R612" s="2">
        <v>1</v>
      </c>
      <c r="S612" s="2"/>
      <c r="T612" s="2"/>
      <c r="U612" s="3"/>
      <c r="V612" s="8"/>
    </row>
    <row r="613" spans="1:22" ht="15" customHeight="1" x14ac:dyDescent="0.25">
      <c r="A613" s="7">
        <v>612</v>
      </c>
      <c r="B613" s="3">
        <v>43820</v>
      </c>
      <c r="C613" s="2" t="s">
        <v>66</v>
      </c>
      <c r="D613" s="2" t="s">
        <v>23</v>
      </c>
      <c r="E613" s="2" t="s">
        <v>24</v>
      </c>
      <c r="F613" s="2" t="s">
        <v>69</v>
      </c>
      <c r="G613" s="3">
        <v>32996</v>
      </c>
      <c r="H613" s="2">
        <v>30</v>
      </c>
      <c r="I613" s="2" t="s">
        <v>26</v>
      </c>
      <c r="J613" s="2" t="s">
        <v>110</v>
      </c>
      <c r="K613" s="2" t="s">
        <v>37</v>
      </c>
      <c r="L613" s="2" t="s">
        <v>45</v>
      </c>
      <c r="M613" s="2" t="s">
        <v>30</v>
      </c>
      <c r="N613" s="2" t="s">
        <v>31</v>
      </c>
      <c r="O613" s="2"/>
      <c r="P613" s="2"/>
      <c r="Q613" s="2">
        <v>1</v>
      </c>
      <c r="R613" s="2">
        <v>1</v>
      </c>
      <c r="S613" s="2"/>
      <c r="T613" s="2"/>
      <c r="U613" s="3"/>
      <c r="V613" s="8"/>
    </row>
    <row r="614" spans="1:22" ht="15" customHeight="1" x14ac:dyDescent="0.25">
      <c r="A614" s="7">
        <v>613</v>
      </c>
      <c r="B614" s="3">
        <v>43820</v>
      </c>
      <c r="C614" s="2" t="s">
        <v>32</v>
      </c>
      <c r="D614" s="2" t="s">
        <v>140</v>
      </c>
      <c r="E614" s="2" t="s">
        <v>142</v>
      </c>
      <c r="F614" s="2" t="s">
        <v>106</v>
      </c>
      <c r="G614" s="3">
        <v>33868</v>
      </c>
      <c r="H614" s="2">
        <v>27</v>
      </c>
      <c r="I614" s="2" t="s">
        <v>26</v>
      </c>
      <c r="J614" s="2" t="s">
        <v>79</v>
      </c>
      <c r="K614" s="2" t="s">
        <v>91</v>
      </c>
      <c r="L614" s="2" t="s">
        <v>45</v>
      </c>
      <c r="M614" s="2" t="s">
        <v>30</v>
      </c>
      <c r="N614" s="2" t="s">
        <v>81</v>
      </c>
      <c r="O614" s="2"/>
      <c r="P614" s="2"/>
      <c r="Q614" s="2">
        <v>1</v>
      </c>
      <c r="R614" s="2"/>
      <c r="S614" s="2"/>
      <c r="T614" s="2"/>
      <c r="U614" s="3"/>
      <c r="V614" s="8"/>
    </row>
    <row r="615" spans="1:22" ht="15" customHeight="1" x14ac:dyDescent="0.25">
      <c r="A615" s="7">
        <v>614</v>
      </c>
      <c r="B615" s="3">
        <v>43820</v>
      </c>
      <c r="C615" s="2" t="s">
        <v>32</v>
      </c>
      <c r="D615" s="2" t="s">
        <v>140</v>
      </c>
      <c r="E615" s="2" t="s">
        <v>142</v>
      </c>
      <c r="F615" s="2" t="s">
        <v>107</v>
      </c>
      <c r="G615" s="3">
        <v>33429</v>
      </c>
      <c r="H615" s="2">
        <v>29</v>
      </c>
      <c r="I615" s="2" t="s">
        <v>87</v>
      </c>
      <c r="J615" s="2" t="s">
        <v>108</v>
      </c>
      <c r="K615" s="2" t="s">
        <v>37</v>
      </c>
      <c r="L615" s="2" t="s">
        <v>45</v>
      </c>
      <c r="M615" s="2" t="s">
        <v>30</v>
      </c>
      <c r="N615" s="2" t="s">
        <v>31</v>
      </c>
      <c r="O615" s="2"/>
      <c r="P615" s="2"/>
      <c r="Q615" s="2">
        <v>1</v>
      </c>
      <c r="R615" s="2">
        <v>1</v>
      </c>
      <c r="S615" s="2"/>
      <c r="T615" s="2"/>
      <c r="U615" s="3"/>
      <c r="V615" s="8"/>
    </row>
    <row r="616" spans="1:22" ht="15" customHeight="1" x14ac:dyDescent="0.25">
      <c r="A616" s="7">
        <v>615</v>
      </c>
      <c r="B616" s="3">
        <v>43820</v>
      </c>
      <c r="C616" s="2" t="s">
        <v>66</v>
      </c>
      <c r="D616" s="2" t="s">
        <v>23</v>
      </c>
      <c r="E616" s="2" t="s">
        <v>24</v>
      </c>
      <c r="F616" s="2" t="s">
        <v>69</v>
      </c>
      <c r="G616" s="3">
        <v>32996</v>
      </c>
      <c r="H616" s="2">
        <v>30</v>
      </c>
      <c r="I616" s="2" t="s">
        <v>26</v>
      </c>
      <c r="J616" s="2" t="s">
        <v>110</v>
      </c>
      <c r="K616" s="2" t="s">
        <v>37</v>
      </c>
      <c r="L616" s="2" t="s">
        <v>45</v>
      </c>
      <c r="M616" s="2" t="s">
        <v>30</v>
      </c>
      <c r="N616" s="2" t="s">
        <v>31</v>
      </c>
      <c r="O616" s="2"/>
      <c r="P616" s="2"/>
      <c r="Q616" s="2">
        <v>1</v>
      </c>
      <c r="R616" s="2">
        <v>1</v>
      </c>
      <c r="S616" s="2"/>
      <c r="T616" s="2"/>
      <c r="U616" s="3"/>
      <c r="V616" s="8"/>
    </row>
    <row r="617" spans="1:22" ht="15" customHeight="1" x14ac:dyDescent="0.25">
      <c r="A617" s="7">
        <v>616</v>
      </c>
      <c r="B617" s="3">
        <v>43820</v>
      </c>
      <c r="C617" s="2" t="s">
        <v>48</v>
      </c>
      <c r="D617" s="2" t="s">
        <v>23</v>
      </c>
      <c r="E617" s="2" t="s">
        <v>24</v>
      </c>
      <c r="F617" s="2" t="s">
        <v>111</v>
      </c>
      <c r="G617" s="3">
        <v>32919</v>
      </c>
      <c r="H617" s="2">
        <v>30</v>
      </c>
      <c r="I617" s="2" t="s">
        <v>87</v>
      </c>
      <c r="J617" s="2" t="s">
        <v>50</v>
      </c>
      <c r="K617" s="2" t="s">
        <v>91</v>
      </c>
      <c r="L617" s="2" t="s">
        <v>45</v>
      </c>
      <c r="M617" s="2" t="s">
        <v>38</v>
      </c>
      <c r="N617" s="2" t="s">
        <v>39</v>
      </c>
      <c r="O617" s="2" t="s">
        <v>40</v>
      </c>
      <c r="P617" s="2" t="s">
        <v>112</v>
      </c>
      <c r="Q617" s="2">
        <v>1</v>
      </c>
      <c r="R617" s="2">
        <v>1</v>
      </c>
      <c r="S617" s="2"/>
      <c r="T617" s="2"/>
      <c r="U617" s="3"/>
      <c r="V617" s="8"/>
    </row>
    <row r="618" spans="1:22" ht="15" customHeight="1" x14ac:dyDescent="0.25">
      <c r="A618" s="7">
        <v>617</v>
      </c>
      <c r="B618" s="3">
        <v>43820</v>
      </c>
      <c r="C618" s="2" t="s">
        <v>32</v>
      </c>
      <c r="D618" s="2" t="s">
        <v>140</v>
      </c>
      <c r="E618" s="2" t="s">
        <v>142</v>
      </c>
      <c r="F618" s="2" t="s">
        <v>113</v>
      </c>
      <c r="G618" s="3">
        <v>33302</v>
      </c>
      <c r="H618" s="2">
        <v>29</v>
      </c>
      <c r="I618" s="2" t="s">
        <v>26</v>
      </c>
      <c r="J618" s="2" t="s">
        <v>75</v>
      </c>
      <c r="K618" s="2" t="s">
        <v>91</v>
      </c>
      <c r="L618" s="2" t="s">
        <v>114</v>
      </c>
      <c r="M618" s="2" t="s">
        <v>38</v>
      </c>
      <c r="N618" s="2" t="s">
        <v>39</v>
      </c>
      <c r="O618" s="2" t="s">
        <v>46</v>
      </c>
      <c r="P618" s="2" t="s">
        <v>84</v>
      </c>
      <c r="Q618" s="2">
        <v>1</v>
      </c>
      <c r="R618" s="2">
        <v>1</v>
      </c>
      <c r="S618" s="2">
        <v>1</v>
      </c>
      <c r="T618" s="2">
        <v>1</v>
      </c>
      <c r="U618" s="3">
        <v>43825</v>
      </c>
      <c r="V618" s="8">
        <v>200000</v>
      </c>
    </row>
    <row r="619" spans="1:22" ht="15" customHeight="1" x14ac:dyDescent="0.25">
      <c r="A619" s="7">
        <v>618</v>
      </c>
      <c r="B619" s="3">
        <v>43821</v>
      </c>
      <c r="C619" s="2" t="s">
        <v>48</v>
      </c>
      <c r="D619" s="2" t="s">
        <v>67</v>
      </c>
      <c r="E619" s="2" t="s">
        <v>68</v>
      </c>
      <c r="F619" s="2" t="s">
        <v>115</v>
      </c>
      <c r="G619" s="3">
        <v>32589</v>
      </c>
      <c r="H619" s="2">
        <v>31</v>
      </c>
      <c r="I619" s="2" t="s">
        <v>26</v>
      </c>
      <c r="J619" s="2" t="s">
        <v>27</v>
      </c>
      <c r="K619" s="2" t="s">
        <v>37</v>
      </c>
      <c r="L619" s="2" t="s">
        <v>45</v>
      </c>
      <c r="M619" s="2" t="s">
        <v>38</v>
      </c>
      <c r="N619" s="2" t="s">
        <v>89</v>
      </c>
      <c r="O619" s="2"/>
      <c r="P619" s="2"/>
      <c r="Q619" s="2">
        <v>1</v>
      </c>
      <c r="R619" s="2"/>
      <c r="S619" s="2"/>
      <c r="T619" s="2"/>
      <c r="U619" s="3"/>
      <c r="V619" s="8"/>
    </row>
    <row r="620" spans="1:22" ht="15" customHeight="1" x14ac:dyDescent="0.25">
      <c r="A620" s="7">
        <v>619</v>
      </c>
      <c r="B620" s="3">
        <v>43821</v>
      </c>
      <c r="C620" s="2" t="s">
        <v>48</v>
      </c>
      <c r="D620" s="2" t="s">
        <v>23</v>
      </c>
      <c r="E620" s="2" t="s">
        <v>24</v>
      </c>
      <c r="F620" s="2" t="s">
        <v>116</v>
      </c>
      <c r="G620" s="3">
        <v>34652</v>
      </c>
      <c r="H620" s="2">
        <v>25</v>
      </c>
      <c r="I620" s="2" t="s">
        <v>26</v>
      </c>
      <c r="J620" s="2" t="s">
        <v>88</v>
      </c>
      <c r="K620" s="2" t="s">
        <v>91</v>
      </c>
      <c r="L620" s="2" t="s">
        <v>45</v>
      </c>
      <c r="M620" s="2" t="s">
        <v>38</v>
      </c>
      <c r="N620" s="2" t="s">
        <v>39</v>
      </c>
      <c r="O620" s="2" t="s">
        <v>46</v>
      </c>
      <c r="P620" s="2" t="s">
        <v>47</v>
      </c>
      <c r="Q620" s="2">
        <v>1</v>
      </c>
      <c r="R620" s="2"/>
      <c r="S620" s="2"/>
      <c r="T620" s="2"/>
      <c r="U620" s="3"/>
      <c r="V620" s="8">
        <v>100000</v>
      </c>
    </row>
    <row r="621" spans="1:22" ht="15" customHeight="1" x14ac:dyDescent="0.25">
      <c r="A621" s="13">
        <v>620</v>
      </c>
      <c r="B621" s="14">
        <v>43826</v>
      </c>
      <c r="C621" s="15" t="s">
        <v>66</v>
      </c>
      <c r="D621" s="15" t="s">
        <v>23</v>
      </c>
      <c r="E621" s="15" t="s">
        <v>24</v>
      </c>
      <c r="F621" s="15" t="s">
        <v>80</v>
      </c>
      <c r="G621" s="14">
        <v>33016</v>
      </c>
      <c r="H621" s="15">
        <v>30</v>
      </c>
      <c r="I621" s="15" t="s">
        <v>26</v>
      </c>
      <c r="J621" s="15" t="s">
        <v>61</v>
      </c>
      <c r="K621" s="15" t="s">
        <v>28</v>
      </c>
      <c r="L621" s="15" t="s">
        <v>92</v>
      </c>
      <c r="M621" s="15" t="s">
        <v>38</v>
      </c>
      <c r="N621" s="15" t="s">
        <v>63</v>
      </c>
      <c r="O621" s="15" t="s">
        <v>64</v>
      </c>
      <c r="P621" s="15"/>
      <c r="Q621" s="15">
        <v>1</v>
      </c>
      <c r="R621" s="15">
        <v>1</v>
      </c>
      <c r="S621" s="15"/>
      <c r="T621" s="15"/>
      <c r="U621" s="14"/>
      <c r="V621" s="16"/>
    </row>
    <row r="622" spans="1:22" ht="15" customHeight="1" x14ac:dyDescent="0.25">
      <c r="A622" s="7">
        <v>610</v>
      </c>
      <c r="B622" s="3">
        <v>43820</v>
      </c>
      <c r="C622" s="2" t="s">
        <v>32</v>
      </c>
      <c r="D622" s="2" t="s">
        <v>140</v>
      </c>
      <c r="E622" s="2" t="s">
        <v>142</v>
      </c>
      <c r="F622" s="2" t="s">
        <v>106</v>
      </c>
      <c r="G622" s="3">
        <v>33868</v>
      </c>
      <c r="H622" s="2">
        <v>27</v>
      </c>
      <c r="I622" s="2" t="s">
        <v>26</v>
      </c>
      <c r="J622" s="2" t="s">
        <v>79</v>
      </c>
      <c r="K622" s="2" t="s">
        <v>91</v>
      </c>
      <c r="L622" s="2" t="s">
        <v>45</v>
      </c>
      <c r="M622" s="2" t="s">
        <v>30</v>
      </c>
      <c r="N622" s="2" t="s">
        <v>81</v>
      </c>
      <c r="O622" s="2"/>
      <c r="P622" s="2"/>
      <c r="Q622" s="2">
        <v>1</v>
      </c>
      <c r="R622" s="2"/>
      <c r="S622" s="2"/>
      <c r="T622" s="2"/>
      <c r="U622" s="3"/>
      <c r="V622" s="8"/>
    </row>
    <row r="623" spans="1:22" ht="15" customHeight="1" x14ac:dyDescent="0.25">
      <c r="A623" s="7">
        <v>611</v>
      </c>
      <c r="B623" s="3">
        <v>43820</v>
      </c>
      <c r="C623" s="2" t="s">
        <v>32</v>
      </c>
      <c r="D623" s="2" t="s">
        <v>140</v>
      </c>
      <c r="E623" s="2" t="s">
        <v>142</v>
      </c>
      <c r="F623" s="2" t="s">
        <v>107</v>
      </c>
      <c r="G623" s="3">
        <v>33429</v>
      </c>
      <c r="H623" s="2">
        <v>29</v>
      </c>
      <c r="I623" s="2" t="s">
        <v>87</v>
      </c>
      <c r="J623" s="2" t="s">
        <v>108</v>
      </c>
      <c r="K623" s="2" t="s">
        <v>37</v>
      </c>
      <c r="L623" s="2" t="s">
        <v>45</v>
      </c>
      <c r="M623" s="2" t="s">
        <v>30</v>
      </c>
      <c r="N623" s="2" t="s">
        <v>31</v>
      </c>
      <c r="O623" s="2"/>
      <c r="P623" s="2"/>
      <c r="Q623" s="2">
        <v>1</v>
      </c>
      <c r="R623" s="2">
        <v>1</v>
      </c>
      <c r="S623" s="2"/>
      <c r="T623" s="2"/>
      <c r="U623" s="3"/>
      <c r="V623" s="8"/>
    </row>
    <row r="624" spans="1:22" ht="15" customHeight="1" x14ac:dyDescent="0.25">
      <c r="A624" s="7">
        <v>612</v>
      </c>
      <c r="B624" s="3">
        <v>43820</v>
      </c>
      <c r="C624" s="2" t="s">
        <v>66</v>
      </c>
      <c r="D624" s="2" t="s">
        <v>23</v>
      </c>
      <c r="E624" s="2" t="s">
        <v>24</v>
      </c>
      <c r="F624" s="2" t="s">
        <v>69</v>
      </c>
      <c r="G624" s="3">
        <v>32996</v>
      </c>
      <c r="H624" s="2">
        <v>30</v>
      </c>
      <c r="I624" s="2" t="s">
        <v>26</v>
      </c>
      <c r="J624" s="2" t="s">
        <v>110</v>
      </c>
      <c r="K624" s="2" t="s">
        <v>37</v>
      </c>
      <c r="L624" s="2" t="s">
        <v>45</v>
      </c>
      <c r="M624" s="2" t="s">
        <v>30</v>
      </c>
      <c r="N624" s="2" t="s">
        <v>31</v>
      </c>
      <c r="O624" s="2"/>
      <c r="P624" s="2"/>
      <c r="Q624" s="2">
        <v>1</v>
      </c>
      <c r="R624" s="2">
        <v>1</v>
      </c>
      <c r="S624" s="2"/>
      <c r="T624" s="2"/>
      <c r="U624" s="3"/>
      <c r="V624" s="8"/>
    </row>
    <row r="625" spans="1:22" ht="15" customHeight="1" x14ac:dyDescent="0.25">
      <c r="A625" s="7">
        <v>613</v>
      </c>
      <c r="B625" s="3">
        <v>43820</v>
      </c>
      <c r="C625" s="2" t="s">
        <v>32</v>
      </c>
      <c r="D625" s="2" t="s">
        <v>140</v>
      </c>
      <c r="E625" s="2" t="s">
        <v>142</v>
      </c>
      <c r="F625" s="2" t="s">
        <v>106</v>
      </c>
      <c r="G625" s="3">
        <v>33868</v>
      </c>
      <c r="H625" s="2">
        <v>27</v>
      </c>
      <c r="I625" s="2" t="s">
        <v>26</v>
      </c>
      <c r="J625" s="2" t="s">
        <v>79</v>
      </c>
      <c r="K625" s="2" t="s">
        <v>91</v>
      </c>
      <c r="L625" s="2" t="s">
        <v>45</v>
      </c>
      <c r="M625" s="2" t="s">
        <v>30</v>
      </c>
      <c r="N625" s="2" t="s">
        <v>81</v>
      </c>
      <c r="O625" s="2"/>
      <c r="P625" s="2"/>
      <c r="Q625" s="2">
        <v>1</v>
      </c>
      <c r="R625" s="2"/>
      <c r="S625" s="2"/>
      <c r="T625" s="2"/>
      <c r="U625" s="3"/>
      <c r="V625" s="8"/>
    </row>
    <row r="626" spans="1:22" ht="15" customHeight="1" x14ac:dyDescent="0.25">
      <c r="A626" s="7">
        <v>614</v>
      </c>
      <c r="B626" s="3">
        <v>43820</v>
      </c>
      <c r="C626" s="2" t="s">
        <v>32</v>
      </c>
      <c r="D626" s="2" t="s">
        <v>140</v>
      </c>
      <c r="E626" s="2" t="s">
        <v>142</v>
      </c>
      <c r="F626" s="2" t="s">
        <v>107</v>
      </c>
      <c r="G626" s="3">
        <v>33429</v>
      </c>
      <c r="H626" s="2">
        <v>29</v>
      </c>
      <c r="I626" s="2" t="s">
        <v>87</v>
      </c>
      <c r="J626" s="2" t="s">
        <v>108</v>
      </c>
      <c r="K626" s="2" t="s">
        <v>37</v>
      </c>
      <c r="L626" s="2" t="s">
        <v>45</v>
      </c>
      <c r="M626" s="2" t="s">
        <v>30</v>
      </c>
      <c r="N626" s="2" t="s">
        <v>31</v>
      </c>
      <c r="O626" s="2"/>
      <c r="P626" s="2"/>
      <c r="Q626" s="2">
        <v>1</v>
      </c>
      <c r="R626" s="2">
        <v>1</v>
      </c>
      <c r="S626" s="2"/>
      <c r="T626" s="2"/>
      <c r="U626" s="3"/>
      <c r="V626" s="8"/>
    </row>
    <row r="627" spans="1:22" ht="15" customHeight="1" x14ac:dyDescent="0.25">
      <c r="A627" s="7">
        <v>615</v>
      </c>
      <c r="B627" s="3">
        <v>43820</v>
      </c>
      <c r="C627" s="2" t="s">
        <v>66</v>
      </c>
      <c r="D627" s="2" t="s">
        <v>23</v>
      </c>
      <c r="E627" s="2" t="s">
        <v>24</v>
      </c>
      <c r="F627" s="2" t="s">
        <v>69</v>
      </c>
      <c r="G627" s="3">
        <v>32996</v>
      </c>
      <c r="H627" s="2">
        <v>30</v>
      </c>
      <c r="I627" s="2" t="s">
        <v>26</v>
      </c>
      <c r="J627" s="2" t="s">
        <v>110</v>
      </c>
      <c r="K627" s="2" t="s">
        <v>37</v>
      </c>
      <c r="L627" s="2" t="s">
        <v>45</v>
      </c>
      <c r="M627" s="2" t="s">
        <v>30</v>
      </c>
      <c r="N627" s="2" t="s">
        <v>31</v>
      </c>
      <c r="O627" s="2"/>
      <c r="P627" s="2"/>
      <c r="Q627" s="2">
        <v>1</v>
      </c>
      <c r="R627" s="2">
        <v>1</v>
      </c>
      <c r="S627" s="2"/>
      <c r="T627" s="2"/>
      <c r="U627" s="3"/>
      <c r="V627" s="8"/>
    </row>
    <row r="628" spans="1:22" ht="15" customHeight="1" x14ac:dyDescent="0.25">
      <c r="A628" s="7">
        <v>616</v>
      </c>
      <c r="B628" s="3">
        <v>43820</v>
      </c>
      <c r="C628" s="2" t="s">
        <v>48</v>
      </c>
      <c r="D628" s="2" t="s">
        <v>23</v>
      </c>
      <c r="E628" s="2" t="s">
        <v>24</v>
      </c>
      <c r="F628" s="2" t="s">
        <v>111</v>
      </c>
      <c r="G628" s="3">
        <v>32919</v>
      </c>
      <c r="H628" s="2">
        <v>30</v>
      </c>
      <c r="I628" s="2" t="s">
        <v>87</v>
      </c>
      <c r="J628" s="2" t="s">
        <v>50</v>
      </c>
      <c r="K628" s="2" t="s">
        <v>91</v>
      </c>
      <c r="L628" s="2" t="s">
        <v>45</v>
      </c>
      <c r="M628" s="2" t="s">
        <v>38</v>
      </c>
      <c r="N628" s="2" t="s">
        <v>39</v>
      </c>
      <c r="O628" s="2" t="s">
        <v>40</v>
      </c>
      <c r="P628" s="2" t="s">
        <v>112</v>
      </c>
      <c r="Q628" s="2">
        <v>1</v>
      </c>
      <c r="R628" s="2">
        <v>1</v>
      </c>
      <c r="S628" s="2"/>
      <c r="T628" s="2"/>
      <c r="U628" s="3"/>
      <c r="V628" s="8"/>
    </row>
    <row r="629" spans="1:22" ht="15" customHeight="1" x14ac:dyDescent="0.25">
      <c r="A629" s="7">
        <v>617</v>
      </c>
      <c r="B629" s="3">
        <v>43820</v>
      </c>
      <c r="C629" s="2" t="s">
        <v>32</v>
      </c>
      <c r="D629" s="2" t="s">
        <v>140</v>
      </c>
      <c r="E629" s="2" t="s">
        <v>142</v>
      </c>
      <c r="F629" s="2" t="s">
        <v>113</v>
      </c>
      <c r="G629" s="3">
        <v>33302</v>
      </c>
      <c r="H629" s="2">
        <v>29</v>
      </c>
      <c r="I629" s="2" t="s">
        <v>26</v>
      </c>
      <c r="J629" s="2" t="s">
        <v>75</v>
      </c>
      <c r="K629" s="2" t="s">
        <v>91</v>
      </c>
      <c r="L629" s="2" t="s">
        <v>114</v>
      </c>
      <c r="M629" s="2" t="s">
        <v>38</v>
      </c>
      <c r="N629" s="2" t="s">
        <v>39</v>
      </c>
      <c r="O629" s="2" t="s">
        <v>46</v>
      </c>
      <c r="P629" s="2" t="s">
        <v>84</v>
      </c>
      <c r="Q629" s="2">
        <v>1</v>
      </c>
      <c r="R629" s="2">
        <v>1</v>
      </c>
      <c r="S629" s="2">
        <v>1</v>
      </c>
      <c r="T629" s="2">
        <v>1</v>
      </c>
      <c r="U629" s="3">
        <v>43825</v>
      </c>
      <c r="V629" s="8">
        <v>200000</v>
      </c>
    </row>
    <row r="630" spans="1:22" ht="15" customHeight="1" x14ac:dyDescent="0.25">
      <c r="A630" s="7">
        <v>618</v>
      </c>
      <c r="B630" s="3">
        <v>43821</v>
      </c>
      <c r="C630" s="2" t="s">
        <v>48</v>
      </c>
      <c r="D630" s="2" t="s">
        <v>67</v>
      </c>
      <c r="E630" s="2" t="s">
        <v>68</v>
      </c>
      <c r="F630" s="2" t="s">
        <v>115</v>
      </c>
      <c r="G630" s="3">
        <v>32589</v>
      </c>
      <c r="H630" s="2">
        <v>31</v>
      </c>
      <c r="I630" s="2" t="s">
        <v>26</v>
      </c>
      <c r="J630" s="2" t="s">
        <v>27</v>
      </c>
      <c r="K630" s="2" t="s">
        <v>37</v>
      </c>
      <c r="L630" s="2" t="s">
        <v>45</v>
      </c>
      <c r="M630" s="2" t="s">
        <v>38</v>
      </c>
      <c r="N630" s="2" t="s">
        <v>89</v>
      </c>
      <c r="O630" s="2"/>
      <c r="P630" s="2"/>
      <c r="Q630" s="2">
        <v>1</v>
      </c>
      <c r="R630" s="2"/>
      <c r="S630" s="2"/>
      <c r="T630" s="2"/>
      <c r="U630" s="3"/>
      <c r="V630" s="8"/>
    </row>
    <row r="631" spans="1:22" ht="15" customHeight="1" x14ac:dyDescent="0.25">
      <c r="A631" s="13">
        <v>619</v>
      </c>
      <c r="B631" s="14">
        <v>43821</v>
      </c>
      <c r="C631" s="15" t="s">
        <v>48</v>
      </c>
      <c r="D631" s="15" t="s">
        <v>23</v>
      </c>
      <c r="E631" s="15" t="s">
        <v>24</v>
      </c>
      <c r="F631" s="15" t="s">
        <v>116</v>
      </c>
      <c r="G631" s="14">
        <v>34652</v>
      </c>
      <c r="H631" s="15">
        <v>25</v>
      </c>
      <c r="I631" s="15" t="s">
        <v>26</v>
      </c>
      <c r="J631" s="15" t="s">
        <v>88</v>
      </c>
      <c r="K631" s="15" t="s">
        <v>91</v>
      </c>
      <c r="L631" s="15" t="s">
        <v>45</v>
      </c>
      <c r="M631" s="15" t="s">
        <v>38</v>
      </c>
      <c r="N631" s="15" t="s">
        <v>39</v>
      </c>
      <c r="O631" s="15" t="s">
        <v>46</v>
      </c>
      <c r="P631" s="15" t="s">
        <v>47</v>
      </c>
      <c r="Q631" s="15">
        <v>1</v>
      </c>
      <c r="R631" s="15"/>
      <c r="S631" s="15"/>
      <c r="T631" s="15"/>
      <c r="U631" s="14"/>
      <c r="V631" s="16">
        <v>100000</v>
      </c>
    </row>
  </sheetData>
  <pageMargins left="0.7" right="0.7" top="0.75" bottom="0.75" header="0.3" footer="0.3"/>
  <pageSetup orientation="portrait" horizontalDpi="0" verticalDpi="0"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812577-736B-471A-B206-E13A331574C1}">
  <dimension ref="A2:H108"/>
  <sheetViews>
    <sheetView zoomScale="98" zoomScaleNormal="98" workbookViewId="0">
      <selection activeCell="A6" sqref="A6"/>
    </sheetView>
  </sheetViews>
  <sheetFormatPr defaultRowHeight="15" x14ac:dyDescent="0.25"/>
  <cols>
    <col min="1" max="1" width="13.140625" bestFit="1" customWidth="1"/>
    <col min="2" max="2" width="7.5703125" bestFit="1" customWidth="1"/>
    <col min="3" max="3" width="6" bestFit="1" customWidth="1"/>
    <col min="4" max="4" width="7.85546875" bestFit="1" customWidth="1"/>
    <col min="5" max="5" width="12" bestFit="1" customWidth="1"/>
    <col min="6" max="6" width="11.85546875" bestFit="1" customWidth="1"/>
    <col min="7" max="7" width="11.28515625" bestFit="1" customWidth="1"/>
    <col min="8" max="8" width="11.42578125" customWidth="1"/>
    <col min="9" max="9" width="9.85546875" bestFit="1" customWidth="1"/>
    <col min="10" max="10" width="7.85546875" bestFit="1" customWidth="1"/>
    <col min="11" max="11" width="11.85546875" bestFit="1" customWidth="1"/>
    <col min="12" max="12" width="10" bestFit="1" customWidth="1"/>
    <col min="13" max="13" width="8.42578125" bestFit="1" customWidth="1"/>
    <col min="14" max="14" width="9.85546875" bestFit="1" customWidth="1"/>
    <col min="15" max="15" width="7.85546875" bestFit="1" customWidth="1"/>
    <col min="16" max="16" width="11.85546875" bestFit="1" customWidth="1"/>
    <col min="17" max="17" width="10" bestFit="1" customWidth="1"/>
    <col min="18" max="18" width="8.42578125" bestFit="1" customWidth="1"/>
    <col min="19" max="19" width="9.85546875" bestFit="1" customWidth="1"/>
    <col min="20" max="20" width="7.85546875" bestFit="1" customWidth="1"/>
    <col min="21" max="21" width="12" bestFit="1" customWidth="1"/>
    <col min="22" max="22" width="11.85546875" bestFit="1" customWidth="1"/>
    <col min="23" max="23" width="10" bestFit="1" customWidth="1"/>
    <col min="24" max="24" width="8.42578125" bestFit="1" customWidth="1"/>
    <col min="25" max="25" width="9.85546875" bestFit="1" customWidth="1"/>
    <col min="26" max="26" width="7.85546875" bestFit="1" customWidth="1"/>
    <col min="27" max="27" width="12" bestFit="1" customWidth="1"/>
    <col min="28" max="28" width="10" bestFit="1" customWidth="1"/>
    <col min="29" max="29" width="8.42578125" bestFit="1" customWidth="1"/>
    <col min="30" max="30" width="9.85546875" bestFit="1" customWidth="1"/>
    <col min="31" max="31" width="7.85546875" bestFit="1" customWidth="1"/>
    <col min="32" max="32" width="11.85546875" bestFit="1" customWidth="1"/>
    <col min="33" max="33" width="10" bestFit="1" customWidth="1"/>
    <col min="34" max="34" width="8.42578125" bestFit="1" customWidth="1"/>
    <col min="35" max="35" width="7.85546875" bestFit="1" customWidth="1"/>
    <col min="36" max="36" width="11.85546875" bestFit="1" customWidth="1"/>
    <col min="37" max="37" width="10" bestFit="1" customWidth="1"/>
    <col min="38" max="38" width="8.42578125" bestFit="1" customWidth="1"/>
    <col min="39" max="39" width="9.85546875" bestFit="1" customWidth="1"/>
    <col min="40" max="40" width="7.85546875" bestFit="1" customWidth="1"/>
    <col min="41" max="41" width="10" bestFit="1" customWidth="1"/>
    <col min="42" max="42" width="9.85546875" bestFit="1" customWidth="1"/>
    <col min="43" max="43" width="7.85546875" bestFit="1" customWidth="1"/>
    <col min="44" max="44" width="12" bestFit="1" customWidth="1"/>
    <col min="45" max="45" width="10" bestFit="1" customWidth="1"/>
    <col min="46" max="46" width="8.42578125" bestFit="1" customWidth="1"/>
    <col min="47" max="47" width="9.85546875" bestFit="1" customWidth="1"/>
    <col min="48" max="48" width="7.85546875" bestFit="1" customWidth="1"/>
    <col min="49" max="49" width="12" bestFit="1" customWidth="1"/>
    <col min="50" max="50" width="11.85546875" bestFit="1" customWidth="1"/>
    <col min="51" max="51" width="11.140625" bestFit="1" customWidth="1"/>
    <col min="52" max="52" width="8.42578125" bestFit="1" customWidth="1"/>
    <col min="53" max="53" width="9.85546875" bestFit="1" customWidth="1"/>
    <col min="54" max="54" width="7.85546875" bestFit="1" customWidth="1"/>
    <col min="55" max="55" width="12" bestFit="1" customWidth="1"/>
    <col min="56" max="56" width="11.85546875" bestFit="1" customWidth="1"/>
    <col min="57" max="57" width="11.140625" bestFit="1" customWidth="1"/>
    <col min="58" max="58" width="8.42578125" bestFit="1" customWidth="1"/>
    <col min="59" max="59" width="7.85546875" bestFit="1" customWidth="1"/>
    <col min="60" max="60" width="12" bestFit="1" customWidth="1"/>
    <col min="61" max="61" width="11.85546875" bestFit="1" customWidth="1"/>
    <col min="62" max="62" width="11.140625" bestFit="1" customWidth="1"/>
    <col min="63" max="63" width="11.28515625" bestFit="1" customWidth="1"/>
  </cols>
  <sheetData>
    <row r="2" spans="1:8" x14ac:dyDescent="0.25">
      <c r="A2" t="s">
        <v>152</v>
      </c>
      <c r="D2" s="21" t="s">
        <v>149</v>
      </c>
      <c r="E2" s="20">
        <f>GETPIVOTDATA("Chi phí",$A$2)/GETPIVOTDATA(" Số lượng  hồ sơ",$A$5)</f>
        <v>160493.87096774194</v>
      </c>
      <c r="G2" s="21" t="s">
        <v>150</v>
      </c>
      <c r="H2" s="20">
        <f>GETPIVOTDATA("Chi phí",$A$2)/GETPIVOTDATA("Nhận việc",$E$6)</f>
        <v>796049.6</v>
      </c>
    </row>
    <row r="3" spans="1:8" x14ac:dyDescent="0.25">
      <c r="A3" s="24">
        <v>99506200</v>
      </c>
    </row>
    <row r="5" spans="1:8" x14ac:dyDescent="0.25">
      <c r="A5" s="17" t="s">
        <v>147</v>
      </c>
    </row>
    <row r="6" spans="1:8" x14ac:dyDescent="0.25">
      <c r="A6" s="18" t="s">
        <v>154</v>
      </c>
      <c r="B6">
        <v>620</v>
      </c>
      <c r="E6" t="s">
        <v>171</v>
      </c>
    </row>
    <row r="7" spans="1:8" x14ac:dyDescent="0.25">
      <c r="A7" s="18" t="s">
        <v>155</v>
      </c>
      <c r="B7">
        <v>362</v>
      </c>
      <c r="E7">
        <v>125</v>
      </c>
    </row>
    <row r="8" spans="1:8" x14ac:dyDescent="0.25">
      <c r="A8" s="18" t="s">
        <v>156</v>
      </c>
      <c r="B8">
        <v>165</v>
      </c>
    </row>
    <row r="9" spans="1:8" x14ac:dyDescent="0.25">
      <c r="A9" s="18"/>
    </row>
    <row r="15" spans="1:8" x14ac:dyDescent="0.25">
      <c r="A15" s="17" t="s">
        <v>145</v>
      </c>
      <c r="B15" t="s">
        <v>152</v>
      </c>
      <c r="C15" t="s">
        <v>171</v>
      </c>
    </row>
    <row r="16" spans="1:8" x14ac:dyDescent="0.25">
      <c r="A16" s="18" t="s">
        <v>30</v>
      </c>
      <c r="B16" s="24">
        <v>26032000</v>
      </c>
      <c r="C16">
        <v>26</v>
      </c>
    </row>
    <row r="17" spans="1:3" x14ac:dyDescent="0.25">
      <c r="A17" s="19" t="s">
        <v>81</v>
      </c>
      <c r="B17" s="24">
        <v>7895000</v>
      </c>
      <c r="C17">
        <v>4</v>
      </c>
    </row>
    <row r="18" spans="1:3" x14ac:dyDescent="0.25">
      <c r="A18" s="22" t="s">
        <v>151</v>
      </c>
      <c r="B18" s="24">
        <v>7895000</v>
      </c>
      <c r="C18">
        <v>4</v>
      </c>
    </row>
    <row r="19" spans="1:3" x14ac:dyDescent="0.25">
      <c r="A19" s="19" t="s">
        <v>31</v>
      </c>
      <c r="B19" s="24">
        <v>18137000</v>
      </c>
      <c r="C19">
        <v>22</v>
      </c>
    </row>
    <row r="20" spans="1:3" x14ac:dyDescent="0.25">
      <c r="A20" s="22" t="s">
        <v>151</v>
      </c>
      <c r="B20" s="24">
        <v>18137000</v>
      </c>
      <c r="C20">
        <v>22</v>
      </c>
    </row>
    <row r="21" spans="1:3" x14ac:dyDescent="0.25">
      <c r="A21" s="18" t="s">
        <v>38</v>
      </c>
      <c r="B21" s="24">
        <v>73474200</v>
      </c>
      <c r="C21">
        <v>99</v>
      </c>
    </row>
    <row r="22" spans="1:3" x14ac:dyDescent="0.25">
      <c r="A22" s="19" t="s">
        <v>56</v>
      </c>
      <c r="B22" s="24">
        <v>2739000</v>
      </c>
    </row>
    <row r="23" spans="1:3" x14ac:dyDescent="0.25">
      <c r="A23" s="22" t="s">
        <v>151</v>
      </c>
      <c r="B23" s="24">
        <v>2739000</v>
      </c>
    </row>
    <row r="24" spans="1:3" x14ac:dyDescent="0.25">
      <c r="A24" s="19" t="s">
        <v>63</v>
      </c>
      <c r="B24" s="24">
        <v>10188200</v>
      </c>
      <c r="C24">
        <v>16</v>
      </c>
    </row>
    <row r="25" spans="1:3" x14ac:dyDescent="0.25">
      <c r="A25" s="22" t="s">
        <v>64</v>
      </c>
      <c r="B25" s="24">
        <v>10188200</v>
      </c>
      <c r="C25">
        <v>16</v>
      </c>
    </row>
    <row r="26" spans="1:3" x14ac:dyDescent="0.25">
      <c r="A26" s="23" t="s">
        <v>151</v>
      </c>
      <c r="B26" s="24">
        <v>10188200</v>
      </c>
      <c r="C26">
        <v>16</v>
      </c>
    </row>
    <row r="27" spans="1:3" x14ac:dyDescent="0.25">
      <c r="A27" s="19" t="s">
        <v>39</v>
      </c>
      <c r="B27" s="24">
        <v>29779000</v>
      </c>
      <c r="C27">
        <v>80</v>
      </c>
    </row>
    <row r="28" spans="1:3" x14ac:dyDescent="0.25">
      <c r="A28" s="22" t="s">
        <v>40</v>
      </c>
      <c r="B28" s="24">
        <v>4558000</v>
      </c>
      <c r="C28">
        <v>32</v>
      </c>
    </row>
    <row r="29" spans="1:3" x14ac:dyDescent="0.25">
      <c r="A29" s="23" t="s">
        <v>84</v>
      </c>
      <c r="B29" s="24">
        <v>2265000</v>
      </c>
    </row>
    <row r="30" spans="1:3" x14ac:dyDescent="0.25">
      <c r="A30" s="23" t="s">
        <v>41</v>
      </c>
      <c r="B30" s="24">
        <v>872000</v>
      </c>
      <c r="C30">
        <v>26</v>
      </c>
    </row>
    <row r="31" spans="1:3" x14ac:dyDescent="0.25">
      <c r="A31" s="23" t="s">
        <v>112</v>
      </c>
      <c r="B31" s="24">
        <v>1180000</v>
      </c>
    </row>
    <row r="32" spans="1:3" x14ac:dyDescent="0.25">
      <c r="A32" s="23" t="s">
        <v>137</v>
      </c>
      <c r="B32" s="24">
        <v>121000</v>
      </c>
      <c r="C32">
        <v>1</v>
      </c>
    </row>
    <row r="33" spans="1:3" x14ac:dyDescent="0.25">
      <c r="A33" s="23" t="s">
        <v>77</v>
      </c>
      <c r="B33" s="24">
        <v>120000</v>
      </c>
      <c r="C33">
        <v>5</v>
      </c>
    </row>
    <row r="34" spans="1:3" x14ac:dyDescent="0.25">
      <c r="A34" s="22" t="s">
        <v>46</v>
      </c>
      <c r="B34" s="24">
        <v>25221000</v>
      </c>
      <c r="C34">
        <v>48</v>
      </c>
    </row>
    <row r="35" spans="1:3" x14ac:dyDescent="0.25">
      <c r="A35" s="23" t="s">
        <v>84</v>
      </c>
      <c r="B35" s="24">
        <v>6063000</v>
      </c>
      <c r="C35">
        <v>16</v>
      </c>
    </row>
    <row r="36" spans="1:3" x14ac:dyDescent="0.25">
      <c r="A36" s="23" t="s">
        <v>137</v>
      </c>
      <c r="B36" s="24">
        <v>122000</v>
      </c>
      <c r="C36">
        <v>1</v>
      </c>
    </row>
    <row r="37" spans="1:3" x14ac:dyDescent="0.25">
      <c r="A37" s="23" t="s">
        <v>95</v>
      </c>
      <c r="B37" s="24">
        <v>3790000</v>
      </c>
      <c r="C37">
        <v>1</v>
      </c>
    </row>
    <row r="38" spans="1:3" x14ac:dyDescent="0.25">
      <c r="A38" s="23" t="s">
        <v>135</v>
      </c>
      <c r="B38" s="24">
        <v>1800000</v>
      </c>
      <c r="C38">
        <v>2</v>
      </c>
    </row>
    <row r="39" spans="1:3" x14ac:dyDescent="0.25">
      <c r="A39" s="23" t="s">
        <v>47</v>
      </c>
      <c r="B39" s="24">
        <v>10852000</v>
      </c>
      <c r="C39">
        <v>16</v>
      </c>
    </row>
    <row r="40" spans="1:3" x14ac:dyDescent="0.25">
      <c r="A40" s="23" t="s">
        <v>118</v>
      </c>
      <c r="B40" s="24">
        <v>2594000</v>
      </c>
      <c r="C40">
        <v>12</v>
      </c>
    </row>
    <row r="41" spans="1:3" x14ac:dyDescent="0.25">
      <c r="A41" s="19" t="s">
        <v>89</v>
      </c>
      <c r="B41" s="24">
        <v>30768000</v>
      </c>
      <c r="C41">
        <v>3</v>
      </c>
    </row>
    <row r="42" spans="1:3" x14ac:dyDescent="0.25">
      <c r="A42" s="22" t="s">
        <v>151</v>
      </c>
      <c r="B42" s="24">
        <v>30768000</v>
      </c>
      <c r="C42">
        <v>3</v>
      </c>
    </row>
    <row r="43" spans="1:3" x14ac:dyDescent="0.25">
      <c r="A43" s="18" t="s">
        <v>146</v>
      </c>
      <c r="B43" s="24">
        <v>99506200</v>
      </c>
      <c r="C43">
        <v>125</v>
      </c>
    </row>
    <row r="44" spans="1:3" x14ac:dyDescent="0.25">
      <c r="A44" s="17" t="s">
        <v>19</v>
      </c>
      <c r="B44" t="s">
        <v>169</v>
      </c>
    </row>
    <row r="46" spans="1:3" x14ac:dyDescent="0.25">
      <c r="A46" s="17" t="s">
        <v>145</v>
      </c>
      <c r="B46" t="s">
        <v>152</v>
      </c>
      <c r="C46" t="s">
        <v>170</v>
      </c>
    </row>
    <row r="47" spans="1:3" x14ac:dyDescent="0.25">
      <c r="A47" s="18" t="s">
        <v>57</v>
      </c>
      <c r="B47" s="24">
        <v>20879000</v>
      </c>
      <c r="C47">
        <v>30</v>
      </c>
    </row>
    <row r="48" spans="1:3" x14ac:dyDescent="0.25">
      <c r="A48" s="18" t="s">
        <v>66</v>
      </c>
      <c r="B48" s="24">
        <v>13211000</v>
      </c>
      <c r="C48">
        <v>15</v>
      </c>
    </row>
    <row r="49" spans="1:4" x14ac:dyDescent="0.25">
      <c r="A49" s="18" t="s">
        <v>22</v>
      </c>
      <c r="B49" s="24">
        <v>8001000</v>
      </c>
      <c r="C49">
        <v>10</v>
      </c>
    </row>
    <row r="50" spans="1:4" x14ac:dyDescent="0.25">
      <c r="A50" s="18" t="s">
        <v>48</v>
      </c>
      <c r="B50" s="24">
        <v>39045200</v>
      </c>
      <c r="C50">
        <v>37</v>
      </c>
    </row>
    <row r="51" spans="1:4" x14ac:dyDescent="0.25">
      <c r="A51" s="18" t="s">
        <v>32</v>
      </c>
      <c r="B51" s="24">
        <v>18370000</v>
      </c>
      <c r="C51">
        <v>33</v>
      </c>
    </row>
    <row r="52" spans="1:4" x14ac:dyDescent="0.25">
      <c r="A52" s="18" t="s">
        <v>146</v>
      </c>
      <c r="B52" s="24">
        <v>99506200</v>
      </c>
      <c r="C52">
        <v>125</v>
      </c>
    </row>
    <row r="57" spans="1:4" x14ac:dyDescent="0.25">
      <c r="A57" s="17" t="s">
        <v>154</v>
      </c>
      <c r="B57" s="17" t="s">
        <v>148</v>
      </c>
    </row>
    <row r="58" spans="1:4" x14ac:dyDescent="0.25">
      <c r="A58" s="17" t="s">
        <v>145</v>
      </c>
      <c r="B58" t="s">
        <v>144</v>
      </c>
      <c r="C58" t="s">
        <v>19</v>
      </c>
      <c r="D58" t="s">
        <v>146</v>
      </c>
    </row>
    <row r="59" spans="1:4" x14ac:dyDescent="0.25">
      <c r="A59" s="18" t="s">
        <v>157</v>
      </c>
      <c r="B59">
        <v>37</v>
      </c>
      <c r="C59">
        <v>20</v>
      </c>
      <c r="D59">
        <v>57</v>
      </c>
    </row>
    <row r="60" spans="1:4" x14ac:dyDescent="0.25">
      <c r="A60" s="18" t="s">
        <v>158</v>
      </c>
      <c r="B60">
        <v>58</v>
      </c>
      <c r="C60">
        <v>18</v>
      </c>
      <c r="D60">
        <v>76</v>
      </c>
    </row>
    <row r="61" spans="1:4" x14ac:dyDescent="0.25">
      <c r="A61" s="18" t="s">
        <v>159</v>
      </c>
      <c r="B61">
        <v>41</v>
      </c>
      <c r="C61">
        <v>13</v>
      </c>
      <c r="D61">
        <v>54</v>
      </c>
    </row>
    <row r="62" spans="1:4" x14ac:dyDescent="0.25">
      <c r="A62" s="18" t="s">
        <v>160</v>
      </c>
      <c r="B62">
        <v>37</v>
      </c>
      <c r="C62">
        <v>11</v>
      </c>
      <c r="D62">
        <v>48</v>
      </c>
    </row>
    <row r="63" spans="1:4" x14ac:dyDescent="0.25">
      <c r="A63" s="18" t="s">
        <v>161</v>
      </c>
      <c r="B63">
        <v>33</v>
      </c>
      <c r="C63">
        <v>6</v>
      </c>
      <c r="D63">
        <v>39</v>
      </c>
    </row>
    <row r="64" spans="1:4" x14ac:dyDescent="0.25">
      <c r="A64" s="18" t="s">
        <v>162</v>
      </c>
      <c r="B64">
        <v>50</v>
      </c>
      <c r="C64">
        <v>10</v>
      </c>
      <c r="D64">
        <v>60</v>
      </c>
    </row>
    <row r="65" spans="1:4" x14ac:dyDescent="0.25">
      <c r="A65" s="18" t="s">
        <v>163</v>
      </c>
      <c r="B65">
        <v>41</v>
      </c>
      <c r="C65">
        <v>10</v>
      </c>
      <c r="D65">
        <v>51</v>
      </c>
    </row>
    <row r="66" spans="1:4" x14ac:dyDescent="0.25">
      <c r="A66" s="18" t="s">
        <v>164</v>
      </c>
      <c r="B66">
        <v>38</v>
      </c>
      <c r="C66">
        <v>6</v>
      </c>
      <c r="D66">
        <v>44</v>
      </c>
    </row>
    <row r="67" spans="1:4" x14ac:dyDescent="0.25">
      <c r="A67" s="18" t="s">
        <v>165</v>
      </c>
      <c r="B67">
        <v>46</v>
      </c>
      <c r="C67">
        <v>9</v>
      </c>
      <c r="D67">
        <v>55</v>
      </c>
    </row>
    <row r="68" spans="1:4" x14ac:dyDescent="0.25">
      <c r="A68" s="18" t="s">
        <v>166</v>
      </c>
      <c r="B68">
        <v>43</v>
      </c>
      <c r="C68">
        <v>8</v>
      </c>
      <c r="D68">
        <v>51</v>
      </c>
    </row>
    <row r="69" spans="1:4" x14ac:dyDescent="0.25">
      <c r="A69" s="18" t="s">
        <v>167</v>
      </c>
      <c r="B69">
        <v>31</v>
      </c>
      <c r="C69">
        <v>7</v>
      </c>
      <c r="D69">
        <v>38</v>
      </c>
    </row>
    <row r="70" spans="1:4" x14ac:dyDescent="0.25">
      <c r="A70" s="18" t="s">
        <v>168</v>
      </c>
      <c r="B70">
        <v>40</v>
      </c>
      <c r="C70">
        <v>7</v>
      </c>
      <c r="D70">
        <v>47</v>
      </c>
    </row>
    <row r="71" spans="1:4" x14ac:dyDescent="0.25">
      <c r="A71" s="18" t="s">
        <v>146</v>
      </c>
      <c r="B71">
        <v>495</v>
      </c>
      <c r="C71">
        <v>125</v>
      </c>
      <c r="D71">
        <v>620</v>
      </c>
    </row>
    <row r="77" spans="1:4" x14ac:dyDescent="0.25">
      <c r="A77" s="17" t="s">
        <v>145</v>
      </c>
      <c r="B77" t="s">
        <v>153</v>
      </c>
      <c r="C77" t="s">
        <v>152</v>
      </c>
    </row>
    <row r="78" spans="1:4" x14ac:dyDescent="0.25">
      <c r="A78" s="18" t="s">
        <v>157</v>
      </c>
      <c r="B78">
        <v>20</v>
      </c>
      <c r="C78" s="24">
        <v>28886000</v>
      </c>
    </row>
    <row r="79" spans="1:4" x14ac:dyDescent="0.25">
      <c r="A79" s="18" t="s">
        <v>158</v>
      </c>
      <c r="B79">
        <v>18</v>
      </c>
      <c r="C79" s="24">
        <v>10873000</v>
      </c>
    </row>
    <row r="80" spans="1:4" x14ac:dyDescent="0.25">
      <c r="A80" s="18" t="s">
        <v>159</v>
      </c>
      <c r="B80">
        <v>13</v>
      </c>
      <c r="C80" s="24">
        <v>13470200</v>
      </c>
    </row>
    <row r="81" spans="1:7" x14ac:dyDescent="0.25">
      <c r="A81" s="18" t="s">
        <v>160</v>
      </c>
      <c r="B81">
        <v>11</v>
      </c>
      <c r="C81" s="24">
        <v>7237000</v>
      </c>
    </row>
    <row r="82" spans="1:7" x14ac:dyDescent="0.25">
      <c r="A82" s="18" t="s">
        <v>161</v>
      </c>
      <c r="B82">
        <v>6</v>
      </c>
      <c r="C82" s="24">
        <v>3314000</v>
      </c>
    </row>
    <row r="83" spans="1:7" x14ac:dyDescent="0.25">
      <c r="A83" s="18" t="s">
        <v>162</v>
      </c>
      <c r="B83">
        <v>10</v>
      </c>
      <c r="C83" s="24">
        <v>4470000</v>
      </c>
    </row>
    <row r="84" spans="1:7" x14ac:dyDescent="0.25">
      <c r="A84" s="18" t="s">
        <v>163</v>
      </c>
      <c r="B84">
        <v>10</v>
      </c>
      <c r="C84" s="24">
        <v>4684000</v>
      </c>
    </row>
    <row r="85" spans="1:7" x14ac:dyDescent="0.25">
      <c r="A85" s="18" t="s">
        <v>164</v>
      </c>
      <c r="B85">
        <v>6</v>
      </c>
      <c r="C85" s="24">
        <v>3100000</v>
      </c>
    </row>
    <row r="86" spans="1:7" x14ac:dyDescent="0.25">
      <c r="A86" s="18" t="s">
        <v>165</v>
      </c>
      <c r="B86">
        <v>9</v>
      </c>
      <c r="C86" s="24">
        <v>4070000</v>
      </c>
    </row>
    <row r="87" spans="1:7" x14ac:dyDescent="0.25">
      <c r="A87" s="18" t="s">
        <v>166</v>
      </c>
      <c r="B87">
        <v>8</v>
      </c>
      <c r="C87" s="24">
        <v>3512000</v>
      </c>
    </row>
    <row r="88" spans="1:7" x14ac:dyDescent="0.25">
      <c r="A88" s="18" t="s">
        <v>167</v>
      </c>
      <c r="B88">
        <v>7</v>
      </c>
      <c r="C88" s="24">
        <v>7970000</v>
      </c>
    </row>
    <row r="89" spans="1:7" x14ac:dyDescent="0.25">
      <c r="A89" s="18" t="s">
        <v>168</v>
      </c>
      <c r="B89">
        <v>7</v>
      </c>
      <c r="C89" s="24">
        <v>7920000</v>
      </c>
    </row>
    <row r="90" spans="1:7" x14ac:dyDescent="0.25">
      <c r="A90" s="18" t="s">
        <v>146</v>
      </c>
      <c r="B90">
        <v>125</v>
      </c>
      <c r="C90" s="24">
        <v>99506200</v>
      </c>
    </row>
    <row r="94" spans="1:7" x14ac:dyDescent="0.25">
      <c r="A94" s="17" t="s">
        <v>171</v>
      </c>
      <c r="B94" s="17" t="s">
        <v>148</v>
      </c>
    </row>
    <row r="95" spans="1:7" x14ac:dyDescent="0.25">
      <c r="A95" s="17" t="s">
        <v>145</v>
      </c>
      <c r="B95" t="s">
        <v>57</v>
      </c>
      <c r="C95" t="s">
        <v>66</v>
      </c>
      <c r="D95" t="s">
        <v>48</v>
      </c>
      <c r="E95" t="s">
        <v>22</v>
      </c>
      <c r="F95" t="s">
        <v>32</v>
      </c>
      <c r="G95" t="s">
        <v>146</v>
      </c>
    </row>
    <row r="96" spans="1:7" x14ac:dyDescent="0.25">
      <c r="A96" s="18" t="s">
        <v>157</v>
      </c>
      <c r="B96">
        <v>5</v>
      </c>
      <c r="C96">
        <v>1</v>
      </c>
      <c r="D96">
        <v>5</v>
      </c>
      <c r="E96">
        <v>2</v>
      </c>
      <c r="F96">
        <v>7</v>
      </c>
      <c r="G96">
        <v>20</v>
      </c>
    </row>
    <row r="97" spans="1:7" x14ac:dyDescent="0.25">
      <c r="A97" s="18" t="s">
        <v>158</v>
      </c>
      <c r="B97">
        <v>4</v>
      </c>
      <c r="C97">
        <v>1</v>
      </c>
      <c r="D97">
        <v>7</v>
      </c>
      <c r="F97">
        <v>6</v>
      </c>
      <c r="G97">
        <v>18</v>
      </c>
    </row>
    <row r="98" spans="1:7" x14ac:dyDescent="0.25">
      <c r="A98" s="18" t="s">
        <v>159</v>
      </c>
      <c r="B98">
        <v>2</v>
      </c>
      <c r="C98">
        <v>3</v>
      </c>
      <c r="D98">
        <v>3</v>
      </c>
      <c r="F98">
        <v>5</v>
      </c>
      <c r="G98">
        <v>13</v>
      </c>
    </row>
    <row r="99" spans="1:7" x14ac:dyDescent="0.25">
      <c r="A99" s="18" t="s">
        <v>160</v>
      </c>
      <c r="B99">
        <v>3</v>
      </c>
      <c r="C99">
        <v>1</v>
      </c>
      <c r="D99">
        <v>1</v>
      </c>
      <c r="E99">
        <v>3</v>
      </c>
      <c r="F99">
        <v>3</v>
      </c>
      <c r="G99">
        <v>11</v>
      </c>
    </row>
    <row r="100" spans="1:7" x14ac:dyDescent="0.25">
      <c r="A100" s="18" t="s">
        <v>161</v>
      </c>
      <c r="B100">
        <v>2</v>
      </c>
      <c r="C100">
        <v>1</v>
      </c>
      <c r="D100">
        <v>2</v>
      </c>
      <c r="E100">
        <v>1</v>
      </c>
      <c r="G100">
        <v>6</v>
      </c>
    </row>
    <row r="101" spans="1:7" x14ac:dyDescent="0.25">
      <c r="A101" s="18" t="s">
        <v>162</v>
      </c>
      <c r="B101">
        <v>4</v>
      </c>
      <c r="C101">
        <v>1</v>
      </c>
      <c r="D101">
        <v>3</v>
      </c>
      <c r="F101">
        <v>2</v>
      </c>
      <c r="G101">
        <v>10</v>
      </c>
    </row>
    <row r="102" spans="1:7" x14ac:dyDescent="0.25">
      <c r="A102" s="18" t="s">
        <v>163</v>
      </c>
      <c r="B102">
        <v>4</v>
      </c>
      <c r="D102">
        <v>1</v>
      </c>
      <c r="F102">
        <v>5</v>
      </c>
      <c r="G102">
        <v>10</v>
      </c>
    </row>
    <row r="103" spans="1:7" x14ac:dyDescent="0.25">
      <c r="A103" s="18" t="s">
        <v>164</v>
      </c>
      <c r="B103">
        <v>3</v>
      </c>
      <c r="C103">
        <v>1</v>
      </c>
      <c r="D103">
        <v>2</v>
      </c>
      <c r="G103">
        <v>6</v>
      </c>
    </row>
    <row r="104" spans="1:7" x14ac:dyDescent="0.25">
      <c r="A104" s="18" t="s">
        <v>165</v>
      </c>
      <c r="C104">
        <v>2</v>
      </c>
      <c r="D104">
        <v>6</v>
      </c>
      <c r="E104">
        <v>1</v>
      </c>
      <c r="G104">
        <v>9</v>
      </c>
    </row>
    <row r="105" spans="1:7" x14ac:dyDescent="0.25">
      <c r="A105" s="18" t="s">
        <v>166</v>
      </c>
      <c r="B105">
        <v>1</v>
      </c>
      <c r="C105">
        <v>1</v>
      </c>
      <c r="D105">
        <v>3</v>
      </c>
      <c r="E105">
        <v>1</v>
      </c>
      <c r="F105">
        <v>2</v>
      </c>
      <c r="G105">
        <v>8</v>
      </c>
    </row>
    <row r="106" spans="1:7" x14ac:dyDescent="0.25">
      <c r="A106" s="18" t="s">
        <v>167</v>
      </c>
      <c r="B106">
        <v>1</v>
      </c>
      <c r="C106">
        <v>3</v>
      </c>
      <c r="D106">
        <v>1</v>
      </c>
      <c r="E106">
        <v>1</v>
      </c>
      <c r="F106">
        <v>1</v>
      </c>
      <c r="G106">
        <v>7</v>
      </c>
    </row>
    <row r="107" spans="1:7" x14ac:dyDescent="0.25">
      <c r="A107" s="18" t="s">
        <v>168</v>
      </c>
      <c r="B107">
        <v>1</v>
      </c>
      <c r="D107">
        <v>3</v>
      </c>
      <c r="E107">
        <v>1</v>
      </c>
      <c r="F107">
        <v>2</v>
      </c>
      <c r="G107">
        <v>7</v>
      </c>
    </row>
    <row r="108" spans="1:7" x14ac:dyDescent="0.25">
      <c r="A108" s="18" t="s">
        <v>146</v>
      </c>
      <c r="B108">
        <v>30</v>
      </c>
      <c r="C108">
        <v>15</v>
      </c>
      <c r="D108">
        <v>37</v>
      </c>
      <c r="E108">
        <v>10</v>
      </c>
      <c r="F108">
        <v>33</v>
      </c>
      <c r="G108">
        <v>125</v>
      </c>
    </row>
  </sheetData>
  <pageMargins left="0.7" right="0.7" top="0.75" bottom="0.75" header="0.3" footer="0.3"/>
  <pageSetup orientation="portrait" horizontalDpi="0" verticalDpi="0" r:id="rId9"/>
  <drawing r:id="rId10"/>
  <extLst>
    <ext xmlns:x14="http://schemas.microsoft.com/office/spreadsheetml/2009/9/main" uri="{A8765BA9-456A-4dab-B4F3-ACF838C121DE}">
      <x14:slicerList>
        <x14:slicer r:id="rId11"/>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48F486-7568-4FF2-8D2C-92562583D6B6}">
  <dimension ref="A1:R21"/>
  <sheetViews>
    <sheetView tabSelected="1" zoomScale="86" zoomScaleNormal="86" workbookViewId="0">
      <selection activeCell="B29" sqref="B29"/>
    </sheetView>
  </sheetViews>
  <sheetFormatPr defaultRowHeight="14.25" x14ac:dyDescent="0.2"/>
  <cols>
    <col min="1" max="1" width="15.85546875" style="29" customWidth="1"/>
    <col min="2" max="2" width="10.7109375" style="29" customWidth="1"/>
    <col min="3" max="3" width="8.28515625" style="29" customWidth="1"/>
    <col min="4" max="4" width="13.140625" style="29" customWidth="1"/>
    <col min="5" max="5" width="9.140625" style="29"/>
    <col min="6" max="6" width="13.140625" style="29" customWidth="1"/>
    <col min="7" max="7" width="9.140625" style="29"/>
    <col min="8" max="8" width="13.140625" style="29" customWidth="1"/>
    <col min="9" max="9" width="11.42578125" style="29" customWidth="1"/>
    <col min="10" max="10" width="13.140625" style="29" customWidth="1"/>
    <col min="11" max="11" width="11.28515625" style="29" bestFit="1" customWidth="1"/>
    <col min="12" max="12" width="12.42578125" style="29" customWidth="1"/>
    <col min="13" max="13" width="8.5703125" style="29" customWidth="1"/>
    <col min="14" max="14" width="10.140625" style="29" bestFit="1" customWidth="1"/>
    <col min="15" max="15" width="9.140625" style="29"/>
    <col min="16" max="16" width="5.7109375" style="29" customWidth="1"/>
    <col min="17" max="17" width="9.140625" style="29"/>
    <col min="18" max="18" width="10.5703125" style="29" customWidth="1"/>
    <col min="19" max="16384" width="9.140625" style="29"/>
  </cols>
  <sheetData>
    <row r="1" spans="1:18" s="25" customFormat="1" ht="28.5" customHeight="1" x14ac:dyDescent="0.25">
      <c r="A1" s="33"/>
      <c r="B1" s="33"/>
    </row>
    <row r="2" spans="1:18" s="26" customFormat="1" ht="28.5" customHeight="1" x14ac:dyDescent="0.25">
      <c r="A2" s="33"/>
      <c r="B2" s="33"/>
      <c r="D2" s="27"/>
      <c r="F2" s="27"/>
      <c r="H2" s="27"/>
      <c r="J2" s="27"/>
      <c r="L2" s="28"/>
      <c r="O2" s="28"/>
      <c r="R2" s="28"/>
    </row>
    <row r="3" spans="1:18" ht="28.5" customHeight="1" x14ac:dyDescent="0.2"/>
    <row r="4" spans="1:18" ht="16.5" customHeight="1" x14ac:dyDescent="0.2"/>
    <row r="5" spans="1:18" ht="16.5" customHeight="1" x14ac:dyDescent="0.2"/>
    <row r="6" spans="1:18" ht="16.5" customHeight="1" x14ac:dyDescent="0.2"/>
    <row r="7" spans="1:18" ht="16.5" customHeight="1" x14ac:dyDescent="0.2"/>
    <row r="8" spans="1:18" ht="16.5" customHeight="1" x14ac:dyDescent="0.2"/>
    <row r="9" spans="1:18" ht="16.5" customHeight="1" x14ac:dyDescent="0.2"/>
    <row r="10" spans="1:18" ht="16.5" customHeight="1" x14ac:dyDescent="0.2"/>
    <row r="11" spans="1:18" ht="16.5" customHeight="1" x14ac:dyDescent="0.2"/>
    <row r="12" spans="1:18" ht="16.5" customHeight="1" x14ac:dyDescent="0.2"/>
    <row r="13" spans="1:18" ht="16.5" customHeight="1" x14ac:dyDescent="0.2"/>
    <row r="14" spans="1:18" ht="16.5" customHeight="1" x14ac:dyDescent="0.2"/>
    <row r="15" spans="1:18" ht="16.5" customHeight="1" x14ac:dyDescent="0.2"/>
    <row r="16" spans="1:18" ht="16.5" customHeight="1" x14ac:dyDescent="0.2"/>
    <row r="17" s="29" customFormat="1" ht="16.5" customHeight="1" x14ac:dyDescent="0.2"/>
    <row r="18" s="29" customFormat="1" ht="16.5" customHeight="1" x14ac:dyDescent="0.2"/>
    <row r="19" s="29" customFormat="1" ht="16.5" customHeight="1" x14ac:dyDescent="0.2"/>
    <row r="20" s="29" customFormat="1" ht="16.5" customHeight="1" x14ac:dyDescent="0.2"/>
    <row r="21" s="29" customFormat="1" ht="16.5" customHeight="1" x14ac:dyDescent="0.2"/>
  </sheetData>
  <mergeCells count="1">
    <mergeCell ref="A1:B2"/>
  </mergeCells>
  <pageMargins left="0.7" right="0.7" top="0.75" bottom="0.75" header="0.3" footer="0.3"/>
  <pageSetup orientation="portrait" horizontalDpi="0" verticalDpi="0"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Yêu cầu</vt:lpstr>
      <vt:lpstr>Data</vt:lpstr>
      <vt:lpstr>Phân tích</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2024-01-05T13:15:30Z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2024-01-05T13:15:29Z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3aa676f8-e337-405a-a5fb-e3bd2e3bcbce</vt:lpwstr>
  </property>
  <property fmtid="{D5CDD505-2E9C-101B-9397-08002B2CF9AE}" pid="7" name="MSIP_Label_defa4170-0d19-0005-0004-bc88714345d2_ActionId">
    <vt:lpwstr>02131730-f0ba-48a8-9a69-9ecfeae64906</vt:lpwstr>
  </property>
  <property fmtid="{D5CDD505-2E9C-101B-9397-08002B2CF9AE}" pid="8" name="MSIP_Label_defa4170-0d19-0005-0004-bc88714345d2_ContentBits">
    <vt:lpwstr>0</vt:lpwstr>
  </property>
</Properties>
</file>